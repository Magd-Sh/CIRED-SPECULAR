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356676DD-9270-3746-92F6-3836D437F0E8}" xr6:coauthVersionLast="47" xr6:coauthVersionMax="47" xr10:uidLastSave="{00000000-0000-0000-0000-000000000000}"/>
  <bookViews>
    <workbookView xWindow="-20" yWindow="600" windowWidth="51200" windowHeight="28200" activeTab="2" xr2:uid="{00000000-000D-0000-FFFF-FFFF00000000}"/>
  </bookViews>
  <sheets>
    <sheet name="README" sheetId="1" r:id="rId1"/>
    <sheet name="Post2020_Derivation" sheetId="2" r:id="rId2"/>
    <sheet name="Employment_Merged" sheetId="3" r:id="rId3"/>
    <sheet name="LocalUnits_Merged" sheetId="4" r:id="rId4"/>
    <sheet name="Wages_Merg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37" i="3" l="1"/>
  <c r="AG437" i="3"/>
  <c r="AF437" i="3"/>
  <c r="AE437" i="3"/>
  <c r="AD437" i="3"/>
  <c r="AC437" i="3"/>
  <c r="AH436" i="3"/>
  <c r="AG436" i="3"/>
  <c r="AF436" i="3"/>
  <c r="AE436" i="3"/>
  <c r="AD436" i="3"/>
  <c r="AC436" i="3"/>
  <c r="AH435" i="3"/>
  <c r="AG435" i="3"/>
  <c r="AF435" i="3"/>
  <c r="AE435" i="3"/>
  <c r="AD435" i="3"/>
  <c r="AC435" i="3"/>
  <c r="AH432" i="3"/>
  <c r="AG432" i="3"/>
  <c r="AF432" i="3"/>
  <c r="AE432" i="3"/>
  <c r="AD432" i="3"/>
  <c r="AC432" i="3"/>
  <c r="AH431" i="3"/>
  <c r="AG431" i="3"/>
  <c r="AF431" i="3"/>
  <c r="AE431" i="3"/>
  <c r="AD431" i="3"/>
  <c r="AC431" i="3"/>
  <c r="AH426" i="3"/>
  <c r="AG426" i="3"/>
  <c r="AF426" i="3"/>
  <c r="AE426" i="3"/>
  <c r="AD426" i="3"/>
  <c r="AC426" i="3"/>
  <c r="AH425" i="3"/>
  <c r="AG425" i="3"/>
  <c r="AF425" i="3"/>
  <c r="AE425" i="3"/>
  <c r="AD425" i="3"/>
  <c r="AC425" i="3"/>
  <c r="AH424" i="3"/>
  <c r="AG424" i="3"/>
  <c r="AF424" i="3"/>
  <c r="AE424" i="3"/>
  <c r="AD424" i="3"/>
  <c r="AC424" i="3"/>
  <c r="AH423" i="3"/>
  <c r="AG423" i="3"/>
  <c r="AF423" i="3"/>
  <c r="AE423" i="3"/>
  <c r="AD423" i="3"/>
  <c r="AC423" i="3"/>
  <c r="AH422" i="3"/>
  <c r="AG422" i="3"/>
  <c r="AF422" i="3"/>
  <c r="AE422" i="3"/>
  <c r="AD422" i="3"/>
  <c r="AC422" i="3"/>
  <c r="AH421" i="3"/>
  <c r="AG421" i="3"/>
  <c r="AF421" i="3"/>
  <c r="AE421" i="3"/>
  <c r="AD421" i="3"/>
  <c r="AC421" i="3"/>
  <c r="AH420" i="3"/>
  <c r="AG420" i="3"/>
  <c r="AF420" i="3"/>
  <c r="AE420" i="3"/>
  <c r="AD420" i="3"/>
  <c r="AC420" i="3"/>
  <c r="AH419" i="3"/>
  <c r="AG419" i="3"/>
  <c r="AF419" i="3"/>
  <c r="AE419" i="3"/>
  <c r="AD419" i="3"/>
  <c r="AC419" i="3"/>
  <c r="AH418" i="3"/>
  <c r="AG418" i="3"/>
  <c r="AF418" i="3"/>
  <c r="AE418" i="3"/>
  <c r="AD418" i="3"/>
  <c r="AC418" i="3"/>
  <c r="AH417" i="3"/>
  <c r="AG417" i="3"/>
  <c r="AF417" i="3"/>
  <c r="AE417" i="3"/>
  <c r="AD417" i="3"/>
  <c r="AC417" i="3"/>
  <c r="AH416" i="3"/>
  <c r="AG416" i="3"/>
  <c r="AF416" i="3"/>
  <c r="AE416" i="3"/>
  <c r="AD416" i="3"/>
  <c r="AC416" i="3"/>
  <c r="AH415" i="3"/>
  <c r="AG415" i="3"/>
  <c r="AF415" i="3"/>
  <c r="AE415" i="3"/>
  <c r="AD415" i="3"/>
  <c r="AC415" i="3"/>
  <c r="AH414" i="3"/>
  <c r="AG414" i="3"/>
  <c r="AF414" i="3"/>
  <c r="AE414" i="3"/>
  <c r="AD414" i="3"/>
  <c r="AC414" i="3"/>
  <c r="AH413" i="3"/>
  <c r="AG413" i="3"/>
  <c r="AF413" i="3"/>
  <c r="AE413" i="3"/>
  <c r="AD413" i="3"/>
  <c r="AC413" i="3"/>
  <c r="AH412" i="3"/>
  <c r="AG412" i="3"/>
  <c r="AF412" i="3"/>
  <c r="AE412" i="3"/>
  <c r="AD412" i="3"/>
  <c r="AC412" i="3"/>
  <c r="AH411" i="3"/>
  <c r="AG411" i="3"/>
  <c r="AF411" i="3"/>
  <c r="AE411" i="3"/>
  <c r="AD411" i="3"/>
  <c r="AC411" i="3"/>
  <c r="AH410" i="3"/>
  <c r="AG410" i="3"/>
  <c r="AF410" i="3"/>
  <c r="AE410" i="3"/>
  <c r="AD410" i="3"/>
  <c r="AC410" i="3"/>
  <c r="AH409" i="3"/>
  <c r="AG409" i="3"/>
  <c r="AF409" i="3"/>
  <c r="AE409" i="3"/>
  <c r="AD409" i="3"/>
  <c r="AC409" i="3"/>
  <c r="AH408" i="3"/>
  <c r="AG408" i="3"/>
  <c r="AF408" i="3"/>
  <c r="AE408" i="3"/>
  <c r="AD408" i="3"/>
  <c r="AC408" i="3"/>
  <c r="AH407" i="3"/>
  <c r="AG407" i="3"/>
  <c r="AF407" i="3"/>
  <c r="AE407" i="3"/>
  <c r="AD407" i="3"/>
  <c r="AC407" i="3"/>
  <c r="AH406" i="3"/>
  <c r="AG406" i="3"/>
  <c r="AF406" i="3"/>
  <c r="AE406" i="3"/>
  <c r="AD406" i="3"/>
  <c r="AC406" i="3"/>
  <c r="AH405" i="3"/>
  <c r="AG405" i="3"/>
  <c r="AF405" i="3"/>
  <c r="AE405" i="3"/>
  <c r="AD405" i="3"/>
  <c r="AC405" i="3"/>
  <c r="AH404" i="3"/>
  <c r="AG404" i="3"/>
  <c r="AF404" i="3"/>
  <c r="AE404" i="3"/>
  <c r="AD404" i="3"/>
  <c r="AC404" i="3"/>
  <c r="AH403" i="3"/>
  <c r="AG403" i="3"/>
  <c r="AF403" i="3"/>
  <c r="AE403" i="3"/>
  <c r="AD403" i="3"/>
  <c r="AC403" i="3"/>
  <c r="AH402" i="3"/>
  <c r="AG402" i="3"/>
  <c r="AF402" i="3"/>
  <c r="AE402" i="3"/>
  <c r="AD402" i="3"/>
  <c r="AC402" i="3"/>
  <c r="AH401" i="3"/>
  <c r="AG401" i="3"/>
  <c r="AF401" i="3"/>
  <c r="AE401" i="3"/>
  <c r="AD401" i="3"/>
  <c r="AC401" i="3"/>
  <c r="AH400" i="3"/>
  <c r="AG400" i="3"/>
  <c r="AF400" i="3"/>
  <c r="AE400" i="3"/>
  <c r="AD400" i="3"/>
  <c r="AC400" i="3"/>
  <c r="AH399" i="3"/>
  <c r="AG399" i="3"/>
  <c r="AF399" i="3"/>
  <c r="AE399" i="3"/>
  <c r="AD399" i="3"/>
  <c r="AC399" i="3"/>
  <c r="AH398" i="3"/>
  <c r="AG398" i="3"/>
  <c r="AF398" i="3"/>
  <c r="AE398" i="3"/>
  <c r="AD398" i="3"/>
  <c r="AC398" i="3"/>
  <c r="AH397" i="3"/>
  <c r="AG397" i="3"/>
  <c r="AF397" i="3"/>
  <c r="AE397" i="3"/>
  <c r="AD397" i="3"/>
  <c r="AC397" i="3"/>
  <c r="AH396" i="3"/>
  <c r="AG396" i="3"/>
  <c r="AF396" i="3"/>
  <c r="AE396" i="3"/>
  <c r="AD396" i="3"/>
  <c r="AC396" i="3"/>
  <c r="AH395" i="3"/>
  <c r="AG395" i="3"/>
  <c r="AF395" i="3"/>
  <c r="AE395" i="3"/>
  <c r="AD395" i="3"/>
  <c r="AC395" i="3"/>
  <c r="AH394" i="3"/>
  <c r="AG394" i="3"/>
  <c r="AF394" i="3"/>
  <c r="AE394" i="3"/>
  <c r="AD394" i="3"/>
  <c r="AC394" i="3"/>
  <c r="AH393" i="3"/>
  <c r="AG393" i="3"/>
  <c r="AF393" i="3"/>
  <c r="AE393" i="3"/>
  <c r="AD393" i="3"/>
  <c r="AC393" i="3"/>
  <c r="AH392" i="3"/>
  <c r="AG392" i="3"/>
  <c r="AF392" i="3"/>
  <c r="AE392" i="3"/>
  <c r="AD392" i="3"/>
  <c r="AC392" i="3"/>
  <c r="AH391" i="3"/>
  <c r="AG391" i="3"/>
  <c r="AF391" i="3"/>
  <c r="AE391" i="3"/>
  <c r="AD391" i="3"/>
  <c r="AC391" i="3"/>
  <c r="AH390" i="3"/>
  <c r="AG390" i="3"/>
  <c r="AF390" i="3"/>
  <c r="AE390" i="3"/>
  <c r="AD390" i="3"/>
  <c r="AC390" i="3"/>
  <c r="AH389" i="3"/>
  <c r="AG389" i="3"/>
  <c r="AF389" i="3"/>
  <c r="AE389" i="3"/>
  <c r="AD389" i="3"/>
  <c r="AC389" i="3"/>
  <c r="AH388" i="3"/>
  <c r="AG388" i="3"/>
  <c r="AF388" i="3"/>
  <c r="AE388" i="3"/>
  <c r="AD388" i="3"/>
  <c r="AC388" i="3"/>
  <c r="AH387" i="3"/>
  <c r="AG387" i="3"/>
  <c r="AF387" i="3"/>
  <c r="AE387" i="3"/>
  <c r="AD387" i="3"/>
  <c r="AC387" i="3"/>
  <c r="AH386" i="3"/>
  <c r="AG386" i="3"/>
  <c r="AF386" i="3"/>
  <c r="AE386" i="3"/>
  <c r="AD386" i="3"/>
  <c r="AC386" i="3"/>
  <c r="AH385" i="3"/>
  <c r="AG385" i="3"/>
  <c r="AF385" i="3"/>
  <c r="AE385" i="3"/>
  <c r="AD385" i="3"/>
  <c r="AC385" i="3"/>
  <c r="AH384" i="3"/>
  <c r="AG384" i="3"/>
  <c r="AF384" i="3"/>
  <c r="AE384" i="3"/>
  <c r="AD384" i="3"/>
  <c r="AC384" i="3"/>
  <c r="AH383" i="3"/>
  <c r="AG383" i="3"/>
  <c r="AF383" i="3"/>
  <c r="AE383" i="3"/>
  <c r="AD383" i="3"/>
  <c r="AC383" i="3"/>
  <c r="AH382" i="3"/>
  <c r="AG382" i="3"/>
  <c r="AF382" i="3"/>
  <c r="AE382" i="3"/>
  <c r="AD382" i="3"/>
  <c r="AC382" i="3"/>
  <c r="AH381" i="3"/>
  <c r="AG381" i="3"/>
  <c r="AF381" i="3"/>
  <c r="AE381" i="3"/>
  <c r="AD381" i="3"/>
  <c r="AC381" i="3"/>
  <c r="AH380" i="3"/>
  <c r="AG380" i="3"/>
  <c r="AF380" i="3"/>
  <c r="AE380" i="3"/>
  <c r="AD380" i="3"/>
  <c r="AC380" i="3"/>
  <c r="AH379" i="3"/>
  <c r="AG379" i="3"/>
  <c r="AF379" i="3"/>
  <c r="AE379" i="3"/>
  <c r="AD379" i="3"/>
  <c r="AC379" i="3"/>
  <c r="AH378" i="3"/>
  <c r="AG378" i="3"/>
  <c r="AF378" i="3"/>
  <c r="AE378" i="3"/>
  <c r="AD378" i="3"/>
  <c r="AC378" i="3"/>
  <c r="AH377" i="3"/>
  <c r="AG377" i="3"/>
  <c r="AF377" i="3"/>
  <c r="AE377" i="3"/>
  <c r="AD377" i="3"/>
  <c r="AC377" i="3"/>
  <c r="AH376" i="3"/>
  <c r="AG376" i="3"/>
  <c r="AF376" i="3"/>
  <c r="AE376" i="3"/>
  <c r="AD376" i="3"/>
  <c r="AC376" i="3"/>
  <c r="AH375" i="3"/>
  <c r="AG375" i="3"/>
  <c r="AF375" i="3"/>
  <c r="AE375" i="3"/>
  <c r="AD375" i="3"/>
  <c r="AC375" i="3"/>
  <c r="AH374" i="3"/>
  <c r="AG374" i="3"/>
  <c r="AF374" i="3"/>
  <c r="AE374" i="3"/>
  <c r="AD374" i="3"/>
  <c r="AC374" i="3"/>
  <c r="AH373" i="3"/>
  <c r="AG373" i="3"/>
  <c r="AF373" i="3"/>
  <c r="AE373" i="3"/>
  <c r="AD373" i="3"/>
  <c r="AC373" i="3"/>
  <c r="AH372" i="3"/>
  <c r="AG372" i="3"/>
  <c r="AF372" i="3"/>
  <c r="AE372" i="3"/>
  <c r="AD372" i="3"/>
  <c r="AC372" i="3"/>
  <c r="AH371" i="3"/>
  <c r="AG371" i="3"/>
  <c r="AF371" i="3"/>
  <c r="AE371" i="3"/>
  <c r="AD371" i="3"/>
  <c r="AC371" i="3"/>
  <c r="AH370" i="3"/>
  <c r="AG370" i="3"/>
  <c r="AF370" i="3"/>
  <c r="AE370" i="3"/>
  <c r="AD370" i="3"/>
  <c r="AC370" i="3"/>
  <c r="AH369" i="3"/>
  <c r="AG369" i="3"/>
  <c r="AF369" i="3"/>
  <c r="AE369" i="3"/>
  <c r="AD369" i="3"/>
  <c r="AC369" i="3"/>
  <c r="AH368" i="3"/>
  <c r="AG368" i="3"/>
  <c r="AF368" i="3"/>
  <c r="AE368" i="3"/>
  <c r="AD368" i="3"/>
  <c r="AC368" i="3"/>
  <c r="AH367" i="3"/>
  <c r="AG367" i="3"/>
  <c r="AF367" i="3"/>
  <c r="AE367" i="3"/>
  <c r="AD367" i="3"/>
  <c r="AC367" i="3"/>
  <c r="AH360" i="3"/>
  <c r="AG360" i="3"/>
  <c r="AF360" i="3"/>
  <c r="AE360" i="3"/>
  <c r="AD360" i="3"/>
  <c r="AC360" i="3"/>
  <c r="AH359" i="3"/>
  <c r="AG359" i="3"/>
  <c r="AF359" i="3"/>
  <c r="AE359" i="3"/>
  <c r="AD359" i="3"/>
  <c r="AC359" i="3"/>
  <c r="AH358" i="3"/>
  <c r="AG358" i="3"/>
  <c r="AF358" i="3"/>
  <c r="AE358" i="3"/>
  <c r="AD358" i="3"/>
  <c r="AC358" i="3"/>
  <c r="AH356" i="3"/>
  <c r="AG356" i="3"/>
  <c r="AF356" i="3"/>
  <c r="AE356" i="3"/>
  <c r="AD356" i="3"/>
  <c r="AC356" i="3"/>
  <c r="AH355" i="3"/>
  <c r="AG355" i="3"/>
  <c r="AF355" i="3"/>
  <c r="AE355" i="3"/>
  <c r="AD355" i="3"/>
  <c r="AC355" i="3"/>
  <c r="AH350" i="3"/>
  <c r="AG350" i="3"/>
  <c r="AF350" i="3"/>
  <c r="AE350" i="3"/>
  <c r="AD350" i="3"/>
  <c r="AC350" i="3"/>
  <c r="AH349" i="3"/>
  <c r="AG349" i="3"/>
  <c r="AF349" i="3"/>
  <c r="AE349" i="3"/>
  <c r="AD349" i="3"/>
  <c r="AC349" i="3"/>
  <c r="AH336" i="3"/>
  <c r="AG336" i="3"/>
  <c r="AF336" i="3"/>
  <c r="AE336" i="3"/>
  <c r="AD336" i="3"/>
  <c r="AC336" i="3"/>
  <c r="AH335" i="3"/>
  <c r="AG335" i="3"/>
  <c r="AF335" i="3"/>
  <c r="AE335" i="3"/>
  <c r="AD335" i="3"/>
  <c r="AC335" i="3"/>
  <c r="AH329" i="3"/>
  <c r="AG329" i="3"/>
  <c r="AF329" i="3"/>
  <c r="AE329" i="3"/>
  <c r="AD329" i="3"/>
  <c r="AC329" i="3"/>
  <c r="AH327" i="3"/>
  <c r="AG327" i="3"/>
  <c r="AF327" i="3"/>
  <c r="AE327" i="3"/>
  <c r="AD327" i="3"/>
  <c r="AC327" i="3"/>
  <c r="AH326" i="3"/>
  <c r="AG326" i="3"/>
  <c r="AF326" i="3"/>
  <c r="AE326" i="3"/>
  <c r="AD326" i="3"/>
  <c r="AC326" i="3"/>
  <c r="AH315" i="3"/>
  <c r="AG315" i="3"/>
  <c r="AF315" i="3"/>
  <c r="AE315" i="3"/>
  <c r="AD315" i="3"/>
  <c r="AC315" i="3"/>
  <c r="AH313" i="3"/>
  <c r="AG313" i="3"/>
  <c r="AF313" i="3"/>
  <c r="AE313" i="3"/>
  <c r="AD313" i="3"/>
  <c r="AC313" i="3"/>
  <c r="AH264" i="3"/>
  <c r="AG264" i="3"/>
  <c r="AF264" i="3"/>
  <c r="AE264" i="3"/>
  <c r="AD264" i="3"/>
  <c r="AC264" i="3"/>
  <c r="AH263" i="3"/>
  <c r="AG263" i="3"/>
  <c r="AF263" i="3"/>
  <c r="AE263" i="3"/>
  <c r="AD263" i="3"/>
  <c r="AC263" i="3"/>
  <c r="AH262" i="3"/>
  <c r="AG262" i="3"/>
  <c r="AF262" i="3"/>
  <c r="AE262" i="3"/>
  <c r="AD262" i="3"/>
  <c r="AC262" i="3"/>
  <c r="AH261" i="3"/>
  <c r="AG261" i="3"/>
  <c r="AF261" i="3"/>
  <c r="AE261" i="3"/>
  <c r="AD261" i="3"/>
  <c r="AC261" i="3"/>
  <c r="AH260" i="3"/>
  <c r="AG260" i="3"/>
  <c r="AF260" i="3"/>
  <c r="AE260" i="3"/>
  <c r="AD260" i="3"/>
  <c r="AC260" i="3"/>
  <c r="AH256" i="3"/>
  <c r="AG256" i="3"/>
  <c r="AF256" i="3"/>
  <c r="AE256" i="3"/>
  <c r="AD256" i="3"/>
  <c r="AC256" i="3"/>
  <c r="AH255" i="3"/>
  <c r="AG255" i="3"/>
  <c r="AF255" i="3"/>
  <c r="AE255" i="3"/>
  <c r="AD255" i="3"/>
  <c r="AC255" i="3"/>
  <c r="AH254" i="3"/>
  <c r="AG254" i="3"/>
  <c r="AF254" i="3"/>
  <c r="AE254" i="3"/>
  <c r="AD254" i="3"/>
  <c r="AC254" i="3"/>
  <c r="AH211" i="3"/>
  <c r="AG211" i="3"/>
  <c r="AF211" i="3"/>
  <c r="AE211" i="3"/>
  <c r="AD211" i="3"/>
  <c r="AC211" i="3"/>
  <c r="AH203" i="3"/>
  <c r="AG203" i="3"/>
  <c r="AF203" i="3"/>
  <c r="AE203" i="3"/>
  <c r="AD203" i="3"/>
  <c r="AC203" i="3"/>
  <c r="AH198" i="3"/>
  <c r="AG198" i="3"/>
  <c r="AF198" i="3"/>
  <c r="AE198" i="3"/>
  <c r="AD198" i="3"/>
  <c r="AC198" i="3"/>
  <c r="AH197" i="3"/>
  <c r="AG197" i="3"/>
  <c r="AF197" i="3"/>
  <c r="AE197" i="3"/>
  <c r="AD197" i="3"/>
  <c r="AC197" i="3"/>
  <c r="AH169" i="3"/>
  <c r="AG169" i="3"/>
  <c r="AF169" i="3"/>
  <c r="AE169" i="3"/>
  <c r="AD169" i="3"/>
  <c r="AC169" i="3"/>
  <c r="AH168" i="3"/>
  <c r="AG168" i="3"/>
  <c r="AF168" i="3"/>
  <c r="AE168" i="3"/>
  <c r="AD168" i="3"/>
  <c r="AC168" i="3"/>
  <c r="AH167" i="3"/>
  <c r="AG167" i="3"/>
  <c r="AF167" i="3"/>
  <c r="AE167" i="3"/>
  <c r="AD167" i="3"/>
  <c r="AC167" i="3"/>
  <c r="AH166" i="3"/>
  <c r="AG166" i="3"/>
  <c r="AF166" i="3"/>
  <c r="AE166" i="3"/>
  <c r="AD166" i="3"/>
  <c r="AC166" i="3"/>
  <c r="AH165" i="3"/>
  <c r="AG165" i="3"/>
  <c r="AF165" i="3"/>
  <c r="AE165" i="3"/>
  <c r="AD165" i="3"/>
  <c r="AC165" i="3"/>
  <c r="AH164" i="3"/>
  <c r="AG164" i="3"/>
  <c r="AF164" i="3"/>
  <c r="AE164" i="3"/>
  <c r="AD164" i="3"/>
  <c r="AC164" i="3"/>
  <c r="AH163" i="3"/>
  <c r="AG163" i="3"/>
  <c r="AF163" i="3"/>
  <c r="AE163" i="3"/>
  <c r="AD163" i="3"/>
  <c r="AC163" i="3"/>
  <c r="AH162" i="3"/>
  <c r="AG162" i="3"/>
  <c r="AF162" i="3"/>
  <c r="AE162" i="3"/>
  <c r="AD162" i="3"/>
  <c r="AC162" i="3"/>
  <c r="AH161" i="3"/>
  <c r="AG161" i="3"/>
  <c r="AF161" i="3"/>
  <c r="AE161" i="3"/>
  <c r="AD161" i="3"/>
  <c r="AC161" i="3"/>
  <c r="AH160" i="3"/>
  <c r="AG160" i="3"/>
  <c r="AF160" i="3"/>
  <c r="AE160" i="3"/>
  <c r="AD160" i="3"/>
  <c r="AC160" i="3"/>
  <c r="AH159" i="3"/>
  <c r="AG159" i="3"/>
  <c r="AF159" i="3"/>
  <c r="AE159" i="3"/>
  <c r="AD159" i="3"/>
  <c r="AC159" i="3"/>
  <c r="AH150" i="3"/>
  <c r="AG150" i="3"/>
  <c r="AF150" i="3"/>
  <c r="AE150" i="3"/>
  <c r="AD150" i="3"/>
  <c r="AC150" i="3"/>
  <c r="AH131" i="3"/>
  <c r="AG131" i="3"/>
  <c r="AF131" i="3"/>
  <c r="AE131" i="3"/>
  <c r="AD131" i="3"/>
  <c r="AC131" i="3"/>
  <c r="AH130" i="3"/>
  <c r="AG130" i="3"/>
  <c r="AF130" i="3"/>
  <c r="AE130" i="3"/>
  <c r="AD130" i="3"/>
  <c r="AC130" i="3"/>
  <c r="AH83" i="3"/>
  <c r="AG83" i="3"/>
  <c r="AF83" i="3"/>
  <c r="AE83" i="3"/>
  <c r="AD83" i="3"/>
  <c r="AC83" i="3"/>
  <c r="AH82" i="3"/>
  <c r="AG82" i="3"/>
  <c r="AF82" i="3"/>
  <c r="AE82" i="3"/>
  <c r="AD82" i="3"/>
  <c r="AC82" i="3"/>
  <c r="AH81" i="3"/>
  <c r="AG81" i="3"/>
  <c r="AF81" i="3"/>
  <c r="AE81" i="3"/>
  <c r="AD81" i="3"/>
  <c r="AC81" i="3"/>
  <c r="AH80" i="3"/>
  <c r="AG80" i="3"/>
  <c r="AF80" i="3"/>
  <c r="AE80" i="3"/>
  <c r="AD80" i="3"/>
  <c r="AC80" i="3"/>
  <c r="AH79" i="3"/>
  <c r="AG79" i="3"/>
  <c r="AF79" i="3"/>
  <c r="AE79" i="3"/>
  <c r="AD79" i="3"/>
  <c r="AC79" i="3"/>
  <c r="AH78" i="3"/>
  <c r="AG78" i="3"/>
  <c r="AF78" i="3"/>
  <c r="AE78" i="3"/>
  <c r="AD78" i="3"/>
  <c r="AC78" i="3"/>
  <c r="AH77" i="3"/>
  <c r="AG77" i="3"/>
  <c r="AF77" i="3"/>
  <c r="AE77" i="3"/>
  <c r="AD77" i="3"/>
  <c r="AC77" i="3"/>
  <c r="AH76" i="3"/>
  <c r="AG76" i="3"/>
  <c r="AF76" i="3"/>
  <c r="AE76" i="3"/>
  <c r="AD76" i="3"/>
  <c r="AC76" i="3"/>
  <c r="AH75" i="3"/>
  <c r="AG75" i="3"/>
  <c r="AF75" i="3"/>
  <c r="AE75" i="3"/>
  <c r="AD75" i="3"/>
  <c r="AC75" i="3"/>
  <c r="AH74" i="3"/>
  <c r="AG74" i="3"/>
  <c r="AF74" i="3"/>
  <c r="AE74" i="3"/>
  <c r="AD74" i="3"/>
  <c r="AC74" i="3"/>
  <c r="AH73" i="3"/>
  <c r="AG73" i="3"/>
  <c r="AF73" i="3"/>
  <c r="AE73" i="3"/>
  <c r="AD73" i="3"/>
  <c r="AC73" i="3"/>
  <c r="AH71" i="3"/>
  <c r="AG71" i="3"/>
  <c r="AF71" i="3"/>
  <c r="AE71" i="3"/>
  <c r="AD71" i="3"/>
  <c r="AC71" i="3"/>
  <c r="AH70" i="3"/>
  <c r="AG70" i="3"/>
  <c r="AF70" i="3"/>
  <c r="AE70" i="3"/>
  <c r="AD70" i="3"/>
  <c r="AC70" i="3"/>
  <c r="AH66" i="3"/>
  <c r="AG66" i="3"/>
  <c r="AF66" i="3"/>
  <c r="AE66" i="3"/>
  <c r="AD66" i="3"/>
  <c r="AC66" i="3"/>
  <c r="T417" i="2"/>
  <c r="S417" i="2"/>
  <c r="N417" i="2"/>
  <c r="M417" i="2"/>
  <c r="H417" i="2"/>
  <c r="G417" i="2"/>
  <c r="T416" i="2"/>
  <c r="S416" i="2"/>
  <c r="N416" i="2"/>
  <c r="M416" i="2"/>
  <c r="H416" i="2"/>
  <c r="G416" i="2"/>
  <c r="T415" i="2"/>
  <c r="S415" i="2"/>
  <c r="N415" i="2"/>
  <c r="M415" i="2"/>
  <c r="H415" i="2"/>
  <c r="G415" i="2"/>
  <c r="T414" i="2"/>
  <c r="S414" i="2"/>
  <c r="N414" i="2"/>
  <c r="M414" i="2"/>
  <c r="H414" i="2"/>
  <c r="G414" i="2"/>
  <c r="T413" i="2"/>
  <c r="S413" i="2"/>
  <c r="N413" i="2"/>
  <c r="M413" i="2"/>
  <c r="H413" i="2"/>
  <c r="G413" i="2"/>
  <c r="T412" i="2"/>
  <c r="S412" i="2"/>
  <c r="N412" i="2"/>
  <c r="M412" i="2"/>
  <c r="H412" i="2"/>
  <c r="G412" i="2"/>
  <c r="T411" i="2"/>
  <c r="S411" i="2"/>
  <c r="N411" i="2"/>
  <c r="M411" i="2"/>
  <c r="H411" i="2"/>
  <c r="G411" i="2"/>
  <c r="T410" i="2"/>
  <c r="S410" i="2"/>
  <c r="N410" i="2"/>
  <c r="M410" i="2"/>
  <c r="H410" i="2"/>
  <c r="G410" i="2"/>
  <c r="T409" i="2"/>
  <c r="S409" i="2"/>
  <c r="N409" i="2"/>
  <c r="M409" i="2"/>
  <c r="H409" i="2"/>
  <c r="G409" i="2"/>
  <c r="T408" i="2"/>
  <c r="S408" i="2"/>
  <c r="N408" i="2"/>
  <c r="M408" i="2"/>
  <c r="H408" i="2"/>
  <c r="G408" i="2"/>
  <c r="T407" i="2"/>
  <c r="S407" i="2"/>
  <c r="N407" i="2"/>
  <c r="M407" i="2"/>
  <c r="H407" i="2"/>
  <c r="G407" i="2"/>
  <c r="T406" i="2"/>
  <c r="S406" i="2"/>
  <c r="N406" i="2"/>
  <c r="M406" i="2"/>
  <c r="H406" i="2"/>
  <c r="G406" i="2"/>
  <c r="T405" i="2"/>
  <c r="S405" i="2"/>
  <c r="N405" i="2"/>
  <c r="M405" i="2"/>
  <c r="H405" i="2"/>
  <c r="G405" i="2"/>
  <c r="T404" i="2"/>
  <c r="S404" i="2"/>
  <c r="N404" i="2"/>
  <c r="M404" i="2"/>
  <c r="H404" i="2"/>
  <c r="G404" i="2"/>
  <c r="T403" i="2"/>
  <c r="S403" i="2"/>
  <c r="N403" i="2"/>
  <c r="M403" i="2"/>
  <c r="H403" i="2"/>
  <c r="G403" i="2"/>
  <c r="T402" i="2"/>
  <c r="S402" i="2"/>
  <c r="N402" i="2"/>
  <c r="M402" i="2"/>
  <c r="H402" i="2"/>
  <c r="G402" i="2"/>
  <c r="T401" i="2"/>
  <c r="S401" i="2"/>
  <c r="N401" i="2"/>
  <c r="M401" i="2"/>
  <c r="H401" i="2"/>
  <c r="G401" i="2"/>
  <c r="T400" i="2"/>
  <c r="S400" i="2"/>
  <c r="N400" i="2"/>
  <c r="M400" i="2"/>
  <c r="H400" i="2"/>
  <c r="G400" i="2"/>
  <c r="T399" i="2"/>
  <c r="S399" i="2"/>
  <c r="N399" i="2"/>
  <c r="M399" i="2"/>
  <c r="H399" i="2"/>
  <c r="G399" i="2"/>
  <c r="T398" i="2"/>
  <c r="S398" i="2"/>
  <c r="N398" i="2"/>
  <c r="M398" i="2"/>
  <c r="H398" i="2"/>
  <c r="G398" i="2"/>
  <c r="T397" i="2"/>
  <c r="S397" i="2"/>
  <c r="N397" i="2"/>
  <c r="M397" i="2"/>
  <c r="H397" i="2"/>
  <c r="G397" i="2"/>
  <c r="T396" i="2"/>
  <c r="S396" i="2"/>
  <c r="N396" i="2"/>
  <c r="M396" i="2"/>
  <c r="H396" i="2"/>
  <c r="G396" i="2"/>
  <c r="T395" i="2"/>
  <c r="S395" i="2"/>
  <c r="N395" i="2"/>
  <c r="M395" i="2"/>
  <c r="H395" i="2"/>
  <c r="G395" i="2"/>
  <c r="T394" i="2"/>
  <c r="S394" i="2"/>
  <c r="N394" i="2"/>
  <c r="M394" i="2"/>
  <c r="H394" i="2"/>
  <c r="G394" i="2"/>
  <c r="T393" i="2"/>
  <c r="S393" i="2"/>
  <c r="N393" i="2"/>
  <c r="M393" i="2"/>
  <c r="H393" i="2"/>
  <c r="G393" i="2"/>
  <c r="T392" i="2"/>
  <c r="S392" i="2"/>
  <c r="N392" i="2"/>
  <c r="M392" i="2"/>
  <c r="H392" i="2"/>
  <c r="G392" i="2"/>
  <c r="T391" i="2"/>
  <c r="S391" i="2"/>
  <c r="N391" i="2"/>
  <c r="M391" i="2"/>
  <c r="H391" i="2"/>
  <c r="G391" i="2"/>
  <c r="T390" i="2"/>
  <c r="S390" i="2"/>
  <c r="N390" i="2"/>
  <c r="M390" i="2"/>
  <c r="H390" i="2"/>
  <c r="G390" i="2"/>
  <c r="T389" i="2"/>
  <c r="S389" i="2"/>
  <c r="N389" i="2"/>
  <c r="M389" i="2"/>
  <c r="H389" i="2"/>
  <c r="G389" i="2"/>
  <c r="T388" i="2"/>
  <c r="S388" i="2"/>
  <c r="N388" i="2"/>
  <c r="M388" i="2"/>
  <c r="H388" i="2"/>
  <c r="G388" i="2"/>
  <c r="T387" i="2"/>
  <c r="S387" i="2"/>
  <c r="N387" i="2"/>
  <c r="M387" i="2"/>
  <c r="H387" i="2"/>
  <c r="G387" i="2"/>
  <c r="T386" i="2"/>
  <c r="S386" i="2"/>
  <c r="N386" i="2"/>
  <c r="M386" i="2"/>
  <c r="H386" i="2"/>
  <c r="G386" i="2"/>
  <c r="T385" i="2"/>
  <c r="S385" i="2"/>
  <c r="N385" i="2"/>
  <c r="M385" i="2"/>
  <c r="H385" i="2"/>
  <c r="G385" i="2"/>
  <c r="T384" i="2"/>
  <c r="S384" i="2"/>
  <c r="N384" i="2"/>
  <c r="M384" i="2"/>
  <c r="H384" i="2"/>
  <c r="G384" i="2"/>
  <c r="T383" i="2"/>
  <c r="S383" i="2"/>
  <c r="N383" i="2"/>
  <c r="M383" i="2"/>
  <c r="H383" i="2"/>
  <c r="G383" i="2"/>
  <c r="T382" i="2"/>
  <c r="S382" i="2"/>
  <c r="N382" i="2"/>
  <c r="M382" i="2"/>
  <c r="H382" i="2"/>
  <c r="G382" i="2"/>
  <c r="T381" i="2"/>
  <c r="S381" i="2"/>
  <c r="N381" i="2"/>
  <c r="M381" i="2"/>
  <c r="H381" i="2"/>
  <c r="G381" i="2"/>
  <c r="T380" i="2"/>
  <c r="S380" i="2"/>
  <c r="N380" i="2"/>
  <c r="M380" i="2"/>
  <c r="H380" i="2"/>
  <c r="G380" i="2"/>
  <c r="T379" i="2"/>
  <c r="S379" i="2"/>
  <c r="N379" i="2"/>
  <c r="M379" i="2"/>
  <c r="H379" i="2"/>
  <c r="G379" i="2"/>
  <c r="T378" i="2"/>
  <c r="S378" i="2"/>
  <c r="N378" i="2"/>
  <c r="M378" i="2"/>
  <c r="H378" i="2"/>
  <c r="G378" i="2"/>
  <c r="T377" i="2"/>
  <c r="S377" i="2"/>
  <c r="N377" i="2"/>
  <c r="M377" i="2"/>
  <c r="H377" i="2"/>
  <c r="G377" i="2"/>
  <c r="T376" i="2"/>
  <c r="S376" i="2"/>
  <c r="N376" i="2"/>
  <c r="M376" i="2"/>
  <c r="H376" i="2"/>
  <c r="G376" i="2"/>
  <c r="T375" i="2"/>
  <c r="S375" i="2"/>
  <c r="N375" i="2"/>
  <c r="M375" i="2"/>
  <c r="H375" i="2"/>
  <c r="G375" i="2"/>
  <c r="T374" i="2"/>
  <c r="S374" i="2"/>
  <c r="N374" i="2"/>
  <c r="M374" i="2"/>
  <c r="H374" i="2"/>
  <c r="G374" i="2"/>
  <c r="T373" i="2"/>
  <c r="S373" i="2"/>
  <c r="N373" i="2"/>
  <c r="M373" i="2"/>
  <c r="H373" i="2"/>
  <c r="G373" i="2"/>
  <c r="T372" i="2"/>
  <c r="S372" i="2"/>
  <c r="N372" i="2"/>
  <c r="M372" i="2"/>
  <c r="H372" i="2"/>
  <c r="G372" i="2"/>
  <c r="T371" i="2"/>
  <c r="S371" i="2"/>
  <c r="N371" i="2"/>
  <c r="M371" i="2"/>
  <c r="H371" i="2"/>
  <c r="G371" i="2"/>
  <c r="T370" i="2"/>
  <c r="S370" i="2"/>
  <c r="N370" i="2"/>
  <c r="M370" i="2"/>
  <c r="H370" i="2"/>
  <c r="G370" i="2"/>
  <c r="T369" i="2"/>
  <c r="S369" i="2"/>
  <c r="N369" i="2"/>
  <c r="M369" i="2"/>
  <c r="H369" i="2"/>
  <c r="G369" i="2"/>
  <c r="T368" i="2"/>
  <c r="S368" i="2"/>
  <c r="N368" i="2"/>
  <c r="M368" i="2"/>
  <c r="H368" i="2"/>
  <c r="G368" i="2"/>
  <c r="T367" i="2"/>
  <c r="S367" i="2"/>
  <c r="N367" i="2"/>
  <c r="M367" i="2"/>
  <c r="H367" i="2"/>
  <c r="G367" i="2"/>
  <c r="T366" i="2"/>
  <c r="S366" i="2"/>
  <c r="N366" i="2"/>
  <c r="M366" i="2"/>
  <c r="H366" i="2"/>
  <c r="G366" i="2"/>
  <c r="T365" i="2"/>
  <c r="S365" i="2"/>
  <c r="N365" i="2"/>
  <c r="M365" i="2"/>
  <c r="H365" i="2"/>
  <c r="G365" i="2"/>
  <c r="T364" i="2"/>
  <c r="S364" i="2"/>
  <c r="N364" i="2"/>
  <c r="M364" i="2"/>
  <c r="H364" i="2"/>
  <c r="G364" i="2"/>
  <c r="T363" i="2"/>
  <c r="S363" i="2"/>
  <c r="N363" i="2"/>
  <c r="M363" i="2"/>
  <c r="H363" i="2"/>
  <c r="G363" i="2"/>
  <c r="T362" i="2"/>
  <c r="S362" i="2"/>
  <c r="N362" i="2"/>
  <c r="M362" i="2"/>
  <c r="H362" i="2"/>
  <c r="G362" i="2"/>
  <c r="T361" i="2"/>
  <c r="S361" i="2"/>
  <c r="N361" i="2"/>
  <c r="M361" i="2"/>
  <c r="H361" i="2"/>
  <c r="G361" i="2"/>
  <c r="T360" i="2"/>
  <c r="S360" i="2"/>
  <c r="N360" i="2"/>
  <c r="M360" i="2"/>
  <c r="H360" i="2"/>
  <c r="G360" i="2"/>
  <c r="T359" i="2"/>
  <c r="S359" i="2"/>
  <c r="N359" i="2"/>
  <c r="M359" i="2"/>
  <c r="H359" i="2"/>
  <c r="G359" i="2"/>
  <c r="T358" i="2"/>
  <c r="S358" i="2"/>
  <c r="N358" i="2"/>
  <c r="M358" i="2"/>
  <c r="H358" i="2"/>
  <c r="G358" i="2"/>
  <c r="T357" i="2"/>
  <c r="S357" i="2"/>
  <c r="N357" i="2"/>
  <c r="M357" i="2"/>
  <c r="H357" i="2"/>
  <c r="G357" i="2"/>
  <c r="T356" i="2"/>
  <c r="S356" i="2"/>
  <c r="N356" i="2"/>
  <c r="M356" i="2"/>
  <c r="H356" i="2"/>
  <c r="G356" i="2"/>
  <c r="T355" i="2"/>
  <c r="S355" i="2"/>
  <c r="N355" i="2"/>
  <c r="M355" i="2"/>
  <c r="H355" i="2"/>
  <c r="G355" i="2"/>
  <c r="T354" i="2"/>
  <c r="S354" i="2"/>
  <c r="N354" i="2"/>
  <c r="M354" i="2"/>
  <c r="H354" i="2"/>
  <c r="G354" i="2"/>
  <c r="T353" i="2"/>
  <c r="S353" i="2"/>
  <c r="N353" i="2"/>
  <c r="M353" i="2"/>
  <c r="H353" i="2"/>
  <c r="G353" i="2"/>
  <c r="T352" i="2"/>
  <c r="S352" i="2"/>
  <c r="N352" i="2"/>
  <c r="M352" i="2"/>
  <c r="H352" i="2"/>
  <c r="G352" i="2"/>
  <c r="T351" i="2"/>
  <c r="S351" i="2"/>
  <c r="N351" i="2"/>
  <c r="M351" i="2"/>
  <c r="H351" i="2"/>
  <c r="G351" i="2"/>
  <c r="T350" i="2"/>
  <c r="S350" i="2"/>
  <c r="N350" i="2"/>
  <c r="M350" i="2"/>
  <c r="H350" i="2"/>
  <c r="G350" i="2"/>
  <c r="T349" i="2"/>
  <c r="S349" i="2"/>
  <c r="N349" i="2"/>
  <c r="M349" i="2"/>
  <c r="H349" i="2"/>
  <c r="G349" i="2"/>
  <c r="T348" i="2"/>
  <c r="S348" i="2"/>
  <c r="N348" i="2"/>
  <c r="M348" i="2"/>
  <c r="H348" i="2"/>
  <c r="G348" i="2"/>
  <c r="T347" i="2"/>
  <c r="S347" i="2"/>
  <c r="N347" i="2"/>
  <c r="M347" i="2"/>
  <c r="H347" i="2"/>
  <c r="G347" i="2"/>
  <c r="T346" i="2"/>
  <c r="S346" i="2"/>
  <c r="N346" i="2"/>
  <c r="M346" i="2"/>
  <c r="H346" i="2"/>
  <c r="G346" i="2"/>
  <c r="T345" i="2"/>
  <c r="S345" i="2"/>
  <c r="N345" i="2"/>
  <c r="M345" i="2"/>
  <c r="H345" i="2"/>
  <c r="G345" i="2"/>
  <c r="T344" i="2"/>
  <c r="S344" i="2"/>
  <c r="N344" i="2"/>
  <c r="M344" i="2"/>
  <c r="H344" i="2"/>
  <c r="G344" i="2"/>
  <c r="T343" i="2"/>
  <c r="S343" i="2"/>
  <c r="N343" i="2"/>
  <c r="M343" i="2"/>
  <c r="H343" i="2"/>
  <c r="G343" i="2"/>
  <c r="T342" i="2"/>
  <c r="S342" i="2"/>
  <c r="N342" i="2"/>
  <c r="M342" i="2"/>
  <c r="H342" i="2"/>
  <c r="G342" i="2"/>
  <c r="T341" i="2"/>
  <c r="S341" i="2"/>
  <c r="N341" i="2"/>
  <c r="M341" i="2"/>
  <c r="H341" i="2"/>
  <c r="G341" i="2"/>
  <c r="T340" i="2"/>
  <c r="S340" i="2"/>
  <c r="N340" i="2"/>
  <c r="M340" i="2"/>
  <c r="H340" i="2"/>
  <c r="G340" i="2"/>
  <c r="T339" i="2"/>
  <c r="S339" i="2"/>
  <c r="N339" i="2"/>
  <c r="M339" i="2"/>
  <c r="H339" i="2"/>
  <c r="G339" i="2"/>
  <c r="T338" i="2"/>
  <c r="S338" i="2"/>
  <c r="N338" i="2"/>
  <c r="M338" i="2"/>
  <c r="H338" i="2"/>
  <c r="G338" i="2"/>
  <c r="T337" i="2"/>
  <c r="S337" i="2"/>
  <c r="N337" i="2"/>
  <c r="M337" i="2"/>
  <c r="H337" i="2"/>
  <c r="G337" i="2"/>
  <c r="T336" i="2"/>
  <c r="S336" i="2"/>
  <c r="N336" i="2"/>
  <c r="M336" i="2"/>
  <c r="H336" i="2"/>
  <c r="G336" i="2"/>
  <c r="T335" i="2"/>
  <c r="S335" i="2"/>
  <c r="N335" i="2"/>
  <c r="M335" i="2"/>
  <c r="H335" i="2"/>
  <c r="G335" i="2"/>
  <c r="T334" i="2"/>
  <c r="S334" i="2"/>
  <c r="N334" i="2"/>
  <c r="M334" i="2"/>
  <c r="H334" i="2"/>
  <c r="G334" i="2"/>
  <c r="T333" i="2"/>
  <c r="S333" i="2"/>
  <c r="N333" i="2"/>
  <c r="M333" i="2"/>
  <c r="H333" i="2"/>
  <c r="G333" i="2"/>
  <c r="T332" i="2"/>
  <c r="S332" i="2"/>
  <c r="N332" i="2"/>
  <c r="M332" i="2"/>
  <c r="H332" i="2"/>
  <c r="G332" i="2"/>
  <c r="T331" i="2"/>
  <c r="S331" i="2"/>
  <c r="N331" i="2"/>
  <c r="M331" i="2"/>
  <c r="H331" i="2"/>
  <c r="G331" i="2"/>
  <c r="T330" i="2"/>
  <c r="S330" i="2"/>
  <c r="N330" i="2"/>
  <c r="M330" i="2"/>
  <c r="H330" i="2"/>
  <c r="G330" i="2"/>
  <c r="T329" i="2"/>
  <c r="S329" i="2"/>
  <c r="N329" i="2"/>
  <c r="M329" i="2"/>
  <c r="H329" i="2"/>
  <c r="G329" i="2"/>
  <c r="T328" i="2"/>
  <c r="S328" i="2"/>
  <c r="N328" i="2"/>
  <c r="M328" i="2"/>
  <c r="H328" i="2"/>
  <c r="G328" i="2"/>
  <c r="T327" i="2"/>
  <c r="S327" i="2"/>
  <c r="N327" i="2"/>
  <c r="M327" i="2"/>
  <c r="H327" i="2"/>
  <c r="G327" i="2"/>
  <c r="T326" i="2"/>
  <c r="S326" i="2"/>
  <c r="N326" i="2"/>
  <c r="M326" i="2"/>
  <c r="H326" i="2"/>
  <c r="G326" i="2"/>
  <c r="T325" i="2"/>
  <c r="S325" i="2"/>
  <c r="N325" i="2"/>
  <c r="M325" i="2"/>
  <c r="H325" i="2"/>
  <c r="G325" i="2"/>
  <c r="T324" i="2"/>
  <c r="S324" i="2"/>
  <c r="N324" i="2"/>
  <c r="M324" i="2"/>
  <c r="H324" i="2"/>
  <c r="G324" i="2"/>
  <c r="T323" i="2"/>
  <c r="S323" i="2"/>
  <c r="N323" i="2"/>
  <c r="M323" i="2"/>
  <c r="H323" i="2"/>
  <c r="G323" i="2"/>
  <c r="T322" i="2"/>
  <c r="S322" i="2"/>
  <c r="N322" i="2"/>
  <c r="M322" i="2"/>
  <c r="H322" i="2"/>
  <c r="G322" i="2"/>
  <c r="T321" i="2"/>
  <c r="S321" i="2"/>
  <c r="N321" i="2"/>
  <c r="M321" i="2"/>
  <c r="H321" i="2"/>
  <c r="G321" i="2"/>
  <c r="T320" i="2"/>
  <c r="S320" i="2"/>
  <c r="N320" i="2"/>
  <c r="M320" i="2"/>
  <c r="H320" i="2"/>
  <c r="G320" i="2"/>
  <c r="T319" i="2"/>
  <c r="S319" i="2"/>
  <c r="N319" i="2"/>
  <c r="M319" i="2"/>
  <c r="H319" i="2"/>
  <c r="G319" i="2"/>
  <c r="T318" i="2"/>
  <c r="S318" i="2"/>
  <c r="N318" i="2"/>
  <c r="M318" i="2"/>
  <c r="H318" i="2"/>
  <c r="G318" i="2"/>
  <c r="T317" i="2"/>
  <c r="S317" i="2"/>
  <c r="N317" i="2"/>
  <c r="M317" i="2"/>
  <c r="H317" i="2"/>
  <c r="G317" i="2"/>
  <c r="T316" i="2"/>
  <c r="S316" i="2"/>
  <c r="N316" i="2"/>
  <c r="M316" i="2"/>
  <c r="H316" i="2"/>
  <c r="G316" i="2"/>
  <c r="T315" i="2"/>
  <c r="S315" i="2"/>
  <c r="N315" i="2"/>
  <c r="M315" i="2"/>
  <c r="H315" i="2"/>
  <c r="G315" i="2"/>
  <c r="T314" i="2"/>
  <c r="S314" i="2"/>
  <c r="N314" i="2"/>
  <c r="M314" i="2"/>
  <c r="H314" i="2"/>
  <c r="G314" i="2"/>
  <c r="T313" i="2"/>
  <c r="S313" i="2"/>
  <c r="N313" i="2"/>
  <c r="M313" i="2"/>
  <c r="H313" i="2"/>
  <c r="G313" i="2"/>
  <c r="T312" i="2"/>
  <c r="S312" i="2"/>
  <c r="N312" i="2"/>
  <c r="M312" i="2"/>
  <c r="H312" i="2"/>
  <c r="G312" i="2"/>
  <c r="T311" i="2"/>
  <c r="S311" i="2"/>
  <c r="N311" i="2"/>
  <c r="M311" i="2"/>
  <c r="H311" i="2"/>
  <c r="G311" i="2"/>
  <c r="T310" i="2"/>
  <c r="S310" i="2"/>
  <c r="N310" i="2"/>
  <c r="M310" i="2"/>
  <c r="H310" i="2"/>
  <c r="G310" i="2"/>
  <c r="T309" i="2"/>
  <c r="S309" i="2"/>
  <c r="N309" i="2"/>
  <c r="M309" i="2"/>
  <c r="H309" i="2"/>
  <c r="G309" i="2"/>
  <c r="T308" i="2"/>
  <c r="S308" i="2"/>
  <c r="N308" i="2"/>
  <c r="M308" i="2"/>
  <c r="H308" i="2"/>
  <c r="G308" i="2"/>
  <c r="T307" i="2"/>
  <c r="S307" i="2"/>
  <c r="N307" i="2"/>
  <c r="M307" i="2"/>
  <c r="H307" i="2"/>
  <c r="G307" i="2"/>
  <c r="T306" i="2"/>
  <c r="S306" i="2"/>
  <c r="N306" i="2"/>
  <c r="M306" i="2"/>
  <c r="H306" i="2"/>
  <c r="G306" i="2"/>
  <c r="T305" i="2"/>
  <c r="S305" i="2"/>
  <c r="N305" i="2"/>
  <c r="M305" i="2"/>
  <c r="H305" i="2"/>
  <c r="G305" i="2"/>
  <c r="T304" i="2"/>
  <c r="S304" i="2"/>
  <c r="N304" i="2"/>
  <c r="M304" i="2"/>
  <c r="H304" i="2"/>
  <c r="G304" i="2"/>
  <c r="T303" i="2"/>
  <c r="S303" i="2"/>
  <c r="N303" i="2"/>
  <c r="M303" i="2"/>
  <c r="H303" i="2"/>
  <c r="G303" i="2"/>
  <c r="T302" i="2"/>
  <c r="S302" i="2"/>
  <c r="N302" i="2"/>
  <c r="M302" i="2"/>
  <c r="H302" i="2"/>
  <c r="G302" i="2"/>
  <c r="T301" i="2"/>
  <c r="S301" i="2"/>
  <c r="N301" i="2"/>
  <c r="M301" i="2"/>
  <c r="H301" i="2"/>
  <c r="G301" i="2"/>
  <c r="T300" i="2"/>
  <c r="S300" i="2"/>
  <c r="N300" i="2"/>
  <c r="M300" i="2"/>
  <c r="H300" i="2"/>
  <c r="G300" i="2"/>
  <c r="T299" i="2"/>
  <c r="S299" i="2"/>
  <c r="N299" i="2"/>
  <c r="M299" i="2"/>
  <c r="H299" i="2"/>
  <c r="G299" i="2"/>
  <c r="T298" i="2"/>
  <c r="S298" i="2"/>
  <c r="N298" i="2"/>
  <c r="M298" i="2"/>
  <c r="H298" i="2"/>
  <c r="G298" i="2"/>
  <c r="T297" i="2"/>
  <c r="S297" i="2"/>
  <c r="N297" i="2"/>
  <c r="M297" i="2"/>
  <c r="H297" i="2"/>
  <c r="G297" i="2"/>
  <c r="T296" i="2"/>
  <c r="S296" i="2"/>
  <c r="N296" i="2"/>
  <c r="M296" i="2"/>
  <c r="H296" i="2"/>
  <c r="G296" i="2"/>
  <c r="T295" i="2"/>
  <c r="S295" i="2"/>
  <c r="N295" i="2"/>
  <c r="M295" i="2"/>
  <c r="H295" i="2"/>
  <c r="G295" i="2"/>
  <c r="T294" i="2"/>
  <c r="S294" i="2"/>
  <c r="N294" i="2"/>
  <c r="M294" i="2"/>
  <c r="H294" i="2"/>
  <c r="G294" i="2"/>
  <c r="T293" i="2"/>
  <c r="S293" i="2"/>
  <c r="N293" i="2"/>
  <c r="M293" i="2"/>
  <c r="H293" i="2"/>
  <c r="G293" i="2"/>
  <c r="T292" i="2"/>
  <c r="S292" i="2"/>
  <c r="N292" i="2"/>
  <c r="M292" i="2"/>
  <c r="H292" i="2"/>
  <c r="G292" i="2"/>
  <c r="T291" i="2"/>
  <c r="S291" i="2"/>
  <c r="N291" i="2"/>
  <c r="M291" i="2"/>
  <c r="H291" i="2"/>
  <c r="G291" i="2"/>
  <c r="T290" i="2"/>
  <c r="S290" i="2"/>
  <c r="N290" i="2"/>
  <c r="M290" i="2"/>
  <c r="H290" i="2"/>
  <c r="G290" i="2"/>
  <c r="T289" i="2"/>
  <c r="S289" i="2"/>
  <c r="N289" i="2"/>
  <c r="M289" i="2"/>
  <c r="H289" i="2"/>
  <c r="G289" i="2"/>
  <c r="T288" i="2"/>
  <c r="S288" i="2"/>
  <c r="N288" i="2"/>
  <c r="M288" i="2"/>
  <c r="H288" i="2"/>
  <c r="G288" i="2"/>
  <c r="T287" i="2"/>
  <c r="S287" i="2"/>
  <c r="N287" i="2"/>
  <c r="M287" i="2"/>
  <c r="H287" i="2"/>
  <c r="G287" i="2"/>
  <c r="T286" i="2"/>
  <c r="S286" i="2"/>
  <c r="N286" i="2"/>
  <c r="M286" i="2"/>
  <c r="H286" i="2"/>
  <c r="G286" i="2"/>
  <c r="T285" i="2"/>
  <c r="S285" i="2"/>
  <c r="N285" i="2"/>
  <c r="M285" i="2"/>
  <c r="H285" i="2"/>
  <c r="G285" i="2"/>
  <c r="T284" i="2"/>
  <c r="S284" i="2"/>
  <c r="N284" i="2"/>
  <c r="M284" i="2"/>
  <c r="H284" i="2"/>
  <c r="G284" i="2"/>
  <c r="T283" i="2"/>
  <c r="S283" i="2"/>
  <c r="N283" i="2"/>
  <c r="M283" i="2"/>
  <c r="H283" i="2"/>
  <c r="G283" i="2"/>
  <c r="T282" i="2"/>
  <c r="S282" i="2"/>
  <c r="N282" i="2"/>
  <c r="M282" i="2"/>
  <c r="H282" i="2"/>
  <c r="G282" i="2"/>
  <c r="T281" i="2"/>
  <c r="S281" i="2"/>
  <c r="N281" i="2"/>
  <c r="M281" i="2"/>
  <c r="H281" i="2"/>
  <c r="G281" i="2"/>
  <c r="T280" i="2"/>
  <c r="S280" i="2"/>
  <c r="N280" i="2"/>
  <c r="M280" i="2"/>
  <c r="H280" i="2"/>
  <c r="G280" i="2"/>
  <c r="T279" i="2"/>
  <c r="S279" i="2"/>
  <c r="N279" i="2"/>
  <c r="M279" i="2"/>
  <c r="H279" i="2"/>
  <c r="G279" i="2"/>
  <c r="T278" i="2"/>
  <c r="S278" i="2"/>
  <c r="N278" i="2"/>
  <c r="M278" i="2"/>
  <c r="H278" i="2"/>
  <c r="G278" i="2"/>
  <c r="T277" i="2"/>
  <c r="S277" i="2"/>
  <c r="N277" i="2"/>
  <c r="M277" i="2"/>
  <c r="H277" i="2"/>
  <c r="G277" i="2"/>
  <c r="T276" i="2"/>
  <c r="S276" i="2"/>
  <c r="N276" i="2"/>
  <c r="M276" i="2"/>
  <c r="H276" i="2"/>
  <c r="G276" i="2"/>
  <c r="T275" i="2"/>
  <c r="S275" i="2"/>
  <c r="N275" i="2"/>
  <c r="M275" i="2"/>
  <c r="H275" i="2"/>
  <c r="G275" i="2"/>
  <c r="T274" i="2"/>
  <c r="S274" i="2"/>
  <c r="N274" i="2"/>
  <c r="M274" i="2"/>
  <c r="H274" i="2"/>
  <c r="G274" i="2"/>
  <c r="T273" i="2"/>
  <c r="S273" i="2"/>
  <c r="N273" i="2"/>
  <c r="M273" i="2"/>
  <c r="H273" i="2"/>
  <c r="G273" i="2"/>
  <c r="T272" i="2"/>
  <c r="S272" i="2"/>
  <c r="N272" i="2"/>
  <c r="M272" i="2"/>
  <c r="H272" i="2"/>
  <c r="G272" i="2"/>
  <c r="T271" i="2"/>
  <c r="S271" i="2"/>
  <c r="N271" i="2"/>
  <c r="M271" i="2"/>
  <c r="H271" i="2"/>
  <c r="G271" i="2"/>
  <c r="T270" i="2"/>
  <c r="S270" i="2"/>
  <c r="N270" i="2"/>
  <c r="M270" i="2"/>
  <c r="H270" i="2"/>
  <c r="G270" i="2"/>
  <c r="T269" i="2"/>
  <c r="S269" i="2"/>
  <c r="N269" i="2"/>
  <c r="M269" i="2"/>
  <c r="H269" i="2"/>
  <c r="G269" i="2"/>
  <c r="T268" i="2"/>
  <c r="S268" i="2"/>
  <c r="N268" i="2"/>
  <c r="M268" i="2"/>
  <c r="H268" i="2"/>
  <c r="G268" i="2"/>
  <c r="T267" i="2"/>
  <c r="S267" i="2"/>
  <c r="N267" i="2"/>
  <c r="M267" i="2"/>
  <c r="H267" i="2"/>
  <c r="G267" i="2"/>
  <c r="T266" i="2"/>
  <c r="S266" i="2"/>
  <c r="N266" i="2"/>
  <c r="M266" i="2"/>
  <c r="H266" i="2"/>
  <c r="G266" i="2"/>
  <c r="T265" i="2"/>
  <c r="S265" i="2"/>
  <c r="N265" i="2"/>
  <c r="M265" i="2"/>
  <c r="H265" i="2"/>
  <c r="G265" i="2"/>
  <c r="T264" i="2"/>
  <c r="S264" i="2"/>
  <c r="N264" i="2"/>
  <c r="M264" i="2"/>
  <c r="H264" i="2"/>
  <c r="G264" i="2"/>
  <c r="T263" i="2"/>
  <c r="S263" i="2"/>
  <c r="N263" i="2"/>
  <c r="M263" i="2"/>
  <c r="H263" i="2"/>
  <c r="G263" i="2"/>
  <c r="T262" i="2"/>
  <c r="S262" i="2"/>
  <c r="N262" i="2"/>
  <c r="M262" i="2"/>
  <c r="H262" i="2"/>
  <c r="G262" i="2"/>
  <c r="T261" i="2"/>
  <c r="S261" i="2"/>
  <c r="N261" i="2"/>
  <c r="M261" i="2"/>
  <c r="H261" i="2"/>
  <c r="G261" i="2"/>
  <c r="T260" i="2"/>
  <c r="S260" i="2"/>
  <c r="N260" i="2"/>
  <c r="M260" i="2"/>
  <c r="H260" i="2"/>
  <c r="G260" i="2"/>
  <c r="T259" i="2"/>
  <c r="S259" i="2"/>
  <c r="N259" i="2"/>
  <c r="M259" i="2"/>
  <c r="H259" i="2"/>
  <c r="G259" i="2"/>
  <c r="T258" i="2"/>
  <c r="S258" i="2"/>
  <c r="N258" i="2"/>
  <c r="M258" i="2"/>
  <c r="H258" i="2"/>
  <c r="G258" i="2"/>
  <c r="T257" i="2"/>
  <c r="S257" i="2"/>
  <c r="N257" i="2"/>
  <c r="M257" i="2"/>
  <c r="H257" i="2"/>
  <c r="G257" i="2"/>
  <c r="T256" i="2"/>
  <c r="S256" i="2"/>
  <c r="N256" i="2"/>
  <c r="M256" i="2"/>
  <c r="H256" i="2"/>
  <c r="G256" i="2"/>
  <c r="T255" i="2"/>
  <c r="S255" i="2"/>
  <c r="N255" i="2"/>
  <c r="M255" i="2"/>
  <c r="H255" i="2"/>
  <c r="G255" i="2"/>
  <c r="T254" i="2"/>
  <c r="S254" i="2"/>
  <c r="N254" i="2"/>
  <c r="M254" i="2"/>
  <c r="H254" i="2"/>
  <c r="G254" i="2"/>
  <c r="T253" i="2"/>
  <c r="S253" i="2"/>
  <c r="N253" i="2"/>
  <c r="M253" i="2"/>
  <c r="H253" i="2"/>
  <c r="G253" i="2"/>
  <c r="T252" i="2"/>
  <c r="S252" i="2"/>
  <c r="N252" i="2"/>
  <c r="M252" i="2"/>
  <c r="H252" i="2"/>
  <c r="G252" i="2"/>
  <c r="T251" i="2"/>
  <c r="S251" i="2"/>
  <c r="N251" i="2"/>
  <c r="M251" i="2"/>
  <c r="H251" i="2"/>
  <c r="G251" i="2"/>
  <c r="T250" i="2"/>
  <c r="S250" i="2"/>
  <c r="N250" i="2"/>
  <c r="M250" i="2"/>
  <c r="H250" i="2"/>
  <c r="G250" i="2"/>
  <c r="T249" i="2"/>
  <c r="S249" i="2"/>
  <c r="N249" i="2"/>
  <c r="M249" i="2"/>
  <c r="H249" i="2"/>
  <c r="G249" i="2"/>
  <c r="T248" i="2"/>
  <c r="S248" i="2"/>
  <c r="N248" i="2"/>
  <c r="M248" i="2"/>
  <c r="H248" i="2"/>
  <c r="G248" i="2"/>
  <c r="T247" i="2"/>
  <c r="S247" i="2"/>
  <c r="N247" i="2"/>
  <c r="M247" i="2"/>
  <c r="H247" i="2"/>
  <c r="G247" i="2"/>
  <c r="T246" i="2"/>
  <c r="S246" i="2"/>
  <c r="N246" i="2"/>
  <c r="M246" i="2"/>
  <c r="H246" i="2"/>
  <c r="G246" i="2"/>
  <c r="T245" i="2"/>
  <c r="S245" i="2"/>
  <c r="N245" i="2"/>
  <c r="M245" i="2"/>
  <c r="H245" i="2"/>
  <c r="G245" i="2"/>
  <c r="T244" i="2"/>
  <c r="S244" i="2"/>
  <c r="N244" i="2"/>
  <c r="M244" i="2"/>
  <c r="H244" i="2"/>
  <c r="G244" i="2"/>
  <c r="T243" i="2"/>
  <c r="S243" i="2"/>
  <c r="N243" i="2"/>
  <c r="M243" i="2"/>
  <c r="H243" i="2"/>
  <c r="G243" i="2"/>
  <c r="T242" i="2"/>
  <c r="S242" i="2"/>
  <c r="N242" i="2"/>
  <c r="M242" i="2"/>
  <c r="H242" i="2"/>
  <c r="G242" i="2"/>
  <c r="T241" i="2"/>
  <c r="S241" i="2"/>
  <c r="N241" i="2"/>
  <c r="M241" i="2"/>
  <c r="H241" i="2"/>
  <c r="G241" i="2"/>
  <c r="T240" i="2"/>
  <c r="S240" i="2"/>
  <c r="N240" i="2"/>
  <c r="M240" i="2"/>
  <c r="H240" i="2"/>
  <c r="G240" i="2"/>
  <c r="T239" i="2"/>
  <c r="S239" i="2"/>
  <c r="N239" i="2"/>
  <c r="M239" i="2"/>
  <c r="H239" i="2"/>
  <c r="G239" i="2"/>
  <c r="T238" i="2"/>
  <c r="S238" i="2"/>
  <c r="N238" i="2"/>
  <c r="M238" i="2"/>
  <c r="H238" i="2"/>
  <c r="G238" i="2"/>
  <c r="T237" i="2"/>
  <c r="S237" i="2"/>
  <c r="N237" i="2"/>
  <c r="M237" i="2"/>
  <c r="H237" i="2"/>
  <c r="G237" i="2"/>
  <c r="T236" i="2"/>
  <c r="S236" i="2"/>
  <c r="N236" i="2"/>
  <c r="M236" i="2"/>
  <c r="H236" i="2"/>
  <c r="G236" i="2"/>
  <c r="T235" i="2"/>
  <c r="S235" i="2"/>
  <c r="N235" i="2"/>
  <c r="M235" i="2"/>
  <c r="H235" i="2"/>
  <c r="G235" i="2"/>
  <c r="T234" i="2"/>
  <c r="S234" i="2"/>
  <c r="N234" i="2"/>
  <c r="M234" i="2"/>
  <c r="H234" i="2"/>
  <c r="G234" i="2"/>
  <c r="T233" i="2"/>
  <c r="S233" i="2"/>
  <c r="N233" i="2"/>
  <c r="M233" i="2"/>
  <c r="H233" i="2"/>
  <c r="G233" i="2"/>
  <c r="T232" i="2"/>
  <c r="S232" i="2"/>
  <c r="N232" i="2"/>
  <c r="M232" i="2"/>
  <c r="H232" i="2"/>
  <c r="G232" i="2"/>
  <c r="T231" i="2"/>
  <c r="S231" i="2"/>
  <c r="N231" i="2"/>
  <c r="M231" i="2"/>
  <c r="H231" i="2"/>
  <c r="G231" i="2"/>
  <c r="T230" i="2"/>
  <c r="S230" i="2"/>
  <c r="N230" i="2"/>
  <c r="M230" i="2"/>
  <c r="H230" i="2"/>
  <c r="G230" i="2"/>
  <c r="T229" i="2"/>
  <c r="S229" i="2"/>
  <c r="N229" i="2"/>
  <c r="M229" i="2"/>
  <c r="H229" i="2"/>
  <c r="G229" i="2"/>
  <c r="T228" i="2"/>
  <c r="S228" i="2"/>
  <c r="N228" i="2"/>
  <c r="M228" i="2"/>
  <c r="H228" i="2"/>
  <c r="G228" i="2"/>
  <c r="T227" i="2"/>
  <c r="S227" i="2"/>
  <c r="N227" i="2"/>
  <c r="M227" i="2"/>
  <c r="H227" i="2"/>
  <c r="G227" i="2"/>
  <c r="T226" i="2"/>
  <c r="S226" i="2"/>
  <c r="N226" i="2"/>
  <c r="M226" i="2"/>
  <c r="H226" i="2"/>
  <c r="G226" i="2"/>
  <c r="T225" i="2"/>
  <c r="S225" i="2"/>
  <c r="N225" i="2"/>
  <c r="M225" i="2"/>
  <c r="H225" i="2"/>
  <c r="G225" i="2"/>
  <c r="T224" i="2"/>
  <c r="S224" i="2"/>
  <c r="N224" i="2"/>
  <c r="M224" i="2"/>
  <c r="H224" i="2"/>
  <c r="G224" i="2"/>
  <c r="T223" i="2"/>
  <c r="S223" i="2"/>
  <c r="N223" i="2"/>
  <c r="M223" i="2"/>
  <c r="H223" i="2"/>
  <c r="G223" i="2"/>
  <c r="T222" i="2"/>
  <c r="S222" i="2"/>
  <c r="N222" i="2"/>
  <c r="M222" i="2"/>
  <c r="H222" i="2"/>
  <c r="G222" i="2"/>
  <c r="T221" i="2"/>
  <c r="S221" i="2"/>
  <c r="N221" i="2"/>
  <c r="M221" i="2"/>
  <c r="H221" i="2"/>
  <c r="G221" i="2"/>
  <c r="T220" i="2"/>
  <c r="S220" i="2"/>
  <c r="N220" i="2"/>
  <c r="M220" i="2"/>
  <c r="H220" i="2"/>
  <c r="G220" i="2"/>
  <c r="T219" i="2"/>
  <c r="S219" i="2"/>
  <c r="N219" i="2"/>
  <c r="M219" i="2"/>
  <c r="H219" i="2"/>
  <c r="G219" i="2"/>
  <c r="T218" i="2"/>
  <c r="S218" i="2"/>
  <c r="N218" i="2"/>
  <c r="M218" i="2"/>
  <c r="H218" i="2"/>
  <c r="G218" i="2"/>
  <c r="T217" i="2"/>
  <c r="S217" i="2"/>
  <c r="N217" i="2"/>
  <c r="M217" i="2"/>
  <c r="H217" i="2"/>
  <c r="G217" i="2"/>
  <c r="T216" i="2"/>
  <c r="S216" i="2"/>
  <c r="N216" i="2"/>
  <c r="M216" i="2"/>
  <c r="H216" i="2"/>
  <c r="G216" i="2"/>
  <c r="T215" i="2"/>
  <c r="S215" i="2"/>
  <c r="N215" i="2"/>
  <c r="M215" i="2"/>
  <c r="H215" i="2"/>
  <c r="G215" i="2"/>
  <c r="T214" i="2"/>
  <c r="S214" i="2"/>
  <c r="N214" i="2"/>
  <c r="M214" i="2"/>
  <c r="H214" i="2"/>
  <c r="G214" i="2"/>
  <c r="T213" i="2"/>
  <c r="S213" i="2"/>
  <c r="N213" i="2"/>
  <c r="M213" i="2"/>
  <c r="H213" i="2"/>
  <c r="G213" i="2"/>
  <c r="T212" i="2"/>
  <c r="S212" i="2"/>
  <c r="N212" i="2"/>
  <c r="M212" i="2"/>
  <c r="H212" i="2"/>
  <c r="G212" i="2"/>
  <c r="T211" i="2"/>
  <c r="S211" i="2"/>
  <c r="N211" i="2"/>
  <c r="M211" i="2"/>
  <c r="H211" i="2"/>
  <c r="G211" i="2"/>
  <c r="T210" i="2"/>
  <c r="S210" i="2"/>
  <c r="N210" i="2"/>
  <c r="M210" i="2"/>
  <c r="H210" i="2"/>
  <c r="G210" i="2"/>
  <c r="T209" i="2"/>
  <c r="S209" i="2"/>
  <c r="N209" i="2"/>
  <c r="M209" i="2"/>
  <c r="H209" i="2"/>
  <c r="G209" i="2"/>
  <c r="T208" i="2"/>
  <c r="S208" i="2"/>
  <c r="N208" i="2"/>
  <c r="M208" i="2"/>
  <c r="H208" i="2"/>
  <c r="G208" i="2"/>
  <c r="T207" i="2"/>
  <c r="S207" i="2"/>
  <c r="N207" i="2"/>
  <c r="M207" i="2"/>
  <c r="H207" i="2"/>
  <c r="G207" i="2"/>
  <c r="T206" i="2"/>
  <c r="S206" i="2"/>
  <c r="N206" i="2"/>
  <c r="M206" i="2"/>
  <c r="H206" i="2"/>
  <c r="G206" i="2"/>
  <c r="T205" i="2"/>
  <c r="S205" i="2"/>
  <c r="N205" i="2"/>
  <c r="M205" i="2"/>
  <c r="H205" i="2"/>
  <c r="G205" i="2"/>
  <c r="T204" i="2"/>
  <c r="S204" i="2"/>
  <c r="N204" i="2"/>
  <c r="M204" i="2"/>
  <c r="H204" i="2"/>
  <c r="G204" i="2"/>
  <c r="T203" i="2"/>
  <c r="S203" i="2"/>
  <c r="N203" i="2"/>
  <c r="M203" i="2"/>
  <c r="H203" i="2"/>
  <c r="G203" i="2"/>
  <c r="T202" i="2"/>
  <c r="S202" i="2"/>
  <c r="N202" i="2"/>
  <c r="M202" i="2"/>
  <c r="H202" i="2"/>
  <c r="G202" i="2"/>
  <c r="T201" i="2"/>
  <c r="S201" i="2"/>
  <c r="N201" i="2"/>
  <c r="M201" i="2"/>
  <c r="H201" i="2"/>
  <c r="G201" i="2"/>
  <c r="T200" i="2"/>
  <c r="S200" i="2"/>
  <c r="N200" i="2"/>
  <c r="M200" i="2"/>
  <c r="H200" i="2"/>
  <c r="G200" i="2"/>
  <c r="T199" i="2"/>
  <c r="S199" i="2"/>
  <c r="N199" i="2"/>
  <c r="M199" i="2"/>
  <c r="H199" i="2"/>
  <c r="G199" i="2"/>
  <c r="T198" i="2"/>
  <c r="S198" i="2"/>
  <c r="N198" i="2"/>
  <c r="M198" i="2"/>
  <c r="H198" i="2"/>
  <c r="G198" i="2"/>
  <c r="T197" i="2"/>
  <c r="S197" i="2"/>
  <c r="N197" i="2"/>
  <c r="M197" i="2"/>
  <c r="H197" i="2"/>
  <c r="G197" i="2"/>
  <c r="T196" i="2"/>
  <c r="S196" i="2"/>
  <c r="N196" i="2"/>
  <c r="M196" i="2"/>
  <c r="H196" i="2"/>
  <c r="G196" i="2"/>
  <c r="T195" i="2"/>
  <c r="S195" i="2"/>
  <c r="N195" i="2"/>
  <c r="M195" i="2"/>
  <c r="H195" i="2"/>
  <c r="G195" i="2"/>
  <c r="T194" i="2"/>
  <c r="S194" i="2"/>
  <c r="N194" i="2"/>
  <c r="M194" i="2"/>
  <c r="H194" i="2"/>
  <c r="G194" i="2"/>
  <c r="T193" i="2"/>
  <c r="S193" i="2"/>
  <c r="N193" i="2"/>
  <c r="M193" i="2"/>
  <c r="H193" i="2"/>
  <c r="G193" i="2"/>
  <c r="T192" i="2"/>
  <c r="S192" i="2"/>
  <c r="N192" i="2"/>
  <c r="M192" i="2"/>
  <c r="H192" i="2"/>
  <c r="G192" i="2"/>
  <c r="T191" i="2"/>
  <c r="S191" i="2"/>
  <c r="N191" i="2"/>
  <c r="M191" i="2"/>
  <c r="H191" i="2"/>
  <c r="G191" i="2"/>
  <c r="T190" i="2"/>
  <c r="S190" i="2"/>
  <c r="N190" i="2"/>
  <c r="M190" i="2"/>
  <c r="H190" i="2"/>
  <c r="G190" i="2"/>
  <c r="T189" i="2"/>
  <c r="S189" i="2"/>
  <c r="N189" i="2"/>
  <c r="M189" i="2"/>
  <c r="H189" i="2"/>
  <c r="G189" i="2"/>
  <c r="T188" i="2"/>
  <c r="S188" i="2"/>
  <c r="N188" i="2"/>
  <c r="M188" i="2"/>
  <c r="H188" i="2"/>
  <c r="G188" i="2"/>
  <c r="T187" i="2"/>
  <c r="S187" i="2"/>
  <c r="N187" i="2"/>
  <c r="M187" i="2"/>
  <c r="H187" i="2"/>
  <c r="G187" i="2"/>
  <c r="T186" i="2"/>
  <c r="S186" i="2"/>
  <c r="N186" i="2"/>
  <c r="M186" i="2"/>
  <c r="H186" i="2"/>
  <c r="G186" i="2"/>
  <c r="T185" i="2"/>
  <c r="S185" i="2"/>
  <c r="N185" i="2"/>
  <c r="M185" i="2"/>
  <c r="H185" i="2"/>
  <c r="G185" i="2"/>
  <c r="T184" i="2"/>
  <c r="S184" i="2"/>
  <c r="N184" i="2"/>
  <c r="M184" i="2"/>
  <c r="H184" i="2"/>
  <c r="G184" i="2"/>
  <c r="T183" i="2"/>
  <c r="S183" i="2"/>
  <c r="N183" i="2"/>
  <c r="M183" i="2"/>
  <c r="H183" i="2"/>
  <c r="G183" i="2"/>
  <c r="T182" i="2"/>
  <c r="S182" i="2"/>
  <c r="N182" i="2"/>
  <c r="M182" i="2"/>
  <c r="H182" i="2"/>
  <c r="G182" i="2"/>
  <c r="T181" i="2"/>
  <c r="S181" i="2"/>
  <c r="N181" i="2"/>
  <c r="M181" i="2"/>
  <c r="H181" i="2"/>
  <c r="G181" i="2"/>
  <c r="T180" i="2"/>
  <c r="S180" i="2"/>
  <c r="N180" i="2"/>
  <c r="M180" i="2"/>
  <c r="H180" i="2"/>
  <c r="G180" i="2"/>
  <c r="T179" i="2"/>
  <c r="S179" i="2"/>
  <c r="N179" i="2"/>
  <c r="M179" i="2"/>
  <c r="H179" i="2"/>
  <c r="G179" i="2"/>
  <c r="T178" i="2"/>
  <c r="S178" i="2"/>
  <c r="N178" i="2"/>
  <c r="M178" i="2"/>
  <c r="H178" i="2"/>
  <c r="G178" i="2"/>
  <c r="T177" i="2"/>
  <c r="S177" i="2"/>
  <c r="N177" i="2"/>
  <c r="M177" i="2"/>
  <c r="H177" i="2"/>
  <c r="G177" i="2"/>
  <c r="T176" i="2"/>
  <c r="S176" i="2"/>
  <c r="N176" i="2"/>
  <c r="M176" i="2"/>
  <c r="H176" i="2"/>
  <c r="G176" i="2"/>
  <c r="T175" i="2"/>
  <c r="S175" i="2"/>
  <c r="N175" i="2"/>
  <c r="M175" i="2"/>
  <c r="H175" i="2"/>
  <c r="G175" i="2"/>
  <c r="T174" i="2"/>
  <c r="S174" i="2"/>
  <c r="N174" i="2"/>
  <c r="M174" i="2"/>
  <c r="H174" i="2"/>
  <c r="G174" i="2"/>
  <c r="T173" i="2"/>
  <c r="S173" i="2"/>
  <c r="N173" i="2"/>
  <c r="M173" i="2"/>
  <c r="H173" i="2"/>
  <c r="G173" i="2"/>
  <c r="T172" i="2"/>
  <c r="S172" i="2"/>
  <c r="N172" i="2"/>
  <c r="M172" i="2"/>
  <c r="H172" i="2"/>
  <c r="G172" i="2"/>
  <c r="T171" i="2"/>
  <c r="S171" i="2"/>
  <c r="N171" i="2"/>
  <c r="M171" i="2"/>
  <c r="H171" i="2"/>
  <c r="G171" i="2"/>
  <c r="T170" i="2"/>
  <c r="S170" i="2"/>
  <c r="N170" i="2"/>
  <c r="M170" i="2"/>
  <c r="H170" i="2"/>
  <c r="G170" i="2"/>
  <c r="T169" i="2"/>
  <c r="S169" i="2"/>
  <c r="N169" i="2"/>
  <c r="M169" i="2"/>
  <c r="H169" i="2"/>
  <c r="G169" i="2"/>
  <c r="T168" i="2"/>
  <c r="S168" i="2"/>
  <c r="N168" i="2"/>
  <c r="M168" i="2"/>
  <c r="H168" i="2"/>
  <c r="G168" i="2"/>
  <c r="T167" i="2"/>
  <c r="S167" i="2"/>
  <c r="N167" i="2"/>
  <c r="M167" i="2"/>
  <c r="H167" i="2"/>
  <c r="G167" i="2"/>
  <c r="T166" i="2"/>
  <c r="S166" i="2"/>
  <c r="N166" i="2"/>
  <c r="M166" i="2"/>
  <c r="H166" i="2"/>
  <c r="G166" i="2"/>
  <c r="T165" i="2"/>
  <c r="S165" i="2"/>
  <c r="N165" i="2"/>
  <c r="M165" i="2"/>
  <c r="H165" i="2"/>
  <c r="G165" i="2"/>
  <c r="T164" i="2"/>
  <c r="S164" i="2"/>
  <c r="N164" i="2"/>
  <c r="M164" i="2"/>
  <c r="H164" i="2"/>
  <c r="G164" i="2"/>
  <c r="T163" i="2"/>
  <c r="S163" i="2"/>
  <c r="N163" i="2"/>
  <c r="M163" i="2"/>
  <c r="H163" i="2"/>
  <c r="G163" i="2"/>
  <c r="T162" i="2"/>
  <c r="S162" i="2"/>
  <c r="N162" i="2"/>
  <c r="M162" i="2"/>
  <c r="H162" i="2"/>
  <c r="G162" i="2"/>
  <c r="T161" i="2"/>
  <c r="S161" i="2"/>
  <c r="N161" i="2"/>
  <c r="M161" i="2"/>
  <c r="H161" i="2"/>
  <c r="G161" i="2"/>
  <c r="T160" i="2"/>
  <c r="S160" i="2"/>
  <c r="N160" i="2"/>
  <c r="M160" i="2"/>
  <c r="H160" i="2"/>
  <c r="G160" i="2"/>
  <c r="T159" i="2"/>
  <c r="S159" i="2"/>
  <c r="N159" i="2"/>
  <c r="M159" i="2"/>
  <c r="H159" i="2"/>
  <c r="G159" i="2"/>
  <c r="T158" i="2"/>
  <c r="S158" i="2"/>
  <c r="N158" i="2"/>
  <c r="M158" i="2"/>
  <c r="H158" i="2"/>
  <c r="G158" i="2"/>
  <c r="T157" i="2"/>
  <c r="S157" i="2"/>
  <c r="N157" i="2"/>
  <c r="M157" i="2"/>
  <c r="H157" i="2"/>
  <c r="G157" i="2"/>
  <c r="T156" i="2"/>
  <c r="S156" i="2"/>
  <c r="N156" i="2"/>
  <c r="M156" i="2"/>
  <c r="H156" i="2"/>
  <c r="G156" i="2"/>
  <c r="T155" i="2"/>
  <c r="S155" i="2"/>
  <c r="N155" i="2"/>
  <c r="M155" i="2"/>
  <c r="H155" i="2"/>
  <c r="G155" i="2"/>
  <c r="T154" i="2"/>
  <c r="S154" i="2"/>
  <c r="N154" i="2"/>
  <c r="M154" i="2"/>
  <c r="H154" i="2"/>
  <c r="G154" i="2"/>
  <c r="T153" i="2"/>
  <c r="S153" i="2"/>
  <c r="N153" i="2"/>
  <c r="M153" i="2"/>
  <c r="H153" i="2"/>
  <c r="G153" i="2"/>
  <c r="T152" i="2"/>
  <c r="S152" i="2"/>
  <c r="N152" i="2"/>
  <c r="M152" i="2"/>
  <c r="H152" i="2"/>
  <c r="G152" i="2"/>
  <c r="T151" i="2"/>
  <c r="S151" i="2"/>
  <c r="N151" i="2"/>
  <c r="M151" i="2"/>
  <c r="H151" i="2"/>
  <c r="G151" i="2"/>
  <c r="T150" i="2"/>
  <c r="S150" i="2"/>
  <c r="N150" i="2"/>
  <c r="M150" i="2"/>
  <c r="H150" i="2"/>
  <c r="G150" i="2"/>
  <c r="T149" i="2"/>
  <c r="S149" i="2"/>
  <c r="N149" i="2"/>
  <c r="M149" i="2"/>
  <c r="H149" i="2"/>
  <c r="G149" i="2"/>
  <c r="T148" i="2"/>
  <c r="S148" i="2"/>
  <c r="N148" i="2"/>
  <c r="M148" i="2"/>
  <c r="H148" i="2"/>
  <c r="G148" i="2"/>
  <c r="T147" i="2"/>
  <c r="S147" i="2"/>
  <c r="N147" i="2"/>
  <c r="M147" i="2"/>
  <c r="H147" i="2"/>
  <c r="G147" i="2"/>
  <c r="T146" i="2"/>
  <c r="S146" i="2"/>
  <c r="N146" i="2"/>
  <c r="M146" i="2"/>
  <c r="H146" i="2"/>
  <c r="G146" i="2"/>
  <c r="T145" i="2"/>
  <c r="S145" i="2"/>
  <c r="N145" i="2"/>
  <c r="M145" i="2"/>
  <c r="H145" i="2"/>
  <c r="G145" i="2"/>
  <c r="T144" i="2"/>
  <c r="S144" i="2"/>
  <c r="N144" i="2"/>
  <c r="M144" i="2"/>
  <c r="H144" i="2"/>
  <c r="G144" i="2"/>
  <c r="T143" i="2"/>
  <c r="S143" i="2"/>
  <c r="N143" i="2"/>
  <c r="M143" i="2"/>
  <c r="H143" i="2"/>
  <c r="G143" i="2"/>
  <c r="T142" i="2"/>
  <c r="S142" i="2"/>
  <c r="N142" i="2"/>
  <c r="M142" i="2"/>
  <c r="H142" i="2"/>
  <c r="G142" i="2"/>
  <c r="T141" i="2"/>
  <c r="S141" i="2"/>
  <c r="N141" i="2"/>
  <c r="M141" i="2"/>
  <c r="H141" i="2"/>
  <c r="G141" i="2"/>
  <c r="T140" i="2"/>
  <c r="S140" i="2"/>
  <c r="N140" i="2"/>
  <c r="M140" i="2"/>
  <c r="H140" i="2"/>
  <c r="G140" i="2"/>
  <c r="T139" i="2"/>
  <c r="S139" i="2"/>
  <c r="N139" i="2"/>
  <c r="M139" i="2"/>
  <c r="H139" i="2"/>
  <c r="G139" i="2"/>
  <c r="T138" i="2"/>
  <c r="S138" i="2"/>
  <c r="N138" i="2"/>
  <c r="M138" i="2"/>
  <c r="H138" i="2"/>
  <c r="G138" i="2"/>
  <c r="T137" i="2"/>
  <c r="S137" i="2"/>
  <c r="N137" i="2"/>
  <c r="M137" i="2"/>
  <c r="H137" i="2"/>
  <c r="G137" i="2"/>
  <c r="T136" i="2"/>
  <c r="S136" i="2"/>
  <c r="N136" i="2"/>
  <c r="M136" i="2"/>
  <c r="H136" i="2"/>
  <c r="G136" i="2"/>
  <c r="T135" i="2"/>
  <c r="S135" i="2"/>
  <c r="N135" i="2"/>
  <c r="M135" i="2"/>
  <c r="H135" i="2"/>
  <c r="G135" i="2"/>
  <c r="T134" i="2"/>
  <c r="S134" i="2"/>
  <c r="N134" i="2"/>
  <c r="M134" i="2"/>
  <c r="H134" i="2"/>
  <c r="G134" i="2"/>
  <c r="T133" i="2"/>
  <c r="S133" i="2"/>
  <c r="N133" i="2"/>
  <c r="M133" i="2"/>
  <c r="H133" i="2"/>
  <c r="G133" i="2"/>
  <c r="T132" i="2"/>
  <c r="S132" i="2"/>
  <c r="N132" i="2"/>
  <c r="M132" i="2"/>
  <c r="H132" i="2"/>
  <c r="G132" i="2"/>
  <c r="T131" i="2"/>
  <c r="S131" i="2"/>
  <c r="N131" i="2"/>
  <c r="M131" i="2"/>
  <c r="H131" i="2"/>
  <c r="G131" i="2"/>
  <c r="T130" i="2"/>
  <c r="S130" i="2"/>
  <c r="N130" i="2"/>
  <c r="M130" i="2"/>
  <c r="H130" i="2"/>
  <c r="G130" i="2"/>
  <c r="T129" i="2"/>
  <c r="S129" i="2"/>
  <c r="N129" i="2"/>
  <c r="M129" i="2"/>
  <c r="H129" i="2"/>
  <c r="G129" i="2"/>
  <c r="T128" i="2"/>
  <c r="S128" i="2"/>
  <c r="N128" i="2"/>
  <c r="M128" i="2"/>
  <c r="H128" i="2"/>
  <c r="G128" i="2"/>
  <c r="T127" i="2"/>
  <c r="S127" i="2"/>
  <c r="N127" i="2"/>
  <c r="M127" i="2"/>
  <c r="H127" i="2"/>
  <c r="G127" i="2"/>
  <c r="T126" i="2"/>
  <c r="S126" i="2"/>
  <c r="N126" i="2"/>
  <c r="M126" i="2"/>
  <c r="H126" i="2"/>
  <c r="G126" i="2"/>
  <c r="T125" i="2"/>
  <c r="S125" i="2"/>
  <c r="N125" i="2"/>
  <c r="M125" i="2"/>
  <c r="H125" i="2"/>
  <c r="G125" i="2"/>
  <c r="T124" i="2"/>
  <c r="S124" i="2"/>
  <c r="N124" i="2"/>
  <c r="M124" i="2"/>
  <c r="H124" i="2"/>
  <c r="G124" i="2"/>
  <c r="T123" i="2"/>
  <c r="S123" i="2"/>
  <c r="N123" i="2"/>
  <c r="M123" i="2"/>
  <c r="H123" i="2"/>
  <c r="G123" i="2"/>
  <c r="T122" i="2"/>
  <c r="S122" i="2"/>
  <c r="N122" i="2"/>
  <c r="M122" i="2"/>
  <c r="H122" i="2"/>
  <c r="G122" i="2"/>
  <c r="T121" i="2"/>
  <c r="S121" i="2"/>
  <c r="N121" i="2"/>
  <c r="M121" i="2"/>
  <c r="H121" i="2"/>
  <c r="G121" i="2"/>
  <c r="T120" i="2"/>
  <c r="S120" i="2"/>
  <c r="N120" i="2"/>
  <c r="M120" i="2"/>
  <c r="H120" i="2"/>
  <c r="G120" i="2"/>
  <c r="T119" i="2"/>
  <c r="S119" i="2"/>
  <c r="N119" i="2"/>
  <c r="M119" i="2"/>
  <c r="H119" i="2"/>
  <c r="G119" i="2"/>
  <c r="T118" i="2"/>
  <c r="S118" i="2"/>
  <c r="N118" i="2"/>
  <c r="M118" i="2"/>
  <c r="H118" i="2"/>
  <c r="G118" i="2"/>
  <c r="T117" i="2"/>
  <c r="S117" i="2"/>
  <c r="N117" i="2"/>
  <c r="M117" i="2"/>
  <c r="H117" i="2"/>
  <c r="G117" i="2"/>
  <c r="T116" i="2"/>
  <c r="S116" i="2"/>
  <c r="N116" i="2"/>
  <c r="M116" i="2"/>
  <c r="H116" i="2"/>
  <c r="G116" i="2"/>
  <c r="T115" i="2"/>
  <c r="S115" i="2"/>
  <c r="N115" i="2"/>
  <c r="M115" i="2"/>
  <c r="H115" i="2"/>
  <c r="G115" i="2"/>
  <c r="T114" i="2"/>
  <c r="S114" i="2"/>
  <c r="N114" i="2"/>
  <c r="M114" i="2"/>
  <c r="H114" i="2"/>
  <c r="G114" i="2"/>
  <c r="T113" i="2"/>
  <c r="S113" i="2"/>
  <c r="N113" i="2"/>
  <c r="M113" i="2"/>
  <c r="H113" i="2"/>
  <c r="G113" i="2"/>
  <c r="T112" i="2"/>
  <c r="S112" i="2"/>
  <c r="N112" i="2"/>
  <c r="M112" i="2"/>
  <c r="H112" i="2"/>
  <c r="G112" i="2"/>
  <c r="T111" i="2"/>
  <c r="S111" i="2"/>
  <c r="N111" i="2"/>
  <c r="M111" i="2"/>
  <c r="H111" i="2"/>
  <c r="G111" i="2"/>
  <c r="T110" i="2"/>
  <c r="S110" i="2"/>
  <c r="N110" i="2"/>
  <c r="M110" i="2"/>
  <c r="H110" i="2"/>
  <c r="G110" i="2"/>
  <c r="T109" i="2"/>
  <c r="S109" i="2"/>
  <c r="N109" i="2"/>
  <c r="M109" i="2"/>
  <c r="H109" i="2"/>
  <c r="G109" i="2"/>
  <c r="T108" i="2"/>
  <c r="S108" i="2"/>
  <c r="N108" i="2"/>
  <c r="M108" i="2"/>
  <c r="H108" i="2"/>
  <c r="G108" i="2"/>
  <c r="T107" i="2"/>
  <c r="S107" i="2"/>
  <c r="N107" i="2"/>
  <c r="M107" i="2"/>
  <c r="H107" i="2"/>
  <c r="G107" i="2"/>
  <c r="T106" i="2"/>
  <c r="S106" i="2"/>
  <c r="N106" i="2"/>
  <c r="M106" i="2"/>
  <c r="H106" i="2"/>
  <c r="G106" i="2"/>
  <c r="T105" i="2"/>
  <c r="S105" i="2"/>
  <c r="N105" i="2"/>
  <c r="M105" i="2"/>
  <c r="H105" i="2"/>
  <c r="G105" i="2"/>
  <c r="T104" i="2"/>
  <c r="S104" i="2"/>
  <c r="N104" i="2"/>
  <c r="M104" i="2"/>
  <c r="H104" i="2"/>
  <c r="G104" i="2"/>
  <c r="T103" i="2"/>
  <c r="S103" i="2"/>
  <c r="N103" i="2"/>
  <c r="M103" i="2"/>
  <c r="H103" i="2"/>
  <c r="G103" i="2"/>
  <c r="T102" i="2"/>
  <c r="S102" i="2"/>
  <c r="N102" i="2"/>
  <c r="M102" i="2"/>
  <c r="H102" i="2"/>
  <c r="G102" i="2"/>
  <c r="T101" i="2"/>
  <c r="S101" i="2"/>
  <c r="N101" i="2"/>
  <c r="M101" i="2"/>
  <c r="H101" i="2"/>
  <c r="G101" i="2"/>
  <c r="T100" i="2"/>
  <c r="S100" i="2"/>
  <c r="N100" i="2"/>
  <c r="M100" i="2"/>
  <c r="H100" i="2"/>
  <c r="G100" i="2"/>
  <c r="T99" i="2"/>
  <c r="S99" i="2"/>
  <c r="N99" i="2"/>
  <c r="M99" i="2"/>
  <c r="H99" i="2"/>
  <c r="G99" i="2"/>
  <c r="T98" i="2"/>
  <c r="S98" i="2"/>
  <c r="N98" i="2"/>
  <c r="M98" i="2"/>
  <c r="H98" i="2"/>
  <c r="G98" i="2"/>
  <c r="T97" i="2"/>
  <c r="S97" i="2"/>
  <c r="N97" i="2"/>
  <c r="M97" i="2"/>
  <c r="H97" i="2"/>
  <c r="G97" i="2"/>
  <c r="T96" i="2"/>
  <c r="S96" i="2"/>
  <c r="N96" i="2"/>
  <c r="M96" i="2"/>
  <c r="H96" i="2"/>
  <c r="G96" i="2"/>
  <c r="T95" i="2"/>
  <c r="S95" i="2"/>
  <c r="N95" i="2"/>
  <c r="M95" i="2"/>
  <c r="H95" i="2"/>
  <c r="G95" i="2"/>
  <c r="T94" i="2"/>
  <c r="S94" i="2"/>
  <c r="N94" i="2"/>
  <c r="M94" i="2"/>
  <c r="H94" i="2"/>
  <c r="G94" i="2"/>
  <c r="T93" i="2"/>
  <c r="S93" i="2"/>
  <c r="N93" i="2"/>
  <c r="M93" i="2"/>
  <c r="H93" i="2"/>
  <c r="G93" i="2"/>
  <c r="T92" i="2"/>
  <c r="S92" i="2"/>
  <c r="N92" i="2"/>
  <c r="M92" i="2"/>
  <c r="H92" i="2"/>
  <c r="G92" i="2"/>
  <c r="T91" i="2"/>
  <c r="S91" i="2"/>
  <c r="N91" i="2"/>
  <c r="M91" i="2"/>
  <c r="H91" i="2"/>
  <c r="G91" i="2"/>
  <c r="T90" i="2"/>
  <c r="S90" i="2"/>
  <c r="N90" i="2"/>
  <c r="M90" i="2"/>
  <c r="H90" i="2"/>
  <c r="G90" i="2"/>
  <c r="T89" i="2"/>
  <c r="S89" i="2"/>
  <c r="N89" i="2"/>
  <c r="M89" i="2"/>
  <c r="H89" i="2"/>
  <c r="G89" i="2"/>
  <c r="T88" i="2"/>
  <c r="S88" i="2"/>
  <c r="N88" i="2"/>
  <c r="M88" i="2"/>
  <c r="H88" i="2"/>
  <c r="G88" i="2"/>
  <c r="T87" i="2"/>
  <c r="S87" i="2"/>
  <c r="N87" i="2"/>
  <c r="M87" i="2"/>
  <c r="H87" i="2"/>
  <c r="G87" i="2"/>
  <c r="T86" i="2"/>
  <c r="S86" i="2"/>
  <c r="N86" i="2"/>
  <c r="M86" i="2"/>
  <c r="H86" i="2"/>
  <c r="G86" i="2"/>
  <c r="T85" i="2"/>
  <c r="S85" i="2"/>
  <c r="N85" i="2"/>
  <c r="M85" i="2"/>
  <c r="H85" i="2"/>
  <c r="G85" i="2"/>
  <c r="T84" i="2"/>
  <c r="S84" i="2"/>
  <c r="N84" i="2"/>
  <c r="M84" i="2"/>
  <c r="H84" i="2"/>
  <c r="G84" i="2"/>
  <c r="T83" i="2"/>
  <c r="S83" i="2"/>
  <c r="N83" i="2"/>
  <c r="M83" i="2"/>
  <c r="H83" i="2"/>
  <c r="G83" i="2"/>
  <c r="T82" i="2"/>
  <c r="S82" i="2"/>
  <c r="N82" i="2"/>
  <c r="M82" i="2"/>
  <c r="H82" i="2"/>
  <c r="G82" i="2"/>
  <c r="T81" i="2"/>
  <c r="S81" i="2"/>
  <c r="N81" i="2"/>
  <c r="M81" i="2"/>
  <c r="H81" i="2"/>
  <c r="G81" i="2"/>
  <c r="T80" i="2"/>
  <c r="S80" i="2"/>
  <c r="N80" i="2"/>
  <c r="M80" i="2"/>
  <c r="H80" i="2"/>
  <c r="G80" i="2"/>
  <c r="T79" i="2"/>
  <c r="S79" i="2"/>
  <c r="N79" i="2"/>
  <c r="M79" i="2"/>
  <c r="H79" i="2"/>
  <c r="G79" i="2"/>
  <c r="T78" i="2"/>
  <c r="S78" i="2"/>
  <c r="N78" i="2"/>
  <c r="M78" i="2"/>
  <c r="H78" i="2"/>
  <c r="G78" i="2"/>
  <c r="T77" i="2"/>
  <c r="S77" i="2"/>
  <c r="N77" i="2"/>
  <c r="M77" i="2"/>
  <c r="H77" i="2"/>
  <c r="G77" i="2"/>
  <c r="T76" i="2"/>
  <c r="S76" i="2"/>
  <c r="N76" i="2"/>
  <c r="M76" i="2"/>
  <c r="H76" i="2"/>
  <c r="G76" i="2"/>
  <c r="T75" i="2"/>
  <c r="S75" i="2"/>
  <c r="N75" i="2"/>
  <c r="M75" i="2"/>
  <c r="H75" i="2"/>
  <c r="G75" i="2"/>
  <c r="T74" i="2"/>
  <c r="S74" i="2"/>
  <c r="N74" i="2"/>
  <c r="M74" i="2"/>
  <c r="H74" i="2"/>
  <c r="G74" i="2"/>
  <c r="T73" i="2"/>
  <c r="S73" i="2"/>
  <c r="N73" i="2"/>
  <c r="M73" i="2"/>
  <c r="H73" i="2"/>
  <c r="G73" i="2"/>
  <c r="T72" i="2"/>
  <c r="S72" i="2"/>
  <c r="N72" i="2"/>
  <c r="M72" i="2"/>
  <c r="H72" i="2"/>
  <c r="G72" i="2"/>
  <c r="T71" i="2"/>
  <c r="S71" i="2"/>
  <c r="N71" i="2"/>
  <c r="M71" i="2"/>
  <c r="H71" i="2"/>
  <c r="G71" i="2"/>
  <c r="T70" i="2"/>
  <c r="S70" i="2"/>
  <c r="N70" i="2"/>
  <c r="M70" i="2"/>
  <c r="H70" i="2"/>
  <c r="G70" i="2"/>
  <c r="T69" i="2"/>
  <c r="S69" i="2"/>
  <c r="N69" i="2"/>
  <c r="M69" i="2"/>
  <c r="H69" i="2"/>
  <c r="G69" i="2"/>
  <c r="T68" i="2"/>
  <c r="S68" i="2"/>
  <c r="N68" i="2"/>
  <c r="M68" i="2"/>
  <c r="H68" i="2"/>
  <c r="G68" i="2"/>
  <c r="T67" i="2"/>
  <c r="S67" i="2"/>
  <c r="N67" i="2"/>
  <c r="M67" i="2"/>
  <c r="H67" i="2"/>
  <c r="G67" i="2"/>
  <c r="T66" i="2"/>
  <c r="S66" i="2"/>
  <c r="N66" i="2"/>
  <c r="M66" i="2"/>
  <c r="H66" i="2"/>
  <c r="G66" i="2"/>
  <c r="T65" i="2"/>
  <c r="S65" i="2"/>
  <c r="N65" i="2"/>
  <c r="M65" i="2"/>
  <c r="H65" i="2"/>
  <c r="G65" i="2"/>
  <c r="T64" i="2"/>
  <c r="S64" i="2"/>
  <c r="N64" i="2"/>
  <c r="M64" i="2"/>
  <c r="H64" i="2"/>
  <c r="G64" i="2"/>
  <c r="T63" i="2"/>
  <c r="S63" i="2"/>
  <c r="N63" i="2"/>
  <c r="M63" i="2"/>
  <c r="H63" i="2"/>
  <c r="G63" i="2"/>
  <c r="T62" i="2"/>
  <c r="S62" i="2"/>
  <c r="N62" i="2"/>
  <c r="M62" i="2"/>
  <c r="H62" i="2"/>
  <c r="G62" i="2"/>
  <c r="T61" i="2"/>
  <c r="S61" i="2"/>
  <c r="N61" i="2"/>
  <c r="M61" i="2"/>
  <c r="H61" i="2"/>
  <c r="G61" i="2"/>
  <c r="T60" i="2"/>
  <c r="S60" i="2"/>
  <c r="N60" i="2"/>
  <c r="M60" i="2"/>
  <c r="H60" i="2"/>
  <c r="G60" i="2"/>
  <c r="T59" i="2"/>
  <c r="S59" i="2"/>
  <c r="N59" i="2"/>
  <c r="M59" i="2"/>
  <c r="H59" i="2"/>
  <c r="G59" i="2"/>
  <c r="T58" i="2"/>
  <c r="S58" i="2"/>
  <c r="N58" i="2"/>
  <c r="M58" i="2"/>
  <c r="H58" i="2"/>
  <c r="G58" i="2"/>
  <c r="T57" i="2"/>
  <c r="S57" i="2"/>
  <c r="N57" i="2"/>
  <c r="M57" i="2"/>
  <c r="H57" i="2"/>
  <c r="G57" i="2"/>
  <c r="T56" i="2"/>
  <c r="S56" i="2"/>
  <c r="N56" i="2"/>
  <c r="M56" i="2"/>
  <c r="H56" i="2"/>
  <c r="G56" i="2"/>
  <c r="T55" i="2"/>
  <c r="S55" i="2"/>
  <c r="N55" i="2"/>
  <c r="M55" i="2"/>
  <c r="H55" i="2"/>
  <c r="G55" i="2"/>
  <c r="T54" i="2"/>
  <c r="S54" i="2"/>
  <c r="N54" i="2"/>
  <c r="M54" i="2"/>
  <c r="H54" i="2"/>
  <c r="G54" i="2"/>
  <c r="T53" i="2"/>
  <c r="S53" i="2"/>
  <c r="N53" i="2"/>
  <c r="M53" i="2"/>
  <c r="H53" i="2"/>
  <c r="G53" i="2"/>
  <c r="T52" i="2"/>
  <c r="S52" i="2"/>
  <c r="N52" i="2"/>
  <c r="M52" i="2"/>
  <c r="H52" i="2"/>
  <c r="G52" i="2"/>
  <c r="T51" i="2"/>
  <c r="S51" i="2"/>
  <c r="N51" i="2"/>
  <c r="M51" i="2"/>
  <c r="H51" i="2"/>
  <c r="G51" i="2"/>
  <c r="T50" i="2"/>
  <c r="S50" i="2"/>
  <c r="N50" i="2"/>
  <c r="M50" i="2"/>
  <c r="H50" i="2"/>
  <c r="G50" i="2"/>
  <c r="T49" i="2"/>
  <c r="S49" i="2"/>
  <c r="N49" i="2"/>
  <c r="M49" i="2"/>
  <c r="H49" i="2"/>
  <c r="G49" i="2"/>
  <c r="T48" i="2"/>
  <c r="S48" i="2"/>
  <c r="N48" i="2"/>
  <c r="M48" i="2"/>
  <c r="H48" i="2"/>
  <c r="G48" i="2"/>
  <c r="T47" i="2"/>
  <c r="S47" i="2"/>
  <c r="N47" i="2"/>
  <c r="M47" i="2"/>
  <c r="H47" i="2"/>
  <c r="G47" i="2"/>
  <c r="T46" i="2"/>
  <c r="S46" i="2"/>
  <c r="N46" i="2"/>
  <c r="M46" i="2"/>
  <c r="H46" i="2"/>
  <c r="G46" i="2"/>
  <c r="T45" i="2"/>
  <c r="S45" i="2"/>
  <c r="N45" i="2"/>
  <c r="M45" i="2"/>
  <c r="H45" i="2"/>
  <c r="G45" i="2"/>
  <c r="T44" i="2"/>
  <c r="S44" i="2"/>
  <c r="N44" i="2"/>
  <c r="M44" i="2"/>
  <c r="H44" i="2"/>
  <c r="G44" i="2"/>
  <c r="T43" i="2"/>
  <c r="S43" i="2"/>
  <c r="N43" i="2"/>
  <c r="M43" i="2"/>
  <c r="H43" i="2"/>
  <c r="G43" i="2"/>
  <c r="T42" i="2"/>
  <c r="S42" i="2"/>
  <c r="N42" i="2"/>
  <c r="M42" i="2"/>
  <c r="H42" i="2"/>
  <c r="G42" i="2"/>
  <c r="T41" i="2"/>
  <c r="S41" i="2"/>
  <c r="N41" i="2"/>
  <c r="M41" i="2"/>
  <c r="H41" i="2"/>
  <c r="G41" i="2"/>
  <c r="T40" i="2"/>
  <c r="S40" i="2"/>
  <c r="N40" i="2"/>
  <c r="M40" i="2"/>
  <c r="H40" i="2"/>
  <c r="G40" i="2"/>
  <c r="T39" i="2"/>
  <c r="S39" i="2"/>
  <c r="N39" i="2"/>
  <c r="M39" i="2"/>
  <c r="H39" i="2"/>
  <c r="G39" i="2"/>
  <c r="T38" i="2"/>
  <c r="S38" i="2"/>
  <c r="N38" i="2"/>
  <c r="M38" i="2"/>
  <c r="H38" i="2"/>
  <c r="G38" i="2"/>
  <c r="T37" i="2"/>
  <c r="S37" i="2"/>
  <c r="N37" i="2"/>
  <c r="M37" i="2"/>
  <c r="H37" i="2"/>
  <c r="G37" i="2"/>
  <c r="T36" i="2"/>
  <c r="S36" i="2"/>
  <c r="N36" i="2"/>
  <c r="M36" i="2"/>
  <c r="H36" i="2"/>
  <c r="G36" i="2"/>
  <c r="T35" i="2"/>
  <c r="S35" i="2"/>
  <c r="N35" i="2"/>
  <c r="M35" i="2"/>
  <c r="H35" i="2"/>
  <c r="G35" i="2"/>
  <c r="T34" i="2"/>
  <c r="S34" i="2"/>
  <c r="N34" i="2"/>
  <c r="M34" i="2"/>
  <c r="H34" i="2"/>
  <c r="G34" i="2"/>
  <c r="T33" i="2"/>
  <c r="S33" i="2"/>
  <c r="N33" i="2"/>
  <c r="M33" i="2"/>
  <c r="H33" i="2"/>
  <c r="G33" i="2"/>
  <c r="T32" i="2"/>
  <c r="S32" i="2"/>
  <c r="N32" i="2"/>
  <c r="M32" i="2"/>
  <c r="H32" i="2"/>
  <c r="G32" i="2"/>
  <c r="T31" i="2"/>
  <c r="S31" i="2"/>
  <c r="N31" i="2"/>
  <c r="M31" i="2"/>
  <c r="H31" i="2"/>
  <c r="G31" i="2"/>
  <c r="T30" i="2"/>
  <c r="S30" i="2"/>
  <c r="N30" i="2"/>
  <c r="M30" i="2"/>
  <c r="H30" i="2"/>
  <c r="G30" i="2"/>
  <c r="T29" i="2"/>
  <c r="S29" i="2"/>
  <c r="N29" i="2"/>
  <c r="M29" i="2"/>
  <c r="H29" i="2"/>
  <c r="G29" i="2"/>
  <c r="T28" i="2"/>
  <c r="S28" i="2"/>
  <c r="N28" i="2"/>
  <c r="M28" i="2"/>
  <c r="H28" i="2"/>
  <c r="G28" i="2"/>
  <c r="T27" i="2"/>
  <c r="S27" i="2"/>
  <c r="N27" i="2"/>
  <c r="M27" i="2"/>
  <c r="H27" i="2"/>
  <c r="G27" i="2"/>
  <c r="T26" i="2"/>
  <c r="S26" i="2"/>
  <c r="N26" i="2"/>
  <c r="M26" i="2"/>
  <c r="H26" i="2"/>
  <c r="G26" i="2"/>
  <c r="T25" i="2"/>
  <c r="S25" i="2"/>
  <c r="N25" i="2"/>
  <c r="M25" i="2"/>
  <c r="H25" i="2"/>
  <c r="G25" i="2"/>
  <c r="T24" i="2"/>
  <c r="S24" i="2"/>
  <c r="N24" i="2"/>
  <c r="M24" i="2"/>
  <c r="H24" i="2"/>
  <c r="G24" i="2"/>
  <c r="T23" i="2"/>
  <c r="S23" i="2"/>
  <c r="N23" i="2"/>
  <c r="M23" i="2"/>
  <c r="H23" i="2"/>
  <c r="G23" i="2"/>
  <c r="T22" i="2"/>
  <c r="S22" i="2"/>
  <c r="N22" i="2"/>
  <c r="M22" i="2"/>
  <c r="H22" i="2"/>
  <c r="G22" i="2"/>
  <c r="T21" i="2"/>
  <c r="S21" i="2"/>
  <c r="N21" i="2"/>
  <c r="M21" i="2"/>
  <c r="H21" i="2"/>
  <c r="G21" i="2"/>
  <c r="T20" i="2"/>
  <c r="S20" i="2"/>
  <c r="N20" i="2"/>
  <c r="M20" i="2"/>
  <c r="H20" i="2"/>
  <c r="G20" i="2"/>
  <c r="T19" i="2"/>
  <c r="S19" i="2"/>
  <c r="N19" i="2"/>
  <c r="M19" i="2"/>
  <c r="H19" i="2"/>
  <c r="G19" i="2"/>
  <c r="T18" i="2"/>
  <c r="S18" i="2"/>
  <c r="N18" i="2"/>
  <c r="M18" i="2"/>
  <c r="H18" i="2"/>
  <c r="G18" i="2"/>
  <c r="T17" i="2"/>
  <c r="S17" i="2"/>
  <c r="N17" i="2"/>
  <c r="M17" i="2"/>
  <c r="H17" i="2"/>
  <c r="G17" i="2"/>
  <c r="T16" i="2"/>
  <c r="S16" i="2"/>
  <c r="N16" i="2"/>
  <c r="M16" i="2"/>
  <c r="H16" i="2"/>
  <c r="G16" i="2"/>
  <c r="T15" i="2"/>
  <c r="S15" i="2"/>
  <c r="N15" i="2"/>
  <c r="M15" i="2"/>
  <c r="H15" i="2"/>
  <c r="G15" i="2"/>
  <c r="T14" i="2"/>
  <c r="S14" i="2"/>
  <c r="N14" i="2"/>
  <c r="M14" i="2"/>
  <c r="H14" i="2"/>
  <c r="G14" i="2"/>
  <c r="T13" i="2"/>
  <c r="S13" i="2"/>
  <c r="N13" i="2"/>
  <c r="M13" i="2"/>
  <c r="H13" i="2"/>
  <c r="G13" i="2"/>
  <c r="T12" i="2"/>
  <c r="S12" i="2"/>
  <c r="N12" i="2"/>
  <c r="M12" i="2"/>
  <c r="H12" i="2"/>
  <c r="G12" i="2"/>
  <c r="T11" i="2"/>
  <c r="S11" i="2"/>
  <c r="N11" i="2"/>
  <c r="M11" i="2"/>
  <c r="H11" i="2"/>
  <c r="G11" i="2"/>
  <c r="T10" i="2"/>
  <c r="S10" i="2"/>
  <c r="N10" i="2"/>
  <c r="M10" i="2"/>
  <c r="H10" i="2"/>
  <c r="G10" i="2"/>
  <c r="T9" i="2"/>
  <c r="S9" i="2"/>
  <c r="N9" i="2"/>
  <c r="M9" i="2"/>
  <c r="H9" i="2"/>
  <c r="G9" i="2"/>
  <c r="T8" i="2"/>
  <c r="S8" i="2"/>
  <c r="N8" i="2"/>
  <c r="M8" i="2"/>
  <c r="H8" i="2"/>
  <c r="G8" i="2"/>
  <c r="T7" i="2"/>
  <c r="S7" i="2"/>
  <c r="N7" i="2"/>
  <c r="M7" i="2"/>
  <c r="H7" i="2"/>
  <c r="G7" i="2"/>
  <c r="T6" i="2"/>
  <c r="S6" i="2"/>
  <c r="N6" i="2"/>
  <c r="M6" i="2"/>
  <c r="H6" i="2"/>
  <c r="G6" i="2"/>
  <c r="T5" i="2"/>
  <c r="S5" i="2"/>
  <c r="N5" i="2"/>
  <c r="M5" i="2"/>
  <c r="H5" i="2"/>
  <c r="G5" i="2"/>
  <c r="T4" i="2"/>
  <c r="S4" i="2"/>
  <c r="N4" i="2"/>
  <c r="M4" i="2"/>
  <c r="H4" i="2"/>
  <c r="G4" i="2"/>
  <c r="T3" i="2"/>
  <c r="S3" i="2"/>
  <c r="N3" i="2"/>
  <c r="M3" i="2"/>
  <c r="H3" i="2"/>
  <c r="G3" i="2"/>
  <c r="T2" i="2"/>
  <c r="S2" i="2"/>
  <c r="N2" i="2"/>
  <c r="M2" i="2"/>
  <c r="H2" i="2"/>
  <c r="G2" i="2"/>
  <c r="AH468" i="3" l="1"/>
  <c r="AG468" i="3"/>
  <c r="AF468" i="3"/>
  <c r="AE468" i="3"/>
  <c r="AD468" i="3"/>
  <c r="AC468" i="3"/>
  <c r="AH467" i="3"/>
  <c r="AG467" i="3"/>
  <c r="AF467" i="3"/>
  <c r="AE467" i="3"/>
  <c r="AD467" i="3"/>
  <c r="AC467" i="3"/>
  <c r="AH466" i="3"/>
  <c r="AG466" i="3"/>
  <c r="AF466" i="3"/>
  <c r="AE466" i="3"/>
  <c r="AD466" i="3"/>
  <c r="AC466" i="3"/>
  <c r="AH465" i="3"/>
  <c r="AG465" i="3"/>
  <c r="AF465" i="3"/>
  <c r="AE465" i="3"/>
  <c r="AD465" i="3"/>
  <c r="AC465" i="3"/>
  <c r="AH464" i="3"/>
  <c r="AG464" i="3"/>
  <c r="AF464" i="3"/>
  <c r="AE464" i="3"/>
  <c r="AD464" i="3"/>
  <c r="AC464" i="3"/>
  <c r="AH463" i="3"/>
  <c r="AG463" i="3"/>
  <c r="AF463" i="3"/>
  <c r="AE463" i="3"/>
  <c r="AD463" i="3"/>
  <c r="AC463" i="3"/>
  <c r="AH462" i="3"/>
  <c r="AG462" i="3"/>
  <c r="AF462" i="3"/>
  <c r="AE462" i="3"/>
  <c r="AD462" i="3"/>
  <c r="AC462" i="3"/>
  <c r="AH461" i="3"/>
  <c r="AG461" i="3"/>
  <c r="AF461" i="3"/>
  <c r="AE461" i="3"/>
  <c r="AD461" i="3"/>
  <c r="AC461" i="3"/>
  <c r="AH460" i="3"/>
  <c r="AG460" i="3"/>
  <c r="AF460" i="3"/>
  <c r="AE460" i="3"/>
  <c r="AD460" i="3"/>
  <c r="AC460" i="3"/>
  <c r="AH459" i="3"/>
  <c r="AG459" i="3"/>
  <c r="AF459" i="3"/>
  <c r="AE459" i="3"/>
  <c r="AD459" i="3"/>
  <c r="AC459" i="3"/>
  <c r="AH458" i="3"/>
  <c r="AG458" i="3"/>
  <c r="AF458" i="3"/>
  <c r="AE458" i="3"/>
  <c r="AD458" i="3"/>
  <c r="AC458" i="3"/>
  <c r="AH457" i="3"/>
  <c r="AG457" i="3"/>
  <c r="AF457" i="3"/>
  <c r="AE457" i="3"/>
  <c r="AD457" i="3"/>
  <c r="AC457" i="3"/>
  <c r="AH456" i="3"/>
  <c r="AG456" i="3"/>
  <c r="AF456" i="3"/>
  <c r="AE456" i="3"/>
  <c r="AD456" i="3"/>
  <c r="AC456" i="3"/>
  <c r="AH455" i="3"/>
  <c r="AG455" i="3"/>
  <c r="AF455" i="3"/>
  <c r="AE455" i="3"/>
  <c r="AD455" i="3"/>
  <c r="AC455" i="3"/>
  <c r="AH454" i="3"/>
  <c r="AG454" i="3"/>
  <c r="AF454" i="3"/>
  <c r="AE454" i="3"/>
  <c r="AD454" i="3"/>
  <c r="AC454" i="3"/>
  <c r="AH453" i="3"/>
  <c r="AG453" i="3"/>
  <c r="AF453" i="3"/>
  <c r="AE453" i="3"/>
  <c r="AD453" i="3"/>
  <c r="AC453" i="3"/>
  <c r="AH452" i="3"/>
  <c r="AG452" i="3"/>
  <c r="AF452" i="3"/>
  <c r="AE452" i="3"/>
  <c r="AD452" i="3"/>
  <c r="AC452" i="3"/>
  <c r="AH451" i="3"/>
  <c r="AG451" i="3"/>
  <c r="AF451" i="3"/>
  <c r="AE451" i="3"/>
  <c r="AD451" i="3"/>
  <c r="AC451" i="3"/>
  <c r="AH450" i="3"/>
  <c r="AG450" i="3"/>
  <c r="AF450" i="3"/>
  <c r="AE450" i="3"/>
  <c r="AD450" i="3"/>
  <c r="AC450" i="3"/>
  <c r="AH449" i="3"/>
  <c r="AG449" i="3"/>
  <c r="AF449" i="3"/>
  <c r="AE449" i="3"/>
  <c r="AD449" i="3"/>
  <c r="AC449" i="3"/>
  <c r="AH448" i="3"/>
  <c r="AG448" i="3"/>
  <c r="AF448" i="3"/>
  <c r="AE448" i="3"/>
  <c r="AD448" i="3"/>
  <c r="AC448" i="3"/>
  <c r="AH447" i="3"/>
  <c r="AG447" i="3"/>
  <c r="AF447" i="3"/>
  <c r="AE447" i="3"/>
  <c r="AD447" i="3"/>
  <c r="AC447" i="3"/>
  <c r="AH446" i="3"/>
  <c r="AG446" i="3"/>
  <c r="AF446" i="3"/>
  <c r="AE446" i="3"/>
  <c r="AD446" i="3"/>
  <c r="AC446" i="3"/>
  <c r="AH445" i="3"/>
  <c r="AG445" i="3"/>
  <c r="AF445" i="3"/>
  <c r="AE445" i="3"/>
  <c r="AD445" i="3"/>
  <c r="AC445" i="3"/>
  <c r="AH444" i="3"/>
  <c r="AG444" i="3"/>
  <c r="AF444" i="3"/>
  <c r="AE444" i="3"/>
  <c r="AD444" i="3"/>
  <c r="AC444" i="3"/>
  <c r="AH443" i="3"/>
  <c r="AG443" i="3"/>
  <c r="AF443" i="3"/>
  <c r="AE443" i="3"/>
  <c r="AD443" i="3"/>
  <c r="AC443" i="3"/>
  <c r="AH442" i="3"/>
  <c r="AG442" i="3"/>
  <c r="AF442" i="3"/>
  <c r="AE442" i="3"/>
  <c r="AD442" i="3"/>
  <c r="AC442" i="3"/>
  <c r="AH441" i="3"/>
  <c r="AG441" i="3"/>
  <c r="AF441" i="3"/>
  <c r="AE441" i="3"/>
  <c r="AD441" i="3"/>
  <c r="AC441" i="3"/>
  <c r="AH440" i="3"/>
  <c r="AG440" i="3"/>
  <c r="AF440" i="3"/>
  <c r="AE440" i="3"/>
  <c r="AD440" i="3"/>
  <c r="AC440" i="3"/>
  <c r="AH439" i="3"/>
  <c r="AG439" i="3"/>
  <c r="AF439" i="3"/>
  <c r="AE439" i="3"/>
  <c r="AD439" i="3"/>
  <c r="AC439" i="3"/>
  <c r="AH438" i="3"/>
  <c r="AG438" i="3"/>
  <c r="AF438" i="3"/>
  <c r="AE438" i="3"/>
  <c r="AD438" i="3"/>
  <c r="AC438" i="3"/>
  <c r="AH434" i="3"/>
  <c r="AG434" i="3"/>
  <c r="AF434" i="3"/>
  <c r="AE434" i="3"/>
  <c r="AD434" i="3"/>
  <c r="AC434" i="3"/>
  <c r="AH433" i="3"/>
  <c r="AG433" i="3"/>
  <c r="AF433" i="3"/>
  <c r="AE433" i="3"/>
  <c r="AD433" i="3"/>
  <c r="AC433" i="3"/>
  <c r="AH430" i="3"/>
  <c r="AG430" i="3"/>
  <c r="AF430" i="3"/>
  <c r="AE430" i="3"/>
  <c r="AD430" i="3"/>
  <c r="AC430" i="3"/>
  <c r="AH429" i="3"/>
  <c r="AG429" i="3"/>
  <c r="AF429" i="3"/>
  <c r="AE429" i="3"/>
  <c r="AD429" i="3"/>
  <c r="AC429" i="3"/>
  <c r="AH428" i="3"/>
  <c r="AG428" i="3"/>
  <c r="AF428" i="3"/>
  <c r="AE428" i="3"/>
  <c r="AD428" i="3"/>
  <c r="AC428" i="3"/>
  <c r="AH427" i="3"/>
  <c r="AG427" i="3"/>
  <c r="AF427" i="3"/>
  <c r="AE427" i="3"/>
  <c r="AD427" i="3"/>
  <c r="AC427" i="3"/>
  <c r="AE328" i="3"/>
  <c r="AD328" i="3"/>
  <c r="AC328" i="3"/>
  <c r="AH325" i="3"/>
  <c r="AG325" i="3"/>
  <c r="AF325" i="3"/>
  <c r="AE325" i="3"/>
  <c r="AD325" i="3"/>
  <c r="AC325" i="3"/>
  <c r="AH324" i="3"/>
  <c r="AG324" i="3"/>
  <c r="AF324" i="3"/>
  <c r="AE324" i="3"/>
  <c r="AD324" i="3"/>
  <c r="AC324" i="3"/>
  <c r="AH323" i="3"/>
  <c r="AG323" i="3"/>
  <c r="AF323" i="3"/>
  <c r="AE323" i="3"/>
  <c r="AD323" i="3"/>
  <c r="AC323" i="3"/>
  <c r="AH322" i="3"/>
  <c r="AG322" i="3"/>
  <c r="AF322" i="3"/>
  <c r="AE322" i="3"/>
  <c r="AD322" i="3"/>
  <c r="AC322" i="3"/>
  <c r="AH321" i="3"/>
  <c r="AG321" i="3"/>
  <c r="AF321" i="3"/>
  <c r="AE321" i="3"/>
  <c r="AD321" i="3"/>
  <c r="AC321" i="3"/>
  <c r="AH320" i="3"/>
  <c r="AG320" i="3"/>
  <c r="AF320" i="3"/>
  <c r="AE320" i="3"/>
  <c r="AD320" i="3"/>
  <c r="AC320" i="3"/>
  <c r="AH319" i="3"/>
  <c r="AG319" i="3"/>
  <c r="AF319" i="3"/>
  <c r="AE319" i="3"/>
  <c r="AD319" i="3"/>
  <c r="AC319" i="3"/>
  <c r="AH318" i="3"/>
  <c r="AG318" i="3"/>
  <c r="AF318" i="3"/>
  <c r="AE318" i="3"/>
  <c r="AD318" i="3"/>
  <c r="AC318" i="3"/>
  <c r="AH317" i="3"/>
  <c r="AG317" i="3"/>
  <c r="AF317" i="3"/>
  <c r="AE317" i="3"/>
  <c r="AD317" i="3"/>
  <c r="AC317" i="3"/>
  <c r="AH316" i="3"/>
  <c r="AG316" i="3"/>
  <c r="AF316" i="3"/>
  <c r="AE316" i="3"/>
  <c r="AD316" i="3"/>
  <c r="AC316" i="3"/>
  <c r="AH314" i="3"/>
  <c r="AG314" i="3"/>
  <c r="AF314" i="3"/>
  <c r="AE314" i="3"/>
  <c r="AD314" i="3"/>
  <c r="AC314" i="3"/>
  <c r="AH312" i="3"/>
  <c r="AG312" i="3"/>
  <c r="AF312" i="3"/>
  <c r="AE312" i="3"/>
  <c r="AD312" i="3"/>
  <c r="AC312" i="3"/>
  <c r="AH311" i="3"/>
  <c r="AG311" i="3"/>
  <c r="AF311" i="3"/>
  <c r="AE311" i="3"/>
  <c r="AD311" i="3"/>
  <c r="AC311" i="3"/>
  <c r="AH310" i="3"/>
  <c r="AG310" i="3"/>
  <c r="AF310" i="3"/>
  <c r="AE310" i="3"/>
  <c r="AD310" i="3"/>
  <c r="AC310" i="3"/>
  <c r="AH309" i="3"/>
  <c r="AG309" i="3"/>
  <c r="AF309" i="3"/>
  <c r="AE309" i="3"/>
  <c r="AD309" i="3"/>
  <c r="AC309" i="3"/>
  <c r="AH308" i="3"/>
  <c r="AG308" i="3"/>
  <c r="AF308" i="3"/>
  <c r="AE308" i="3"/>
  <c r="AD308" i="3"/>
  <c r="AC308" i="3"/>
  <c r="AH307" i="3"/>
  <c r="AG307" i="3"/>
  <c r="AF307" i="3"/>
  <c r="AE307" i="3"/>
  <c r="AD307" i="3"/>
  <c r="AC307" i="3"/>
  <c r="AH306" i="3"/>
  <c r="AG306" i="3"/>
  <c r="AF306" i="3"/>
  <c r="AE306" i="3"/>
  <c r="AD306" i="3"/>
  <c r="AC306" i="3"/>
  <c r="AH305" i="3"/>
  <c r="AG305" i="3"/>
  <c r="AF305" i="3"/>
  <c r="AE305" i="3"/>
  <c r="AD305" i="3"/>
  <c r="AC305" i="3"/>
  <c r="AH304" i="3"/>
  <c r="AG304" i="3"/>
  <c r="AF304" i="3"/>
  <c r="AE304" i="3"/>
  <c r="AD304" i="3"/>
  <c r="AC304" i="3"/>
  <c r="AH303" i="3"/>
  <c r="AG303" i="3"/>
  <c r="AF303" i="3"/>
  <c r="AE303" i="3"/>
  <c r="AD303" i="3"/>
  <c r="AC303" i="3"/>
  <c r="AH302" i="3"/>
  <c r="AG302" i="3"/>
  <c r="AF302" i="3"/>
  <c r="AE302" i="3"/>
  <c r="AD302" i="3"/>
  <c r="AC302" i="3"/>
  <c r="AH301" i="3"/>
  <c r="AG301" i="3"/>
  <c r="AF301" i="3"/>
  <c r="AE301" i="3"/>
  <c r="AD301" i="3"/>
  <c r="AC301" i="3"/>
  <c r="AH300" i="3"/>
  <c r="AF300" i="3"/>
  <c r="AE300" i="3"/>
  <c r="AD300" i="3"/>
  <c r="AC300" i="3"/>
  <c r="AH299" i="3"/>
  <c r="AG299" i="3"/>
  <c r="AE299" i="3"/>
  <c r="AD299" i="3"/>
  <c r="AH298" i="3"/>
  <c r="AG298" i="3"/>
  <c r="AE298" i="3"/>
  <c r="AD298" i="3"/>
  <c r="AH297" i="3"/>
  <c r="AF297" i="3"/>
  <c r="AD297" i="3"/>
  <c r="AH296" i="3"/>
  <c r="AF296" i="3"/>
  <c r="AD296" i="3"/>
  <c r="AH295" i="3"/>
  <c r="AF295" i="3"/>
  <c r="AD295" i="3"/>
  <c r="AH294" i="3"/>
  <c r="AF294" i="3"/>
  <c r="AD294" i="3"/>
  <c r="AH293" i="3"/>
  <c r="AF293" i="3"/>
  <c r="AD293" i="3"/>
  <c r="AH292" i="3"/>
  <c r="AF292" i="3"/>
  <c r="AD292" i="3"/>
  <c r="AH291" i="3"/>
  <c r="AF291" i="3"/>
  <c r="AD291" i="3"/>
  <c r="AH290" i="3"/>
  <c r="AF290" i="3"/>
  <c r="AD290" i="3"/>
  <c r="AH289" i="3"/>
  <c r="AF289" i="3"/>
  <c r="AD289" i="3"/>
  <c r="AG288" i="3"/>
  <c r="AD288" i="3"/>
  <c r="AG287" i="3"/>
  <c r="AE287" i="3"/>
  <c r="AC287" i="3"/>
  <c r="AG286" i="3"/>
  <c r="AE286" i="3"/>
  <c r="AC286" i="3"/>
  <c r="AG285" i="3"/>
  <c r="AH366" i="3"/>
  <c r="AG366" i="3"/>
  <c r="AF366" i="3"/>
  <c r="AE366" i="3"/>
  <c r="AD366" i="3"/>
  <c r="AC366" i="3"/>
  <c r="AH365" i="3"/>
  <c r="AG365" i="3"/>
  <c r="AF365" i="3"/>
  <c r="AE365" i="3"/>
  <c r="AD365" i="3"/>
  <c r="AC365" i="3"/>
  <c r="AH364" i="3"/>
  <c r="AG364" i="3"/>
  <c r="AF364" i="3"/>
  <c r="AE364" i="3"/>
  <c r="AD364" i="3"/>
  <c r="AC364" i="3"/>
  <c r="AH363" i="3"/>
  <c r="AG363" i="3"/>
  <c r="AF363" i="3"/>
  <c r="AE363" i="3"/>
  <c r="AD363" i="3"/>
  <c r="AC363" i="3"/>
  <c r="AH362" i="3"/>
  <c r="AG362" i="3"/>
  <c r="AF362" i="3"/>
  <c r="AE362" i="3"/>
  <c r="AD362" i="3"/>
  <c r="AC362" i="3"/>
  <c r="AH361" i="3"/>
  <c r="AG361" i="3"/>
  <c r="AF361" i="3"/>
  <c r="AE361" i="3"/>
  <c r="AD361" i="3"/>
  <c r="AC361" i="3"/>
  <c r="AH357" i="3"/>
  <c r="AG357" i="3"/>
  <c r="AF357" i="3"/>
  <c r="AE357" i="3"/>
  <c r="AD357" i="3"/>
  <c r="AC357" i="3"/>
  <c r="AH354" i="3"/>
  <c r="AG354" i="3"/>
  <c r="AF354" i="3"/>
  <c r="AE354" i="3"/>
  <c r="AD354" i="3"/>
  <c r="AC354" i="3"/>
  <c r="AH353" i="3"/>
  <c r="AG353" i="3"/>
  <c r="AF353" i="3"/>
  <c r="AE353" i="3"/>
  <c r="AD353" i="3"/>
  <c r="AC353" i="3"/>
  <c r="AH352" i="3"/>
  <c r="AG352" i="3"/>
  <c r="AF352" i="3"/>
  <c r="AE352" i="3"/>
  <c r="AD352" i="3"/>
  <c r="AC352" i="3"/>
  <c r="AH351" i="3"/>
  <c r="AG351" i="3"/>
  <c r="AF351" i="3"/>
  <c r="AE351" i="3"/>
  <c r="AD351" i="3"/>
  <c r="AC351" i="3"/>
  <c r="AH348" i="3"/>
  <c r="AG348" i="3"/>
  <c r="AF348" i="3"/>
  <c r="AE348" i="3"/>
  <c r="AD348" i="3"/>
  <c r="AC348" i="3"/>
  <c r="AH347" i="3"/>
  <c r="AG347" i="3"/>
  <c r="AF347" i="3"/>
  <c r="AE347" i="3"/>
  <c r="AD347" i="3"/>
  <c r="AC347" i="3"/>
  <c r="AH346" i="3"/>
  <c r="AG346" i="3"/>
  <c r="AF346" i="3"/>
  <c r="AE346" i="3"/>
  <c r="AD346" i="3"/>
  <c r="AC346" i="3"/>
  <c r="AH345" i="3"/>
  <c r="AG345" i="3"/>
  <c r="AF345" i="3"/>
  <c r="AE345" i="3"/>
  <c r="AD345" i="3"/>
  <c r="AC345" i="3"/>
  <c r="AH344" i="3"/>
  <c r="AG344" i="3"/>
  <c r="AF344" i="3"/>
  <c r="AE344" i="3"/>
  <c r="AD344" i="3"/>
  <c r="AC344" i="3"/>
  <c r="AH343" i="3"/>
  <c r="AG343" i="3"/>
  <c r="AF343" i="3"/>
  <c r="AE343" i="3"/>
  <c r="AD343" i="3"/>
  <c r="AC343" i="3"/>
  <c r="AH342" i="3"/>
  <c r="AG342" i="3"/>
  <c r="AF342" i="3"/>
  <c r="AE342" i="3"/>
  <c r="AD342" i="3"/>
  <c r="AC342" i="3"/>
  <c r="AH341" i="3"/>
  <c r="AG341" i="3"/>
  <c r="AF341" i="3"/>
  <c r="AE341" i="3"/>
  <c r="AD341" i="3"/>
  <c r="AC341" i="3"/>
  <c r="AH340" i="3"/>
  <c r="AG340" i="3"/>
  <c r="AF340" i="3"/>
  <c r="AE340" i="3"/>
  <c r="AD340" i="3"/>
  <c r="AC340" i="3"/>
  <c r="AH339" i="3"/>
  <c r="AG339" i="3"/>
  <c r="AF339" i="3"/>
  <c r="AE339" i="3"/>
  <c r="AD339" i="3"/>
  <c r="AC339" i="3"/>
  <c r="AH338" i="3"/>
  <c r="AG338" i="3"/>
  <c r="AF338" i="3"/>
  <c r="AE338" i="3"/>
  <c r="AD338" i="3"/>
  <c r="AC338" i="3"/>
  <c r="AH337" i="3"/>
  <c r="AG337" i="3"/>
  <c r="AF337" i="3"/>
  <c r="AE337" i="3"/>
  <c r="AD337" i="3"/>
  <c r="AC337" i="3"/>
  <c r="AH334" i="3"/>
  <c r="AG334" i="3"/>
  <c r="AF334" i="3"/>
  <c r="AE334" i="3"/>
  <c r="AD334" i="3"/>
  <c r="AC334" i="3"/>
  <c r="AH333" i="3"/>
  <c r="AG333" i="3"/>
  <c r="AF333" i="3"/>
  <c r="AE333" i="3"/>
  <c r="AD333" i="3"/>
  <c r="AC333" i="3"/>
  <c r="AH332" i="3"/>
  <c r="AG332" i="3"/>
  <c r="AF332" i="3"/>
  <c r="AE332" i="3"/>
  <c r="AD332" i="3"/>
  <c r="AC332" i="3"/>
  <c r="AH331" i="3"/>
  <c r="AG331" i="3"/>
  <c r="AF331" i="3"/>
  <c r="AE331" i="3"/>
  <c r="AD331" i="3"/>
  <c r="AC331" i="3"/>
  <c r="AH330" i="3"/>
  <c r="AG330" i="3"/>
  <c r="AF330" i="3"/>
  <c r="AE330" i="3"/>
  <c r="AD330" i="3"/>
  <c r="AC330" i="3"/>
  <c r="AH328" i="3"/>
  <c r="AG328" i="3"/>
  <c r="AF328" i="3"/>
  <c r="AG300" i="3"/>
  <c r="AF299" i="3"/>
  <c r="AC299" i="3"/>
  <c r="AF298" i="3"/>
  <c r="AC298" i="3"/>
  <c r="AG297" i="3"/>
  <c r="AE297" i="3"/>
  <c r="AC297" i="3"/>
  <c r="AG296" i="3"/>
  <c r="AE296" i="3"/>
  <c r="AC296" i="3"/>
  <c r="AG295" i="3"/>
  <c r="AE295" i="3"/>
  <c r="AC295" i="3"/>
  <c r="AG294" i="3"/>
  <c r="AE294" i="3"/>
  <c r="AC294" i="3"/>
  <c r="AG293" i="3"/>
  <c r="AE293" i="3"/>
  <c r="AC293" i="3"/>
  <c r="AG292" i="3"/>
  <c r="AE292" i="3"/>
  <c r="AC292" i="3"/>
  <c r="AG291" i="3"/>
  <c r="AE291" i="3"/>
  <c r="AC291" i="3"/>
  <c r="AG290" i="3"/>
  <c r="AE290" i="3"/>
  <c r="AC290" i="3"/>
  <c r="AG289" i="3"/>
  <c r="AE289" i="3"/>
  <c r="AC289" i="3"/>
  <c r="AH288" i="3"/>
  <c r="AF288" i="3"/>
  <c r="AE288" i="3"/>
  <c r="AC288" i="3"/>
  <c r="AH287" i="3"/>
  <c r="AF287" i="3"/>
  <c r="AD287" i="3"/>
  <c r="AH286" i="3"/>
  <c r="AF286" i="3"/>
  <c r="AD286" i="3"/>
  <c r="AH285" i="3"/>
  <c r="AF285" i="3"/>
  <c r="AE285" i="3"/>
  <c r="AD285" i="3"/>
  <c r="AC285" i="3"/>
  <c r="AH284" i="3"/>
  <c r="AG284" i="3"/>
  <c r="AF284" i="3"/>
  <c r="AE284" i="3"/>
  <c r="AD284" i="3"/>
  <c r="AC284" i="3"/>
  <c r="AH283" i="3"/>
  <c r="AG283" i="3"/>
  <c r="AF283" i="3"/>
  <c r="AE283" i="3"/>
  <c r="AD283" i="3"/>
  <c r="AC283" i="3"/>
  <c r="AH282" i="3"/>
  <c r="AG282" i="3"/>
  <c r="AF282" i="3"/>
  <c r="AE282" i="3"/>
  <c r="AD282" i="3"/>
  <c r="AC282" i="3"/>
  <c r="AH281" i="3"/>
  <c r="AG281" i="3"/>
  <c r="AF281" i="3"/>
  <c r="AE281" i="3"/>
  <c r="AD281" i="3"/>
  <c r="AC281" i="3"/>
  <c r="AH280" i="3"/>
  <c r="AG280" i="3"/>
  <c r="AF280" i="3"/>
  <c r="AE280" i="3"/>
  <c r="AD280" i="3"/>
  <c r="AC280" i="3"/>
  <c r="AH279" i="3"/>
  <c r="AG279" i="3"/>
  <c r="AF279" i="3"/>
  <c r="AE279" i="3"/>
  <c r="AD279" i="3"/>
  <c r="AC279" i="3"/>
  <c r="AH278" i="3"/>
  <c r="AG278" i="3"/>
  <c r="AF278" i="3"/>
  <c r="AE278" i="3"/>
  <c r="AD278" i="3"/>
  <c r="AC278" i="3"/>
  <c r="AH277" i="3"/>
  <c r="AG277" i="3"/>
  <c r="AF277" i="3"/>
  <c r="AE277" i="3"/>
  <c r="AD277" i="3"/>
  <c r="AC277" i="3"/>
  <c r="AH276" i="3"/>
  <c r="AG276" i="3"/>
  <c r="AF276" i="3"/>
  <c r="AE276" i="3"/>
  <c r="AD276" i="3"/>
  <c r="AC276" i="3"/>
  <c r="AH275" i="3"/>
  <c r="AG275" i="3"/>
  <c r="AF275" i="3"/>
  <c r="AE275" i="3"/>
  <c r="AD275" i="3"/>
  <c r="AC275" i="3"/>
  <c r="AH274" i="3"/>
  <c r="AG274" i="3"/>
  <c r="AF274" i="3"/>
  <c r="AE274" i="3"/>
  <c r="AD274" i="3"/>
  <c r="AC274" i="3"/>
  <c r="AH273" i="3"/>
  <c r="AG273" i="3"/>
  <c r="AF273" i="3"/>
  <c r="AE273" i="3"/>
  <c r="AD273" i="3"/>
  <c r="AC273" i="3"/>
  <c r="AH272" i="3"/>
  <c r="AG272" i="3"/>
  <c r="AF272" i="3"/>
  <c r="AE272" i="3"/>
  <c r="AD272" i="3"/>
  <c r="AC272" i="3"/>
  <c r="AH271" i="3"/>
  <c r="AG271" i="3"/>
  <c r="AF271" i="3"/>
  <c r="AE271" i="3"/>
  <c r="AD271" i="3"/>
  <c r="AC271" i="3"/>
  <c r="AH270" i="3"/>
  <c r="AG270" i="3"/>
  <c r="AF270" i="3"/>
  <c r="AE270" i="3"/>
  <c r="AD270" i="3"/>
  <c r="AC270" i="3"/>
  <c r="AH269" i="3"/>
  <c r="AG269" i="3"/>
  <c r="AF269" i="3"/>
  <c r="AE269" i="3"/>
  <c r="AD269" i="3"/>
  <c r="AC269" i="3"/>
  <c r="AH268" i="3"/>
  <c r="AG268" i="3"/>
  <c r="AF268" i="3"/>
  <c r="AE268" i="3"/>
  <c r="AD268" i="3"/>
  <c r="AC268" i="3"/>
  <c r="AH267" i="3"/>
  <c r="AG267" i="3"/>
  <c r="AF267" i="3"/>
  <c r="AE267" i="3"/>
  <c r="AD267" i="3"/>
  <c r="AC267" i="3"/>
  <c r="AH266" i="3"/>
  <c r="AG266" i="3"/>
  <c r="AF266" i="3"/>
  <c r="AE266" i="3"/>
  <c r="AD266" i="3"/>
  <c r="AC266" i="3"/>
  <c r="AH265" i="3"/>
  <c r="AG265" i="3"/>
  <c r="AF265" i="3"/>
  <c r="AE265" i="3"/>
  <c r="AD265" i="3"/>
  <c r="AC265" i="3"/>
  <c r="AH259" i="3"/>
  <c r="AG259" i="3"/>
  <c r="AF259" i="3"/>
  <c r="AE259" i="3"/>
  <c r="AD259" i="3"/>
  <c r="AC259" i="3"/>
  <c r="AH258" i="3"/>
  <c r="AG258" i="3"/>
  <c r="AF258" i="3"/>
  <c r="AE258" i="3"/>
  <c r="AD258" i="3"/>
  <c r="AC258" i="3"/>
  <c r="AH257" i="3"/>
  <c r="AG257" i="3"/>
  <c r="AF257" i="3"/>
  <c r="AE257" i="3"/>
  <c r="AD257" i="3"/>
  <c r="AC257" i="3"/>
  <c r="AH253" i="3"/>
  <c r="AG253" i="3"/>
  <c r="AF253" i="3"/>
  <c r="AE253" i="3"/>
  <c r="AD253" i="3"/>
  <c r="AC253" i="3"/>
  <c r="AH252" i="3"/>
  <c r="AG252" i="3"/>
  <c r="AF252" i="3"/>
  <c r="AE252" i="3"/>
  <c r="AD252" i="3"/>
  <c r="AC252" i="3"/>
  <c r="AH251" i="3"/>
  <c r="AG251" i="3"/>
  <c r="AF251" i="3"/>
  <c r="AE251" i="3"/>
  <c r="AD251" i="3"/>
  <c r="AC251" i="3"/>
  <c r="AH250" i="3"/>
  <c r="AG250" i="3"/>
  <c r="AF250" i="3"/>
  <c r="AE250" i="3"/>
  <c r="AD250" i="3"/>
  <c r="AC250" i="3"/>
  <c r="AH249" i="3"/>
  <c r="AG249" i="3"/>
  <c r="AF249" i="3"/>
  <c r="AE249" i="3"/>
  <c r="AD249" i="3"/>
  <c r="AC249" i="3"/>
  <c r="AH248" i="3"/>
  <c r="AG248" i="3"/>
  <c r="AF248" i="3"/>
  <c r="AE248" i="3"/>
  <c r="AD248" i="3"/>
  <c r="AC248" i="3"/>
  <c r="AH247" i="3"/>
  <c r="AG247" i="3"/>
  <c r="AF247" i="3"/>
  <c r="AE247" i="3"/>
  <c r="AD247" i="3"/>
  <c r="AC247" i="3"/>
  <c r="AH246" i="3"/>
  <c r="AG246" i="3"/>
  <c r="AF246" i="3"/>
  <c r="AE246" i="3"/>
  <c r="AD246" i="3"/>
  <c r="AC246" i="3"/>
  <c r="AH245" i="3"/>
  <c r="AG245" i="3"/>
  <c r="AF245" i="3"/>
  <c r="AE245" i="3"/>
  <c r="AD245" i="3"/>
  <c r="AC245" i="3"/>
  <c r="AH244" i="3"/>
  <c r="AG244" i="3"/>
  <c r="AF244" i="3"/>
  <c r="AE244" i="3"/>
  <c r="AD244" i="3"/>
  <c r="AC244" i="3"/>
  <c r="AH243" i="3"/>
  <c r="AG243" i="3"/>
  <c r="AF243" i="3"/>
  <c r="AE243" i="3"/>
  <c r="AD243" i="3"/>
  <c r="AC243" i="3"/>
  <c r="AH242" i="3"/>
  <c r="AG242" i="3"/>
  <c r="AF242" i="3"/>
  <c r="AE242" i="3"/>
  <c r="AD242" i="3"/>
  <c r="AC242" i="3"/>
  <c r="AH241" i="3"/>
  <c r="AG241" i="3"/>
  <c r="AF241" i="3"/>
  <c r="AE241" i="3"/>
  <c r="AD241" i="3"/>
  <c r="AC241" i="3"/>
  <c r="AH240" i="3"/>
  <c r="AG240" i="3"/>
  <c r="AF240" i="3"/>
  <c r="AE240" i="3"/>
  <c r="AD240" i="3"/>
  <c r="AC240" i="3"/>
  <c r="AH239" i="3"/>
  <c r="AG239" i="3"/>
  <c r="AF239" i="3"/>
  <c r="AE239" i="3"/>
  <c r="AD239" i="3"/>
  <c r="AC239" i="3"/>
  <c r="AH238" i="3"/>
  <c r="AG238" i="3"/>
  <c r="AF238" i="3"/>
  <c r="AE238" i="3"/>
  <c r="AD238" i="3"/>
  <c r="AC238" i="3"/>
  <c r="AH237" i="3"/>
  <c r="AG237" i="3"/>
  <c r="AF237" i="3"/>
  <c r="AE237" i="3"/>
  <c r="AD237" i="3"/>
  <c r="AC237" i="3"/>
  <c r="AH236" i="3"/>
  <c r="AG236" i="3"/>
  <c r="AF236" i="3"/>
  <c r="AE236" i="3"/>
  <c r="AD236" i="3"/>
  <c r="AC236" i="3"/>
  <c r="AH235" i="3"/>
  <c r="AG235" i="3"/>
  <c r="AF235" i="3"/>
  <c r="AE235" i="3"/>
  <c r="AD235" i="3"/>
  <c r="AC235" i="3"/>
  <c r="AH234" i="3"/>
  <c r="AG234" i="3"/>
  <c r="AF234" i="3"/>
  <c r="AE234" i="3"/>
  <c r="AD234" i="3"/>
  <c r="AC234" i="3"/>
  <c r="AH233" i="3"/>
  <c r="AG233" i="3"/>
  <c r="AF233" i="3"/>
  <c r="AE233" i="3"/>
  <c r="AD233" i="3"/>
  <c r="AC233" i="3"/>
  <c r="AH232" i="3"/>
  <c r="AG232" i="3"/>
  <c r="AF232" i="3"/>
  <c r="AE232" i="3"/>
  <c r="AD232" i="3"/>
  <c r="AC232" i="3"/>
  <c r="AH231" i="3"/>
  <c r="AG231" i="3"/>
  <c r="AF231" i="3"/>
  <c r="AE231" i="3"/>
  <c r="AD231" i="3"/>
  <c r="AC231" i="3"/>
  <c r="AH230" i="3"/>
  <c r="AG230" i="3"/>
  <c r="AF230" i="3"/>
  <c r="AE230" i="3"/>
  <c r="AD230" i="3"/>
  <c r="AC230" i="3"/>
  <c r="AH229" i="3"/>
  <c r="AG229" i="3"/>
  <c r="AF229" i="3"/>
  <c r="AE229" i="3"/>
  <c r="AD229" i="3"/>
  <c r="AC229" i="3"/>
  <c r="AH228" i="3"/>
  <c r="AG228" i="3"/>
  <c r="AF228" i="3"/>
  <c r="AE228" i="3"/>
  <c r="AD228" i="3"/>
  <c r="AC228" i="3"/>
  <c r="AH227" i="3"/>
  <c r="AG227" i="3"/>
  <c r="AF227" i="3"/>
  <c r="AE227" i="3"/>
  <c r="AD227" i="3"/>
  <c r="AC227" i="3"/>
  <c r="AH226" i="3"/>
  <c r="AG226" i="3"/>
  <c r="AF226" i="3"/>
  <c r="AE226" i="3"/>
  <c r="AD226" i="3"/>
  <c r="AC226" i="3"/>
  <c r="AH225" i="3"/>
  <c r="AG225" i="3"/>
  <c r="AF225" i="3"/>
  <c r="AE225" i="3"/>
  <c r="AD225" i="3"/>
  <c r="AC225" i="3"/>
  <c r="AH224" i="3"/>
  <c r="AG224" i="3"/>
  <c r="AF224" i="3"/>
  <c r="AE224" i="3"/>
  <c r="AD224" i="3"/>
  <c r="AC224" i="3"/>
  <c r="AH223" i="3"/>
  <c r="AG223" i="3"/>
  <c r="AF223" i="3"/>
  <c r="AE223" i="3"/>
  <c r="AD223" i="3"/>
  <c r="AC223" i="3"/>
  <c r="AH222" i="3"/>
  <c r="AG222" i="3"/>
  <c r="AF222" i="3"/>
  <c r="AE222" i="3"/>
  <c r="AD222" i="3"/>
  <c r="AC222" i="3"/>
  <c r="AH221" i="3"/>
  <c r="AG221" i="3"/>
  <c r="AF221" i="3"/>
  <c r="AE221" i="3"/>
  <c r="AD221" i="3"/>
  <c r="AC221" i="3"/>
  <c r="AH220" i="3"/>
  <c r="AG220" i="3"/>
  <c r="AF220" i="3"/>
  <c r="AE220" i="3"/>
  <c r="AD220" i="3"/>
  <c r="AC220" i="3"/>
  <c r="AH219" i="3"/>
  <c r="AG219" i="3"/>
  <c r="AF219" i="3"/>
  <c r="AE219" i="3"/>
  <c r="AD219" i="3"/>
  <c r="AC219" i="3"/>
  <c r="AH218" i="3"/>
  <c r="AG218" i="3"/>
  <c r="AF218" i="3"/>
  <c r="AE218" i="3"/>
  <c r="AD218" i="3"/>
  <c r="AC218" i="3"/>
  <c r="AH217" i="3"/>
  <c r="AG217" i="3"/>
  <c r="AF217" i="3"/>
  <c r="AE217" i="3"/>
  <c r="AD217" i="3"/>
  <c r="AC217" i="3"/>
  <c r="AH216" i="3"/>
  <c r="AG216" i="3"/>
  <c r="AF216" i="3"/>
  <c r="AE216" i="3"/>
  <c r="AD216" i="3"/>
  <c r="AC216" i="3"/>
  <c r="AH215" i="3"/>
  <c r="AG215" i="3"/>
  <c r="AF215" i="3"/>
  <c r="AE215" i="3"/>
  <c r="AD215" i="3"/>
  <c r="AC215" i="3"/>
  <c r="AH214" i="3"/>
  <c r="AG214" i="3"/>
  <c r="AF214" i="3"/>
  <c r="AE214" i="3"/>
  <c r="AD214" i="3"/>
  <c r="AC214" i="3"/>
  <c r="AH213" i="3"/>
  <c r="AG213" i="3"/>
  <c r="AF213" i="3"/>
  <c r="AE213" i="3"/>
  <c r="AD213" i="3"/>
  <c r="AC213" i="3"/>
  <c r="AH212" i="3"/>
  <c r="AG212" i="3"/>
  <c r="AF212" i="3"/>
  <c r="AE212" i="3"/>
  <c r="AD212" i="3"/>
  <c r="AC212" i="3"/>
  <c r="AH210" i="3"/>
  <c r="AG210" i="3"/>
  <c r="AF210" i="3"/>
  <c r="AE210" i="3"/>
  <c r="AD210" i="3"/>
  <c r="AC210" i="3"/>
  <c r="AH209" i="3"/>
  <c r="AG209" i="3"/>
  <c r="AF209" i="3"/>
  <c r="AE209" i="3"/>
  <c r="AD209" i="3"/>
  <c r="AC209" i="3"/>
  <c r="AH208" i="3"/>
  <c r="AG208" i="3"/>
  <c r="AF208" i="3"/>
  <c r="AE208" i="3"/>
  <c r="AD208" i="3"/>
  <c r="AC208" i="3"/>
  <c r="AH207" i="3"/>
  <c r="AG207" i="3"/>
  <c r="AF207" i="3"/>
  <c r="AE207" i="3"/>
  <c r="AD207" i="3"/>
  <c r="AC207" i="3"/>
  <c r="AH206" i="3"/>
  <c r="AG206" i="3"/>
  <c r="AF206" i="3"/>
  <c r="AE206" i="3"/>
  <c r="AD206" i="3"/>
  <c r="AC206" i="3"/>
  <c r="AH205" i="3"/>
  <c r="AG205" i="3"/>
  <c r="AF205" i="3"/>
  <c r="AE205" i="3"/>
  <c r="AD205" i="3"/>
  <c r="AC205" i="3"/>
  <c r="AH204" i="3"/>
  <c r="AG204" i="3"/>
  <c r="AF204" i="3"/>
  <c r="AE204" i="3"/>
  <c r="AD204" i="3"/>
  <c r="AC204" i="3"/>
  <c r="AH202" i="3"/>
  <c r="AG202" i="3"/>
  <c r="AF202" i="3"/>
  <c r="AE202" i="3"/>
  <c r="AD202" i="3"/>
  <c r="AC202" i="3"/>
  <c r="AH201" i="3"/>
  <c r="AG201" i="3"/>
  <c r="AF201" i="3"/>
  <c r="AE201" i="3"/>
  <c r="AD201" i="3"/>
  <c r="AC201" i="3"/>
  <c r="AH200" i="3"/>
  <c r="AG200" i="3"/>
  <c r="AF200" i="3"/>
  <c r="AE200" i="3"/>
  <c r="AD200" i="3"/>
  <c r="AC200" i="3"/>
  <c r="AH199" i="3"/>
  <c r="AG199" i="3"/>
  <c r="AF199" i="3"/>
  <c r="AE199" i="3"/>
  <c r="AD199" i="3"/>
  <c r="AC199" i="3"/>
  <c r="AH196" i="3"/>
  <c r="AG196" i="3"/>
  <c r="AF196" i="3"/>
  <c r="AE196" i="3"/>
  <c r="AD196" i="3"/>
  <c r="AC196" i="3"/>
  <c r="AH195" i="3"/>
  <c r="AG195" i="3"/>
  <c r="AF195" i="3"/>
  <c r="AE195" i="3"/>
  <c r="AD195" i="3"/>
  <c r="AC195" i="3"/>
  <c r="AH194" i="3"/>
  <c r="AG194" i="3"/>
  <c r="AF194" i="3"/>
  <c r="AE194" i="3"/>
  <c r="AD194" i="3"/>
  <c r="AC194" i="3"/>
  <c r="AH193" i="3"/>
  <c r="AG193" i="3"/>
  <c r="AE100" i="3"/>
  <c r="AH99" i="3"/>
  <c r="AF99" i="3"/>
  <c r="AF98" i="3"/>
  <c r="AD98" i="3"/>
  <c r="AE97" i="3"/>
  <c r="AD96" i="3"/>
  <c r="AF95" i="3"/>
  <c r="AC95" i="3"/>
  <c r="AF94" i="3"/>
  <c r="AD94" i="3"/>
  <c r="AF93" i="3"/>
  <c r="AH92" i="3"/>
  <c r="AE92" i="3"/>
  <c r="AC92" i="3"/>
  <c r="AG91" i="3"/>
  <c r="AD91" i="3"/>
  <c r="AG90" i="3"/>
  <c r="AD90" i="3"/>
  <c r="AE89" i="3"/>
  <c r="AH88" i="3"/>
  <c r="AF88" i="3"/>
  <c r="AC88" i="3"/>
  <c r="AG87" i="3"/>
  <c r="AH86" i="3"/>
  <c r="AE86" i="3"/>
  <c r="AH85" i="3"/>
  <c r="AE85" i="3"/>
  <c r="AC85" i="3"/>
  <c r="AF84" i="3"/>
  <c r="AF51" i="3"/>
  <c r="AG50" i="3"/>
  <c r="AC50" i="3"/>
  <c r="AF49" i="3"/>
  <c r="AD49" i="3"/>
  <c r="AC49" i="3"/>
  <c r="AG46" i="3"/>
  <c r="AG45" i="3"/>
  <c r="AC45" i="3"/>
  <c r="AD44" i="3"/>
  <c r="AG43" i="3"/>
  <c r="AE43" i="3"/>
  <c r="AH42" i="3"/>
  <c r="AE42" i="3"/>
  <c r="AD42" i="3"/>
  <c r="AH41" i="3"/>
  <c r="AD41" i="3"/>
  <c r="AG40" i="3"/>
  <c r="AD40" i="3"/>
  <c r="AH39" i="3"/>
  <c r="AF39" i="3"/>
  <c r="AC39" i="3"/>
  <c r="AH38" i="3"/>
  <c r="AF38" i="3"/>
  <c r="AE38" i="3"/>
  <c r="AC38" i="3"/>
  <c r="AH37" i="3"/>
  <c r="AD37" i="3"/>
  <c r="AE36" i="3"/>
  <c r="AC36" i="3"/>
  <c r="AE35" i="3"/>
  <c r="AC35" i="3"/>
  <c r="AH34" i="3"/>
  <c r="AG34" i="3"/>
  <c r="AE34" i="3"/>
  <c r="AD34" i="3"/>
  <c r="AC34" i="3"/>
  <c r="AG33" i="3"/>
  <c r="AF33" i="3"/>
  <c r="AE33" i="3"/>
  <c r="AD33" i="3"/>
  <c r="AH32" i="3"/>
  <c r="AG32" i="3"/>
  <c r="AF32" i="3"/>
  <c r="AE32" i="3"/>
  <c r="AC32" i="3"/>
  <c r="AH31" i="3"/>
  <c r="AG31" i="3"/>
  <c r="AE31" i="3"/>
  <c r="AD31" i="3"/>
  <c r="AC31" i="3"/>
  <c r="AH30" i="3"/>
  <c r="AF30" i="3"/>
  <c r="AE30" i="3"/>
  <c r="AD30" i="3"/>
  <c r="AC30" i="3"/>
  <c r="AH29" i="3"/>
  <c r="AG29" i="3"/>
  <c r="AF29" i="3"/>
  <c r="AE29" i="3"/>
  <c r="AF193" i="3"/>
  <c r="AE193" i="3"/>
  <c r="AD193" i="3"/>
  <c r="AC193" i="3"/>
  <c r="AH192" i="3"/>
  <c r="AG192" i="3"/>
  <c r="AF192" i="3"/>
  <c r="AE192" i="3"/>
  <c r="AD192" i="3"/>
  <c r="AC192" i="3"/>
  <c r="AH191" i="3"/>
  <c r="AG191" i="3"/>
  <c r="AF191" i="3"/>
  <c r="AE191" i="3"/>
  <c r="AD191" i="3"/>
  <c r="AC191" i="3"/>
  <c r="AH190" i="3"/>
  <c r="AG190" i="3"/>
  <c r="AF190" i="3"/>
  <c r="AE190" i="3"/>
  <c r="AD190" i="3"/>
  <c r="AC190" i="3"/>
  <c r="AH189" i="3"/>
  <c r="AG189" i="3"/>
  <c r="AF189" i="3"/>
  <c r="AE189" i="3"/>
  <c r="AD189" i="3"/>
  <c r="AC189" i="3"/>
  <c r="AH188" i="3"/>
  <c r="AG188" i="3"/>
  <c r="AF188" i="3"/>
  <c r="AE188" i="3"/>
  <c r="AD188" i="3"/>
  <c r="AC188" i="3"/>
  <c r="AH187" i="3"/>
  <c r="AG187" i="3"/>
  <c r="AF187" i="3"/>
  <c r="AE187" i="3"/>
  <c r="AD187" i="3"/>
  <c r="AC187" i="3"/>
  <c r="AH186" i="3"/>
  <c r="AG186" i="3"/>
  <c r="AF186" i="3"/>
  <c r="AE186" i="3"/>
  <c r="AD186" i="3"/>
  <c r="AC186" i="3"/>
  <c r="AH185" i="3"/>
  <c r="AG185" i="3"/>
  <c r="AF185" i="3"/>
  <c r="AE185" i="3"/>
  <c r="AD185" i="3"/>
  <c r="AC185" i="3"/>
  <c r="AH184" i="3"/>
  <c r="AG184" i="3"/>
  <c r="AF184" i="3"/>
  <c r="AE184" i="3"/>
  <c r="AD184" i="3"/>
  <c r="AC184" i="3"/>
  <c r="AH183" i="3"/>
  <c r="AG183" i="3"/>
  <c r="AF183" i="3"/>
  <c r="AE183" i="3"/>
  <c r="AD183" i="3"/>
  <c r="AC183" i="3"/>
  <c r="AH182" i="3"/>
  <c r="AG182" i="3"/>
  <c r="AF182" i="3"/>
  <c r="AE182" i="3"/>
  <c r="AD182" i="3"/>
  <c r="AC182" i="3"/>
  <c r="AH181" i="3"/>
  <c r="AG181" i="3"/>
  <c r="AF181" i="3"/>
  <c r="AE181" i="3"/>
  <c r="AD181" i="3"/>
  <c r="AC181" i="3"/>
  <c r="AH180" i="3"/>
  <c r="AG180" i="3"/>
  <c r="AF180" i="3"/>
  <c r="AE180" i="3"/>
  <c r="AD180" i="3"/>
  <c r="AC180" i="3"/>
  <c r="AH179" i="3"/>
  <c r="AG179" i="3"/>
  <c r="AF179" i="3"/>
  <c r="AE179" i="3"/>
  <c r="AD179" i="3"/>
  <c r="AC179" i="3"/>
  <c r="AH178" i="3"/>
  <c r="AG178" i="3"/>
  <c r="AF178" i="3"/>
  <c r="AE178" i="3"/>
  <c r="AD178" i="3"/>
  <c r="AC178" i="3"/>
  <c r="AH177" i="3"/>
  <c r="AG177" i="3"/>
  <c r="AF177" i="3"/>
  <c r="AE177" i="3"/>
  <c r="AD177" i="3"/>
  <c r="AC177" i="3"/>
  <c r="AH176" i="3"/>
  <c r="AG176" i="3"/>
  <c r="AF176" i="3"/>
  <c r="AE176" i="3"/>
  <c r="AD176" i="3"/>
  <c r="AC176" i="3"/>
  <c r="AH175" i="3"/>
  <c r="AG175" i="3"/>
  <c r="AF175" i="3"/>
  <c r="AE175" i="3"/>
  <c r="AD175" i="3"/>
  <c r="AC175" i="3"/>
  <c r="AH174" i="3"/>
  <c r="AG174" i="3"/>
  <c r="AF174" i="3"/>
  <c r="AE174" i="3"/>
  <c r="AD174" i="3"/>
  <c r="AC174" i="3"/>
  <c r="AH173" i="3"/>
  <c r="AG173" i="3"/>
  <c r="AF173" i="3"/>
  <c r="AE173" i="3"/>
  <c r="AD173" i="3"/>
  <c r="AC173" i="3"/>
  <c r="AH172" i="3"/>
  <c r="AG172" i="3"/>
  <c r="AF172" i="3"/>
  <c r="AE172" i="3"/>
  <c r="AD172" i="3"/>
  <c r="AC172" i="3"/>
  <c r="AH171" i="3"/>
  <c r="AG171" i="3"/>
  <c r="AF171" i="3"/>
  <c r="AE171" i="3"/>
  <c r="AD171" i="3"/>
  <c r="AC171" i="3"/>
  <c r="AH170" i="3"/>
  <c r="AG170" i="3"/>
  <c r="AF170" i="3"/>
  <c r="AE170" i="3"/>
  <c r="AD170" i="3"/>
  <c r="AC170" i="3"/>
  <c r="AH158" i="3"/>
  <c r="AG158" i="3"/>
  <c r="AF158" i="3"/>
  <c r="AE158" i="3"/>
  <c r="AD158" i="3"/>
  <c r="AC158" i="3"/>
  <c r="AH157" i="3"/>
  <c r="AG157" i="3"/>
  <c r="AF157" i="3"/>
  <c r="AE157" i="3"/>
  <c r="AD157" i="3"/>
  <c r="AC157" i="3"/>
  <c r="AH156" i="3"/>
  <c r="AG156" i="3"/>
  <c r="AF156" i="3"/>
  <c r="AE156" i="3"/>
  <c r="AD156" i="3"/>
  <c r="AC156" i="3"/>
  <c r="AH155" i="3"/>
  <c r="AG155" i="3"/>
  <c r="AF155" i="3"/>
  <c r="AE155" i="3"/>
  <c r="AD155" i="3"/>
  <c r="AC155" i="3"/>
  <c r="AH154" i="3"/>
  <c r="AG154" i="3"/>
  <c r="AF154" i="3"/>
  <c r="AE154" i="3"/>
  <c r="AD154" i="3"/>
  <c r="AC154" i="3"/>
  <c r="AH153" i="3"/>
  <c r="AG153" i="3"/>
  <c r="AF153" i="3"/>
  <c r="AE153" i="3"/>
  <c r="AD153" i="3"/>
  <c r="AC153" i="3"/>
  <c r="AH152" i="3"/>
  <c r="AG152" i="3"/>
  <c r="AF152" i="3"/>
  <c r="AE152" i="3"/>
  <c r="AD152" i="3"/>
  <c r="AC152" i="3"/>
  <c r="AH151" i="3"/>
  <c r="AG151" i="3"/>
  <c r="AF151" i="3"/>
  <c r="AE151" i="3"/>
  <c r="AD151" i="3"/>
  <c r="AC151" i="3"/>
  <c r="AH149" i="3"/>
  <c r="AG149" i="3"/>
  <c r="AF149" i="3"/>
  <c r="AE149" i="3"/>
  <c r="AD149" i="3"/>
  <c r="AC149" i="3"/>
  <c r="AH148" i="3"/>
  <c r="AG148" i="3"/>
  <c r="AF148" i="3"/>
  <c r="AE148" i="3"/>
  <c r="AD148" i="3"/>
  <c r="AC148" i="3"/>
  <c r="AH147" i="3"/>
  <c r="AG147" i="3"/>
  <c r="AF147" i="3"/>
  <c r="AE147" i="3"/>
  <c r="AD147" i="3"/>
  <c r="AC147" i="3"/>
  <c r="AH146" i="3"/>
  <c r="AG146" i="3"/>
  <c r="AF146" i="3"/>
  <c r="AE146" i="3"/>
  <c r="AD146" i="3"/>
  <c r="AC146" i="3"/>
  <c r="AD100" i="3"/>
  <c r="AD99" i="3"/>
  <c r="AG98" i="3"/>
  <c r="AC98" i="3"/>
  <c r="AG97" i="3"/>
  <c r="AC97" i="3"/>
  <c r="AG95" i="3"/>
  <c r="AD95" i="3"/>
  <c r="AG94" i="3"/>
  <c r="AC94" i="3"/>
  <c r="AE93" i="3"/>
  <c r="AC93" i="3"/>
  <c r="AF92" i="3"/>
  <c r="AD92" i="3"/>
  <c r="AF91" i="3"/>
  <c r="AH90" i="3"/>
  <c r="AF90" i="3"/>
  <c r="AC90" i="3"/>
  <c r="AG89" i="3"/>
  <c r="AD89" i="3"/>
  <c r="AG88" i="3"/>
  <c r="AD88" i="3"/>
  <c r="AF87" i="3"/>
  <c r="AD87" i="3"/>
  <c r="AG86" i="3"/>
  <c r="AD86" i="3"/>
  <c r="AF85" i="3"/>
  <c r="AG84" i="3"/>
  <c r="AD84" i="3"/>
  <c r="AH52" i="3"/>
  <c r="AG52" i="3"/>
  <c r="AE52" i="3"/>
  <c r="AC52" i="3"/>
  <c r="AH51" i="3"/>
  <c r="AC51" i="3"/>
  <c r="AF50" i="3"/>
  <c r="AD50" i="3"/>
  <c r="AH49" i="3"/>
  <c r="AE49" i="3"/>
  <c r="AF48" i="3"/>
  <c r="AD48" i="3"/>
  <c r="AG47" i="3"/>
  <c r="AE47" i="3"/>
  <c r="AC47" i="3"/>
  <c r="AD46" i="3"/>
  <c r="AH45" i="3"/>
  <c r="AH44" i="3"/>
  <c r="AH129" i="3"/>
  <c r="AG129" i="3"/>
  <c r="AF129" i="3"/>
  <c r="AE129" i="3"/>
  <c r="AD129" i="3"/>
  <c r="AC129" i="3"/>
  <c r="AH128" i="3"/>
  <c r="AG128" i="3"/>
  <c r="AF128" i="3"/>
  <c r="AE128" i="3"/>
  <c r="AD128" i="3"/>
  <c r="AC128" i="3"/>
  <c r="AH127" i="3"/>
  <c r="AG127" i="3"/>
  <c r="AF127" i="3"/>
  <c r="AE127" i="3"/>
  <c r="AD127" i="3"/>
  <c r="AC127" i="3"/>
  <c r="AH126" i="3"/>
  <c r="AG126" i="3"/>
  <c r="AF126" i="3"/>
  <c r="AE126" i="3"/>
  <c r="AD126" i="3"/>
  <c r="AC126" i="3"/>
  <c r="AH125" i="3"/>
  <c r="AG125" i="3"/>
  <c r="AF125" i="3"/>
  <c r="AE125" i="3"/>
  <c r="AD125" i="3"/>
  <c r="AC125" i="3"/>
  <c r="AH124" i="3"/>
  <c r="AG124" i="3"/>
  <c r="AF124" i="3"/>
  <c r="AE124" i="3"/>
  <c r="AD124" i="3"/>
  <c r="AC124" i="3"/>
  <c r="AH123" i="3"/>
  <c r="AG123" i="3"/>
  <c r="AF123" i="3"/>
  <c r="AE123" i="3"/>
  <c r="AD123" i="3"/>
  <c r="AC123" i="3"/>
  <c r="AH122" i="3"/>
  <c r="AG122" i="3"/>
  <c r="AF122" i="3"/>
  <c r="AE122" i="3"/>
  <c r="AD122" i="3"/>
  <c r="AC122" i="3"/>
  <c r="AH121" i="3"/>
  <c r="AG121" i="3"/>
  <c r="AF121" i="3"/>
  <c r="AE121" i="3"/>
  <c r="AD121" i="3"/>
  <c r="AC121" i="3"/>
  <c r="AH120" i="3"/>
  <c r="AG120" i="3"/>
  <c r="AF120" i="3"/>
  <c r="AE120" i="3"/>
  <c r="AD120" i="3"/>
  <c r="AC120" i="3"/>
  <c r="AH119" i="3"/>
  <c r="AG119" i="3"/>
  <c r="AF119" i="3"/>
  <c r="AE119" i="3"/>
  <c r="AD119" i="3"/>
  <c r="AC119" i="3"/>
  <c r="AH118" i="3"/>
  <c r="AG118" i="3"/>
  <c r="AF118" i="3"/>
  <c r="AE118" i="3"/>
  <c r="AD118" i="3"/>
  <c r="AC118" i="3"/>
  <c r="AH117" i="3"/>
  <c r="AG117" i="3"/>
  <c r="AF117" i="3"/>
  <c r="AE117" i="3"/>
  <c r="AD117" i="3"/>
  <c r="AC117" i="3"/>
  <c r="AH116" i="3"/>
  <c r="AG116" i="3"/>
  <c r="AF116" i="3"/>
  <c r="AE116" i="3"/>
  <c r="AD116" i="3"/>
  <c r="AC116" i="3"/>
  <c r="AH115" i="3"/>
  <c r="AG115" i="3"/>
  <c r="AF115" i="3"/>
  <c r="AE115" i="3"/>
  <c r="AD115" i="3"/>
  <c r="AC115" i="3"/>
  <c r="AH114" i="3"/>
  <c r="AG114" i="3"/>
  <c r="AF114" i="3"/>
  <c r="AE114" i="3"/>
  <c r="AD114" i="3"/>
  <c r="AC114" i="3"/>
  <c r="AH113" i="3"/>
  <c r="AG113" i="3"/>
  <c r="AF113" i="3"/>
  <c r="AE113" i="3"/>
  <c r="AD113" i="3"/>
  <c r="AC113" i="3"/>
  <c r="AH112" i="3"/>
  <c r="AG112" i="3"/>
  <c r="AF112" i="3"/>
  <c r="AE112" i="3"/>
  <c r="AD112" i="3"/>
  <c r="AC112" i="3"/>
  <c r="AH111" i="3"/>
  <c r="AG111" i="3"/>
  <c r="AF111" i="3"/>
  <c r="AE111" i="3"/>
  <c r="AD111" i="3"/>
  <c r="AC111" i="3"/>
  <c r="AH110" i="3"/>
  <c r="AG110" i="3"/>
  <c r="AF110" i="3"/>
  <c r="AE110" i="3"/>
  <c r="AD110" i="3"/>
  <c r="AC110" i="3"/>
  <c r="AH109" i="3"/>
  <c r="AG109" i="3"/>
  <c r="AF109" i="3"/>
  <c r="AE109" i="3"/>
  <c r="AD109" i="3"/>
  <c r="AC109" i="3"/>
  <c r="AH108" i="3"/>
  <c r="AG108" i="3"/>
  <c r="AF108" i="3"/>
  <c r="AE108" i="3"/>
  <c r="AD108" i="3"/>
  <c r="AC108" i="3"/>
  <c r="AH107" i="3"/>
  <c r="AG107" i="3"/>
  <c r="AF107" i="3"/>
  <c r="AE107" i="3"/>
  <c r="AD107" i="3"/>
  <c r="AC107" i="3"/>
  <c r="AH106" i="3"/>
  <c r="AG106" i="3"/>
  <c r="AF106" i="3"/>
  <c r="AE106" i="3"/>
  <c r="AD106" i="3"/>
  <c r="AC106" i="3"/>
  <c r="AH105" i="3"/>
  <c r="AG105" i="3"/>
  <c r="AF105" i="3"/>
  <c r="AE105" i="3"/>
  <c r="AD105" i="3"/>
  <c r="AC105" i="3"/>
  <c r="AH104" i="3"/>
  <c r="AG104" i="3"/>
  <c r="AF104" i="3"/>
  <c r="AE104" i="3"/>
  <c r="AD104" i="3"/>
  <c r="AC104" i="3"/>
  <c r="AH103" i="3"/>
  <c r="AG103" i="3"/>
  <c r="AF103" i="3"/>
  <c r="AE103" i="3"/>
  <c r="AD103" i="3"/>
  <c r="AC103" i="3"/>
  <c r="AH102" i="3"/>
  <c r="AG102" i="3"/>
  <c r="AF102" i="3"/>
  <c r="AE102" i="3"/>
  <c r="AD102" i="3"/>
  <c r="AC102" i="3"/>
  <c r="AH101" i="3"/>
  <c r="AG101" i="3"/>
  <c r="AF101" i="3"/>
  <c r="AE101" i="3"/>
  <c r="AD101" i="3"/>
  <c r="AC101" i="3"/>
  <c r="AH100" i="3"/>
  <c r="AG100" i="3"/>
  <c r="AF100" i="3"/>
  <c r="AC100" i="3"/>
  <c r="AG99" i="3"/>
  <c r="AE99" i="3"/>
  <c r="AC99" i="3"/>
  <c r="AH98" i="3"/>
  <c r="AE98" i="3"/>
  <c r="AH97" i="3"/>
  <c r="AF97" i="3"/>
  <c r="AD97" i="3"/>
  <c r="AH96" i="3"/>
  <c r="AG96" i="3"/>
  <c r="AF96" i="3"/>
  <c r="AE96" i="3"/>
  <c r="AC96" i="3"/>
  <c r="AH95" i="3"/>
  <c r="AE95" i="3"/>
  <c r="AH94" i="3"/>
  <c r="AE94" i="3"/>
  <c r="AH93" i="3"/>
  <c r="AG93" i="3"/>
  <c r="AD93" i="3"/>
  <c r="AG92" i="3"/>
  <c r="AH91" i="3"/>
  <c r="AE91" i="3"/>
  <c r="AC91" i="3"/>
  <c r="AE90" i="3"/>
  <c r="AH89" i="3"/>
  <c r="AF89" i="3"/>
  <c r="AC89" i="3"/>
  <c r="AE88" i="3"/>
  <c r="AH87" i="3"/>
  <c r="AE87" i="3"/>
  <c r="AC87" i="3"/>
  <c r="AF86" i="3"/>
  <c r="AC86" i="3"/>
  <c r="AG85" i="3"/>
  <c r="AD85" i="3"/>
  <c r="AH84" i="3"/>
  <c r="AE84" i="3"/>
  <c r="AC84" i="3"/>
  <c r="AF52" i="3"/>
  <c r="AG51" i="3"/>
  <c r="AE51" i="3"/>
  <c r="AH50" i="3"/>
  <c r="AG49" i="3"/>
  <c r="AH48" i="3"/>
  <c r="AG48" i="3"/>
  <c r="AC48" i="3"/>
  <c r="AF47" i="3"/>
  <c r="AH46" i="3"/>
  <c r="AE46" i="3"/>
  <c r="AC46" i="3"/>
  <c r="AF45" i="3"/>
  <c r="AD45" i="3"/>
  <c r="AG44" i="3"/>
  <c r="AE44" i="3"/>
  <c r="AC44" i="3"/>
  <c r="AH43" i="3"/>
  <c r="AF43" i="3"/>
  <c r="AD43" i="3"/>
  <c r="AC43" i="3"/>
  <c r="AF42" i="3"/>
  <c r="AC42" i="3"/>
  <c r="AG41" i="3"/>
  <c r="AE41" i="3"/>
  <c r="AC41" i="3"/>
  <c r="AH40" i="3"/>
  <c r="AF40" i="3"/>
  <c r="AE40" i="3"/>
  <c r="AC40" i="3"/>
  <c r="AE39" i="3"/>
  <c r="AD39" i="3"/>
  <c r="AG38" i="3"/>
  <c r="AD38" i="3"/>
  <c r="AG37" i="3"/>
  <c r="AE37" i="3"/>
  <c r="AC37" i="3"/>
  <c r="AH36" i="3"/>
  <c r="AF36" i="3"/>
  <c r="AD36" i="3"/>
  <c r="AH35" i="3"/>
  <c r="AG35" i="3"/>
  <c r="AD35" i="3"/>
  <c r="AH72" i="3"/>
  <c r="AG72" i="3"/>
  <c r="AF72" i="3"/>
  <c r="AE72" i="3"/>
  <c r="AD72" i="3"/>
  <c r="AC72" i="3"/>
  <c r="AH69" i="3"/>
  <c r="AG69" i="3"/>
  <c r="AF69" i="3"/>
  <c r="AE69" i="3"/>
  <c r="AD69" i="3"/>
  <c r="AC69" i="3"/>
  <c r="AH68" i="3"/>
  <c r="AG68" i="3"/>
  <c r="AF68" i="3"/>
  <c r="AE68" i="3"/>
  <c r="AD68" i="3"/>
  <c r="AC68" i="3"/>
  <c r="AH67" i="3"/>
  <c r="AG67" i="3"/>
  <c r="AF67" i="3"/>
  <c r="AE67" i="3"/>
  <c r="AD67" i="3"/>
  <c r="AC67" i="3"/>
  <c r="AH65" i="3"/>
  <c r="AG65" i="3"/>
  <c r="AF65" i="3"/>
  <c r="AE65" i="3"/>
  <c r="AD65" i="3"/>
  <c r="AC65" i="3"/>
  <c r="AH64" i="3"/>
  <c r="AG64" i="3"/>
  <c r="AF64" i="3"/>
  <c r="AE64" i="3"/>
  <c r="AD64" i="3"/>
  <c r="AC64" i="3"/>
  <c r="AH63" i="3"/>
  <c r="AG63" i="3"/>
  <c r="AF63" i="3"/>
  <c r="AE63" i="3"/>
  <c r="AD63" i="3"/>
  <c r="AC63" i="3"/>
  <c r="AH62" i="3"/>
  <c r="AG62" i="3"/>
  <c r="AF62" i="3"/>
  <c r="AE62" i="3"/>
  <c r="AD62" i="3"/>
  <c r="AC62" i="3"/>
  <c r="AH61" i="3"/>
  <c r="AG61" i="3"/>
  <c r="AF61" i="3"/>
  <c r="AE61" i="3"/>
  <c r="AD61" i="3"/>
  <c r="AC61" i="3"/>
  <c r="AH60" i="3"/>
  <c r="AG60" i="3"/>
  <c r="AF60" i="3"/>
  <c r="AE60" i="3"/>
  <c r="AD60" i="3"/>
  <c r="AC60" i="3"/>
  <c r="AH59" i="3"/>
  <c r="AG59" i="3"/>
  <c r="AF59" i="3"/>
  <c r="AE59" i="3"/>
  <c r="AD59" i="3"/>
  <c r="AC59" i="3"/>
  <c r="AH58" i="3"/>
  <c r="AG58" i="3"/>
  <c r="AF58" i="3"/>
  <c r="AE58" i="3"/>
  <c r="AD58" i="3"/>
  <c r="AC58" i="3"/>
  <c r="AH57" i="3"/>
  <c r="AG57" i="3"/>
  <c r="AF57" i="3"/>
  <c r="AE57" i="3"/>
  <c r="AD57" i="3"/>
  <c r="AC57" i="3"/>
  <c r="AH56" i="3"/>
  <c r="AG56" i="3"/>
  <c r="AF56" i="3"/>
  <c r="AE56" i="3"/>
  <c r="AD56" i="3"/>
  <c r="AC56" i="3"/>
  <c r="AH55" i="3"/>
  <c r="AG55" i="3"/>
  <c r="AF55" i="3"/>
  <c r="AE55" i="3"/>
  <c r="AD55" i="3"/>
  <c r="AC55" i="3"/>
  <c r="AH54" i="3"/>
  <c r="AG54" i="3"/>
  <c r="AF54" i="3"/>
  <c r="AE54" i="3"/>
  <c r="AD54" i="3"/>
  <c r="AC54" i="3"/>
  <c r="AH53" i="3"/>
  <c r="AG53" i="3"/>
  <c r="AF53" i="3"/>
  <c r="AE53" i="3"/>
  <c r="AD53" i="3"/>
  <c r="AC53" i="3"/>
  <c r="AD52" i="3"/>
  <c r="AD51" i="3"/>
  <c r="AE50" i="3"/>
  <c r="AE48" i="3"/>
  <c r="AH47" i="3"/>
  <c r="AD47" i="3"/>
  <c r="AF46" i="3"/>
  <c r="AE45" i="3"/>
  <c r="AF44" i="3"/>
  <c r="AG42" i="3"/>
  <c r="AF41" i="3"/>
  <c r="AG39" i="3"/>
  <c r="AF37" i="3"/>
  <c r="AG36" i="3"/>
  <c r="AF35" i="3"/>
  <c r="AF34" i="3"/>
  <c r="AH33" i="3"/>
  <c r="AC33" i="3"/>
  <c r="AD32" i="3"/>
  <c r="AF31" i="3"/>
  <c r="AG30" i="3"/>
  <c r="AD29" i="3"/>
  <c r="AC29" i="3"/>
  <c r="AH28" i="3"/>
  <c r="AG28" i="3"/>
  <c r="AF28" i="3"/>
  <c r="AE28" i="3"/>
  <c r="AD28" i="3"/>
  <c r="AC28" i="3"/>
  <c r="AH27" i="3"/>
  <c r="AG27" i="3"/>
  <c r="AF27" i="3"/>
  <c r="AE27" i="3"/>
  <c r="AD27" i="3"/>
  <c r="AC27" i="3"/>
  <c r="AH26" i="3"/>
  <c r="AG26" i="3"/>
  <c r="AF26" i="3"/>
  <c r="AE26" i="3"/>
  <c r="AD26" i="3"/>
  <c r="AC26" i="3"/>
  <c r="AH25" i="3"/>
  <c r="AG25" i="3"/>
  <c r="AF25" i="3"/>
  <c r="AE25" i="3"/>
  <c r="AD25" i="3"/>
  <c r="AC25" i="3"/>
  <c r="AH24" i="3"/>
  <c r="AG24" i="3"/>
  <c r="AF24" i="3"/>
  <c r="AE24" i="3"/>
  <c r="AD24" i="3"/>
  <c r="AC24" i="3"/>
  <c r="AH23" i="3"/>
  <c r="AG23" i="3"/>
  <c r="AF23" i="3"/>
  <c r="AE23" i="3"/>
  <c r="AD23" i="3"/>
  <c r="AC23" i="3"/>
  <c r="AH22" i="3"/>
  <c r="AG22" i="3"/>
  <c r="AF22" i="3"/>
  <c r="AE22" i="3"/>
  <c r="AD22" i="3"/>
  <c r="AC22" i="3"/>
  <c r="AH21" i="3"/>
  <c r="AG21" i="3"/>
  <c r="AF21" i="3"/>
  <c r="AE21" i="3"/>
  <c r="AD21" i="3"/>
  <c r="AC21" i="3"/>
  <c r="AH20" i="3"/>
  <c r="AG20" i="3"/>
  <c r="AF20" i="3"/>
  <c r="AE20" i="3"/>
  <c r="AD20" i="3"/>
  <c r="AC20" i="3"/>
  <c r="AH19" i="3"/>
  <c r="AG19" i="3"/>
  <c r="AF19" i="3"/>
  <c r="AE19" i="3"/>
  <c r="AD19" i="3"/>
  <c r="AC19" i="3"/>
  <c r="AH18" i="3"/>
  <c r="AG18" i="3"/>
  <c r="AF18" i="3"/>
  <c r="AE18" i="3"/>
  <c r="AD18" i="3"/>
  <c r="AC18" i="3"/>
  <c r="AH17" i="3"/>
  <c r="AG17" i="3"/>
  <c r="AF17" i="3"/>
  <c r="AE17" i="3"/>
  <c r="AD17" i="3"/>
  <c r="AC17" i="3"/>
  <c r="AH16" i="3"/>
  <c r="AG16" i="3"/>
  <c r="AF16" i="3"/>
  <c r="AE16" i="3"/>
  <c r="AD16" i="3"/>
  <c r="AC16" i="3"/>
  <c r="AH15" i="3"/>
  <c r="AG15" i="3"/>
  <c r="AF15" i="3"/>
  <c r="AE15" i="3"/>
  <c r="AD15" i="3"/>
  <c r="AC15" i="3"/>
  <c r="AH14" i="3"/>
  <c r="AG14" i="3"/>
  <c r="AF14" i="3"/>
  <c r="AE14" i="3"/>
  <c r="AD14" i="3"/>
  <c r="AC14" i="3"/>
  <c r="AH13" i="3"/>
  <c r="AG13" i="3"/>
  <c r="AF13" i="3"/>
  <c r="AE13" i="3"/>
  <c r="AD13" i="3"/>
  <c r="AC13" i="3"/>
  <c r="AH12" i="3"/>
  <c r="AG12" i="3"/>
  <c r="AF12" i="3"/>
  <c r="AE12" i="3"/>
  <c r="AD12" i="3"/>
  <c r="AC12" i="3"/>
  <c r="AH11" i="3"/>
  <c r="AG11" i="3"/>
  <c r="AF11" i="3"/>
  <c r="AE11" i="3"/>
  <c r="AD11" i="3"/>
  <c r="AC11" i="3"/>
  <c r="AH10" i="3"/>
  <c r="AG10" i="3"/>
  <c r="AF10" i="3"/>
  <c r="AE10" i="3"/>
  <c r="AD10" i="3"/>
  <c r="AC10" i="3"/>
  <c r="AH9" i="3"/>
  <c r="AG9" i="3"/>
  <c r="AF9" i="3"/>
  <c r="AE9" i="3"/>
  <c r="AD9" i="3"/>
  <c r="AC9" i="3"/>
  <c r="AH8" i="3"/>
  <c r="AG8" i="3"/>
  <c r="AF8" i="3"/>
  <c r="AE8" i="3"/>
  <c r="AD8" i="3"/>
  <c r="AC8" i="3"/>
  <c r="AH7" i="3"/>
  <c r="AG7" i="3"/>
  <c r="AF7" i="3"/>
  <c r="AE7" i="3"/>
  <c r="AD7" i="3"/>
  <c r="AC7" i="3"/>
  <c r="AH6" i="3"/>
  <c r="AG6" i="3"/>
  <c r="AF6" i="3"/>
  <c r="AE6" i="3"/>
  <c r="AD6" i="3"/>
  <c r="AC6" i="3"/>
  <c r="AH5" i="3"/>
  <c r="AG5" i="3"/>
  <c r="AF5" i="3"/>
  <c r="AE5" i="3"/>
  <c r="AD5" i="3"/>
  <c r="AC5" i="3"/>
  <c r="AH4" i="3"/>
  <c r="AG4" i="3"/>
  <c r="AF4" i="3"/>
  <c r="AE4" i="3"/>
  <c r="AD4" i="3"/>
  <c r="AC4" i="3"/>
  <c r="AH3" i="3"/>
  <c r="AG3" i="3"/>
  <c r="AF3" i="3"/>
  <c r="AE3" i="3"/>
  <c r="AD3" i="3"/>
  <c r="AC3" i="3"/>
  <c r="AH2" i="3"/>
  <c r="AG2" i="3"/>
  <c r="AF2" i="3"/>
  <c r="AE2" i="3"/>
  <c r="AD2" i="3"/>
  <c r="AC2" i="3"/>
</calcChain>
</file>

<file path=xl/sharedStrings.xml><?xml version="1.0" encoding="utf-8"?>
<sst xmlns="http://schemas.openxmlformats.org/spreadsheetml/2006/main" count="13376" uniqueCount="1165">
  <si>
    <t>Merged Eurostat SBS C29 NUTS dataset</t>
  </si>
  <si>
    <t>Created</t>
  </si>
  <si>
    <t>Derived 2021–2023 employment and appended to 2008–2020 employment</t>
  </si>
  <si>
    <t>Employment formula</t>
  </si>
  <si>
    <t>employment_derived_year = persons employed per local unit × local units</t>
  </si>
  <si>
    <t>Source 2008–2020</t>
  </si>
  <si>
    <t>sbs_r_nuts06_r2__custom_21203905_spreadsheet.xlsx</t>
  </si>
  <si>
    <t>Source 2021–2023</t>
  </si>
  <si>
    <t>sbs_r_nuts2021__custom_21203869_spreadsheet.xlsx</t>
  </si>
  <si>
    <t>Sheets</t>
  </si>
  <si>
    <t>Post2020_Derivation, Employment_Merged, LocalUnits_Merged, Wages_Merged</t>
  </si>
  <si>
    <t>Note</t>
  </si>
  <si>
    <t>Missing values (:) and Eurostat flags are preserved.</t>
  </si>
  <si>
    <t>Old employment rows</t>
  </si>
  <si>
    <t>Post-2020 derivation rows</t>
  </si>
  <si>
    <t>Union GEO rows</t>
  </si>
  <si>
    <t>GEO code</t>
  </si>
  <si>
    <t>GEO label</t>
  </si>
  <si>
    <t>emp_per_local_unit_2021</t>
  </si>
  <si>
    <t>flag_emp_per_local_unit_2021</t>
  </si>
  <si>
    <t>local_units_2021</t>
  </si>
  <si>
    <t>flag_local_units_2021</t>
  </si>
  <si>
    <t>employment_derived_2021</t>
  </si>
  <si>
    <t>derived_flag_2021</t>
  </si>
  <si>
    <t>emp_per_local_unit_2022</t>
  </si>
  <si>
    <t>flag_emp_per_local_unit_2022</t>
  </si>
  <si>
    <t>local_units_2022</t>
  </si>
  <si>
    <t>flag_local_units_2022</t>
  </si>
  <si>
    <t>employment_derived_2022</t>
  </si>
  <si>
    <t>derived_flag_2022</t>
  </si>
  <si>
    <t>emp_per_local_unit_2023</t>
  </si>
  <si>
    <t>flag_emp_per_local_unit_2023</t>
  </si>
  <si>
    <t>local_units_2023</t>
  </si>
  <si>
    <t>flag_local_units_2023</t>
  </si>
  <si>
    <t>employment_derived_2023</t>
  </si>
  <si>
    <t>derived_flag_2023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</si>
  <si>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</si>
  <si>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</si>
  <si>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</si>
  <si>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</si>
  <si>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</si>
  <si>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</si>
  <si>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</si>
  <si>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:</t>
  </si>
  <si>
    <t>C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</si>
  <si>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</si>
  <si>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</si>
  <si>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</si>
  <si>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</si>
  <si>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</si>
  <si>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</si>
  <si>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</si>
  <si>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</si>
  <si>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</si>
  <si>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</si>
  <si>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</si>
  <si>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</si>
  <si>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</si>
  <si>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</si>
  <si>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</si>
  <si>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</si>
  <si>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</si>
  <si>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</si>
  <si>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</si>
  <si>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</si>
  <si>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</si>
  <si>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</si>
  <si>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BEZ</t>
  </si>
  <si>
    <t>Extra-Regio NUTS 1</t>
  </si>
  <si>
    <t>BEZZ</t>
  </si>
  <si>
    <t>Extra-Regio NUTS 2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</si>
  <si>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</si>
  <si>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</si>
  <si>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</si>
  <si>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</si>
  <si>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</si>
  <si>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</si>
  <si>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</si>
  <si>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</si>
  <si>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</si>
  <si>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</si>
  <si>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</si>
  <si>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</si>
  <si>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</si>
  <si>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</si>
  <si>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</si>
  <si>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</si>
  <si>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</si>
  <si>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</si>
  <si>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</si>
  <si>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</si>
  <si>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</si>
  <si>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</si>
  <si>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</si>
  <si>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</si>
  <si>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</si>
  <si>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</si>
  <si>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</si>
  <si>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</si>
  <si>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</si>
  <si>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</si>
  <si>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</si>
  <si>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</si>
  <si>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</si>
  <si>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</si>
  <si>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</si>
  <si>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</si>
  <si>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</si>
  <si>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</si>
  <si>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</si>
  <si>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CZZZ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</si>
  <si>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</si>
  <si>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</si>
  <si>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</si>
  <si>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</si>
  <si>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</si>
  <si>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</si>
  <si>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</si>
  <si>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</si>
  <si>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</si>
  <si>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</si>
  <si>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</si>
  <si>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</si>
  <si>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</si>
  <si>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</si>
  <si>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DKZ</t>
  </si>
  <si>
    <t>DKZZ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</si>
  <si>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</si>
  <si>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</si>
  <si>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</si>
  <si>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</si>
  <si>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</si>
  <si>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</si>
  <si>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</si>
  <si>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</si>
  <si>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</si>
  <si>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</si>
  <si>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</si>
  <si>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</si>
  <si>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</si>
  <si>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</si>
  <si>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</si>
  <si>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</si>
  <si>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</si>
  <si>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</si>
  <si>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</si>
  <si>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</si>
  <si>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</si>
  <si>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</si>
  <si>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</si>
  <si>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</si>
  <si>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</si>
  <si>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</si>
  <si>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</si>
  <si>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</si>
  <si>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</si>
  <si>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</si>
  <si>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</si>
  <si>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</si>
  <si>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</si>
  <si>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</si>
  <si>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</si>
  <si>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</si>
  <si>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</si>
  <si>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</si>
  <si>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</si>
  <si>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</si>
  <si>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</si>
  <si>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</si>
  <si>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</si>
  <si>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</si>
  <si>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</si>
  <si>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</si>
  <si>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</si>
  <si>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</si>
  <si>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</si>
  <si>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</si>
  <si>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</si>
  <si>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</si>
  <si>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</si>
  <si>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</si>
  <si>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</si>
  <si>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</si>
  <si>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</si>
  <si>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</si>
  <si>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</si>
  <si>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</si>
  <si>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</si>
  <si>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</si>
  <si>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</si>
  <si>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</si>
  <si>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</si>
  <si>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</si>
  <si>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</si>
  <si>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</si>
  <si>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</si>
  <si>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</si>
  <si>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</si>
  <si>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</si>
  <si>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</si>
  <si>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</si>
  <si>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</si>
  <si>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</si>
  <si>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</si>
  <si>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</si>
  <si>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</si>
  <si>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</si>
  <si>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</si>
  <si>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</si>
  <si>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</si>
  <si>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</si>
  <si>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</si>
  <si>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</si>
  <si>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</si>
  <si>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</si>
  <si>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</si>
  <si>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</si>
  <si>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</si>
  <si>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</si>
  <si>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</si>
  <si>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</si>
  <si>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</si>
  <si>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</si>
  <si>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</si>
  <si>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</si>
  <si>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</si>
  <si>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</si>
  <si>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</si>
  <si>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</si>
  <si>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</si>
  <si>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</si>
  <si>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</si>
  <si>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</si>
  <si>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EEZ</t>
  </si>
  <si>
    <t>EEZZ</t>
  </si>
  <si>
    <t>IE</t>
  </si>
  <si>
    <t>Ireland</t>
  </si>
  <si>
    <t>IE04</t>
  </si>
  <si>
    <t>Northern and Western</t>
  </si>
  <si>
    <t>IE05</t>
  </si>
  <si>
    <t>Southern</t>
  </si>
  <si>
    <t>IE06</t>
  </si>
  <si>
    <t>Eastern and Midland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</si>
  <si>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</si>
  <si>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</si>
  <si>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</si>
  <si>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</si>
  <si>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</si>
  <si>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</si>
  <si>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</si>
  <si>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</si>
  <si>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</si>
  <si>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</si>
  <si>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</si>
  <si>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</si>
  <si>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</si>
  <si>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</si>
  <si>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</si>
  <si>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</si>
  <si>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</si>
  <si>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</si>
  <si>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</si>
  <si>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</si>
  <si>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</si>
  <si>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</si>
  <si>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</si>
  <si>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</si>
  <si>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</si>
  <si>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</si>
  <si>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</si>
  <si>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</si>
  <si>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</si>
  <si>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</si>
  <si>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</si>
  <si>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</si>
  <si>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</si>
  <si>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</si>
  <si>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</si>
  <si>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</si>
  <si>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</si>
  <si>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</si>
  <si>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</si>
  <si>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</si>
  <si>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</si>
  <si>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</si>
  <si>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</si>
  <si>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</si>
  <si>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</si>
  <si>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</si>
  <si>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</si>
  <si>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</si>
  <si>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</si>
  <si>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</si>
  <si>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</si>
  <si>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</si>
  <si>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</si>
  <si>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</si>
  <si>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</si>
  <si>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</si>
  <si>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</si>
  <si>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</si>
  <si>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</si>
  <si>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</si>
  <si>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</si>
  <si>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</si>
  <si>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</si>
  <si>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</si>
  <si>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</si>
  <si>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</si>
  <si>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</si>
  <si>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</si>
  <si>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</si>
  <si>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</si>
  <si>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</si>
  <si>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</si>
  <si>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</si>
  <si>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</si>
  <si>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</si>
  <si>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</si>
  <si>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</si>
  <si>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</si>
  <si>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</si>
  <si>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</si>
  <si>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</si>
  <si>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</si>
  <si>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</si>
  <si>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</si>
  <si>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</si>
  <si>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</si>
  <si>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</si>
  <si>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</si>
  <si>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</si>
  <si>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FR</t>
  </si>
  <si>
    <t>France</t>
  </si>
  <si>
    <t>b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</si>
  <si>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</si>
  <si>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</si>
  <si>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</si>
  <si>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</si>
  <si>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</si>
  <si>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</si>
  <si>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</si>
  <si>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</si>
  <si>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</si>
  <si>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</si>
  <si>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</si>
  <si>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</si>
  <si>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</si>
  <si>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</si>
  <si>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</si>
  <si>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</si>
  <si>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</si>
  <si>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</si>
  <si>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</si>
  <si>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</si>
  <si>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</si>
  <si>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</si>
  <si>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</si>
  <si>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</si>
  <si>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</si>
  <si>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</si>
  <si>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</si>
  <si>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</si>
  <si>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</si>
  <si>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</si>
  <si>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</si>
  <si>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</si>
  <si>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</si>
  <si>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</si>
  <si>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</si>
  <si>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</si>
  <si>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</si>
  <si>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</si>
  <si>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</si>
  <si>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</si>
  <si>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</si>
  <si>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</si>
  <si>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</si>
  <si>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</si>
  <si>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</si>
  <si>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</si>
  <si>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</si>
  <si>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</si>
  <si>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</si>
  <si>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</si>
  <si>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</si>
  <si>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</si>
  <si>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</si>
  <si>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</si>
  <si>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</si>
  <si>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</si>
  <si>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</si>
  <si>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</si>
  <si>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</si>
  <si>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</si>
  <si>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</si>
  <si>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</si>
  <si>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</si>
  <si>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</si>
  <si>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</si>
  <si>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</si>
  <si>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</si>
  <si>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</si>
  <si>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bC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</si>
  <si>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</si>
  <si>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</si>
  <si>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</si>
  <si>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</si>
  <si>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</si>
  <si>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</si>
  <si>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</si>
  <si>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</si>
  <si>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</si>
  <si>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</si>
  <si>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</si>
  <si>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</si>
  <si>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</si>
  <si>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</si>
  <si>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</si>
  <si>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</si>
  <si>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</si>
  <si>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</si>
  <si>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</si>
  <si>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</si>
  <si>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</si>
  <si>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</si>
  <si>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</si>
  <si>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</si>
  <si>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</si>
  <si>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</si>
  <si>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</si>
  <si>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</si>
  <si>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</si>
  <si>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</si>
  <si>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</si>
  <si>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</si>
  <si>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</si>
  <si>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</si>
  <si>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</si>
  <si>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</si>
  <si>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</si>
  <si>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</si>
  <si>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</si>
  <si>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</si>
  <si>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</si>
  <si>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</si>
  <si>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</si>
  <si>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</si>
  <si>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</si>
  <si>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</si>
  <si>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</si>
  <si>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</si>
  <si>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</si>
  <si>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</si>
  <si>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</si>
  <si>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</si>
  <si>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</si>
  <si>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</si>
  <si>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</si>
  <si>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</si>
  <si>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</si>
  <si>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</si>
  <si>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</si>
  <si>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</si>
  <si>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</si>
  <si>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</si>
  <si>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</si>
  <si>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</si>
  <si>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</si>
  <si>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</si>
  <si>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</si>
  <si>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</si>
  <si>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</si>
  <si>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</si>
  <si>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</si>
  <si>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</si>
  <si>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</si>
  <si>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</si>
  <si>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</si>
  <si>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</si>
  <si>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</si>
  <si>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</si>
  <si>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</si>
  <si>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</si>
  <si>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</si>
  <si>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</si>
  <si>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</si>
  <si>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</si>
  <si>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</si>
  <si>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</si>
  <si>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</si>
  <si>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</si>
  <si>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</si>
  <si>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</si>
  <si>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</si>
  <si>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</si>
  <si>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</si>
  <si>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</si>
  <si>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</si>
  <si>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</si>
  <si>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</si>
  <si>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</si>
  <si>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</si>
  <si>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</si>
  <si>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</si>
  <si>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</si>
  <si>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</si>
  <si>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</si>
  <si>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</si>
  <si>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</si>
  <si>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</si>
  <si>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</si>
  <si>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</si>
  <si>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</si>
  <si>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</si>
  <si>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</si>
  <si>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</si>
  <si>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</si>
  <si>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</si>
  <si>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</si>
  <si>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</si>
  <si>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</si>
  <si>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</si>
  <si>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</si>
  <si>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</si>
  <si>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</si>
  <si>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</si>
  <si>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</si>
  <si>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</si>
  <si>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</si>
  <si>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</si>
  <si>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</si>
  <si>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</si>
  <si>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</si>
  <si>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</si>
  <si>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</si>
  <si>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</si>
  <si>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</si>
  <si>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</si>
  <si>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</si>
  <si>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</si>
  <si>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</si>
  <si>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</si>
  <si>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</si>
  <si>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</si>
  <si>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</si>
  <si>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</si>
  <si>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</si>
  <si>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</si>
  <si>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</si>
  <si>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</si>
  <si>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</si>
  <si>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</si>
  <si>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</si>
  <si>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</si>
  <si>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</si>
  <si>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</si>
  <si>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</si>
  <si>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</si>
  <si>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</si>
  <si>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</si>
  <si>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</si>
  <si>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</si>
  <si>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</si>
  <si>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</si>
  <si>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</si>
  <si>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</si>
  <si>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</si>
  <si>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NLZ</t>
  </si>
  <si>
    <t>NLZZ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</si>
  <si>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</si>
  <si>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</si>
  <si>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</si>
  <si>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</si>
  <si>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</si>
  <si>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</si>
  <si>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</si>
  <si>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</si>
  <si>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</si>
  <si>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</si>
  <si>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</si>
  <si>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</si>
  <si>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</si>
  <si>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</si>
  <si>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</si>
  <si>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</si>
  <si>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</si>
  <si>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</si>
  <si>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</si>
  <si>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</si>
  <si>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</si>
  <si>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</si>
  <si>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</si>
  <si>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</si>
  <si>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</si>
  <si>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</si>
  <si>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ATZ</t>
  </si>
  <si>
    <t>ATZZ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</si>
  <si>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</si>
  <si>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</si>
  <si>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</si>
  <si>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</si>
  <si>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</si>
  <si>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</si>
  <si>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</si>
  <si>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</si>
  <si>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</si>
  <si>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</si>
  <si>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</si>
  <si>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</si>
  <si>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</si>
  <si>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</si>
  <si>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</si>
  <si>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</si>
  <si>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</si>
  <si>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</si>
  <si>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</si>
  <si>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</si>
  <si>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</si>
  <si>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</si>
  <si>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</si>
  <si>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</si>
  <si>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</si>
  <si>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</si>
  <si>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</si>
  <si>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</si>
  <si>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</si>
  <si>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</si>
  <si>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</si>
  <si>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</si>
  <si>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</si>
  <si>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</si>
  <si>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</si>
  <si>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</si>
  <si>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</si>
  <si>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</si>
  <si>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</si>
  <si>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</si>
  <si>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</si>
  <si>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</si>
  <si>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</si>
  <si>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</si>
  <si>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</si>
  <si>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</si>
  <si>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</si>
  <si>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</si>
  <si>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</si>
  <si>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</si>
  <si>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</si>
  <si>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</si>
  <si>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</si>
  <si>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</si>
  <si>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</si>
  <si>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</si>
  <si>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</si>
  <si>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</si>
  <si>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</si>
  <si>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</si>
  <si>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</si>
  <si>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</si>
  <si>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</si>
  <si>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</si>
  <si>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</si>
  <si>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</si>
  <si>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</si>
  <si>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</si>
  <si>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</si>
  <si>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</si>
  <si>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</si>
  <si>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</si>
  <si>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</si>
  <si>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</si>
  <si>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</si>
  <si>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</si>
  <si>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</si>
  <si>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</si>
  <si>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</si>
  <si>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</si>
  <si>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</si>
  <si>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</si>
  <si>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</si>
  <si>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</si>
  <si>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</si>
  <si>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</si>
  <si>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</si>
  <si>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</si>
  <si>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</si>
  <si>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</si>
  <si>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</si>
  <si>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</si>
  <si>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</si>
  <si>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</si>
  <si>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</si>
  <si>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</si>
  <si>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</si>
  <si>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</si>
  <si>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</si>
  <si>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</si>
  <si>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</si>
  <si>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</si>
  <si>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</si>
  <si>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</si>
  <si>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</si>
  <si>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</si>
  <si>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</si>
  <si>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ROZ</t>
  </si>
  <si>
    <t>ROZZ</t>
  </si>
  <si>
    <t>SI</t>
  </si>
  <si>
    <t>Slovenia</t>
  </si>
  <si>
    <t>SI0</t>
  </si>
  <si>
    <t>Slovenija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</si>
  <si>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</si>
  <si>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</si>
  <si>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</si>
  <si>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</si>
  <si>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</si>
  <si>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</si>
  <si>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</si>
  <si>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</si>
  <si>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</si>
  <si>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</si>
  <si>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</si>
  <si>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</si>
  <si>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</si>
  <si>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</si>
  <si>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</si>
  <si>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</si>
  <si>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</si>
  <si>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</si>
  <si>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</si>
  <si>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</si>
  <si>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</si>
  <si>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</si>
  <si>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</si>
  <si>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</si>
  <si>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</si>
  <si>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</si>
  <si>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</si>
  <si>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</si>
  <si>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</si>
  <si>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</si>
  <si>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</si>
  <si>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</si>
  <si>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</si>
  <si>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</si>
  <si>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</si>
  <si>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</si>
  <si>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</si>
  <si>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</si>
  <si>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</si>
  <si>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</si>
  <si>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</si>
  <si>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</si>
  <si>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</si>
  <si>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</si>
  <si>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</si>
  <si>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</si>
  <si>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</si>
  <si>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</si>
  <si>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</si>
  <si>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</si>
  <si>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</si>
  <si>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</si>
  <si>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</si>
  <si>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</si>
  <si>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</si>
  <si>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</si>
  <si>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</si>
  <si>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</si>
  <si>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</si>
  <si>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</si>
  <si>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</si>
  <si>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</si>
  <si>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NO</t>
  </si>
  <si>
    <t>Norway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</si>
  <si>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</si>
  <si>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</si>
  <si>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</si>
  <si>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</si>
  <si>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</si>
  <si>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</si>
  <si>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</si>
  <si>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</si>
  <si>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</si>
  <si>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</si>
  <si>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</si>
  <si>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</si>
  <si>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</si>
  <si>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</si>
  <si>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MK</t>
  </si>
  <si>
    <t>North Macedonia</t>
  </si>
  <si>
    <t>MK0</t>
  </si>
  <si>
    <t>Severna Makedonija</t>
  </si>
  <si>
    <t>MK00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</si>
  <si>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</si>
  <si>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</si>
  <si>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</si>
  <si>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</si>
  <si>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</si>
  <si>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</si>
  <si>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</si>
  <si>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</si>
  <si>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</si>
  <si>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</si>
  <si>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</si>
  <si>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</si>
  <si>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</si>
  <si>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</si>
  <si>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Special value</t>
  </si>
  <si>
    <t>not available</t>
  </si>
  <si>
    <t>Observation flags:</t>
  </si>
  <si>
    <t>break in time series</t>
  </si>
  <si>
    <t>Confidentiality flags:</t>
  </si>
  <si>
    <t>confidential</t>
  </si>
  <si>
    <t>2008</t>
  </si>
  <si>
    <t>flag_2008</t>
  </si>
  <si>
    <t>2009</t>
  </si>
  <si>
    <t>flag_2009</t>
  </si>
  <si>
    <t>2010</t>
  </si>
  <si>
    <t>flag_2010</t>
  </si>
  <si>
    <t>2011</t>
  </si>
  <si>
    <t>flag_2011</t>
  </si>
  <si>
    <t>2012</t>
  </si>
  <si>
    <t>flag_2012</t>
  </si>
  <si>
    <t>2013</t>
  </si>
  <si>
    <t>flag_2013</t>
  </si>
  <si>
    <t>2014</t>
  </si>
  <si>
    <t>flag_2014</t>
  </si>
  <si>
    <t>2015</t>
  </si>
  <si>
    <t>flag_2015</t>
  </si>
  <si>
    <t>2016</t>
  </si>
  <si>
    <t>flag_2016</t>
  </si>
  <si>
    <t>2017</t>
  </si>
  <si>
    <t>flag_2017</t>
  </si>
  <si>
    <t>2018</t>
  </si>
  <si>
    <t>flag_2018</t>
  </si>
  <si>
    <t>2019</t>
  </si>
  <si>
    <t>flag_2019</t>
  </si>
  <si>
    <t>2020</t>
  </si>
  <si>
    <t>flag_2020</t>
  </si>
  <si>
    <t>2021</t>
  </si>
  <si>
    <t>flag_2021</t>
  </si>
  <si>
    <t>2022</t>
  </si>
  <si>
    <t>flag_2022</t>
  </si>
  <si>
    <t>2023</t>
  </si>
  <si>
    <t>flag_2023</t>
  </si>
  <si>
    <t>p</t>
  </si>
  <si>
    <t>d</t>
  </si>
  <si>
    <t>DE41</t>
  </si>
  <si>
    <t>Brandenburg - Nordost (NUTS 2006)</t>
  </si>
  <si>
    <t>DE42</t>
  </si>
  <si>
    <t>Brandenburg - Südwest (NUTS 2006)</t>
  </si>
  <si>
    <t>dC</t>
  </si>
  <si>
    <t>DED1</t>
  </si>
  <si>
    <t>Chemnitz (NUTS 2006)</t>
  </si>
  <si>
    <t>DED3</t>
  </si>
  <si>
    <t>Leipzig (NUTS 2006)</t>
  </si>
  <si>
    <t>IE0</t>
  </si>
  <si>
    <t>IE01</t>
  </si>
  <si>
    <t>Border, Midland and Western (NUTS 2013)</t>
  </si>
  <si>
    <t>IE02</t>
  </si>
  <si>
    <t>Southern and Eastern (NUTS 2013)</t>
  </si>
  <si>
    <t>EL1</t>
  </si>
  <si>
    <t>Voreia Ellada (NUTS 2010)</t>
  </si>
  <si>
    <t>EL11</t>
  </si>
  <si>
    <t>Anatoliki Makedonia, Thraki (NUTS 2010)</t>
  </si>
  <si>
    <t>EL12</t>
  </si>
  <si>
    <t>Kentriki Makedonia (NUTS 2010)</t>
  </si>
  <si>
    <t>EL13</t>
  </si>
  <si>
    <t>Dytiki Makedonia (NUTS 2010)</t>
  </si>
  <si>
    <t>EL14</t>
  </si>
  <si>
    <t>Thessalia (NUTS 2010)</t>
  </si>
  <si>
    <t>EL2</t>
  </si>
  <si>
    <t>Kentriki Ellada (NUTS 2010)</t>
  </si>
  <si>
    <t>EL21</t>
  </si>
  <si>
    <t>Ipeiros (NUTS 2010)</t>
  </si>
  <si>
    <t>EL22</t>
  </si>
  <si>
    <t>Ionia Nisia (NUTS 2010)</t>
  </si>
  <si>
    <t>EL23</t>
  </si>
  <si>
    <t>Dytiki Ellada (NUTS 2010)</t>
  </si>
  <si>
    <t>EL24</t>
  </si>
  <si>
    <t>Sterea Ellada (NUTS 2010)</t>
  </si>
  <si>
    <t>EL25</t>
  </si>
  <si>
    <t>Peloponnisos (NUTS 2010)</t>
  </si>
  <si>
    <t>ESZ</t>
  </si>
  <si>
    <t>ESZZ</t>
  </si>
  <si>
    <t>u</t>
  </si>
  <si>
    <t>be</t>
  </si>
  <si>
    <t>e</t>
  </si>
  <si>
    <t>FR2</t>
  </si>
  <si>
    <t>Bassin Parisien (NUTS 2013)</t>
  </si>
  <si>
    <t>FR21</t>
  </si>
  <si>
    <t>Champagne-Ardenne (NUTS 2013)</t>
  </si>
  <si>
    <t>FR22</t>
  </si>
  <si>
    <t>Picardie (NUTS 2013)</t>
  </si>
  <si>
    <t>FR23</t>
  </si>
  <si>
    <t>Haute-Normandie (NUTS 2013)</t>
  </si>
  <si>
    <t>FR24</t>
  </si>
  <si>
    <t>Centre (FR) (NUTS 2013)</t>
  </si>
  <si>
    <t>FR25</t>
  </si>
  <si>
    <t>Basse-Normandie (NUTS 2013)</t>
  </si>
  <si>
    <t>FR26</t>
  </si>
  <si>
    <t>Bourgogne (NUTS 2013)</t>
  </si>
  <si>
    <t>FR3</t>
  </si>
  <si>
    <t>Nord-Pas-de-Calais (NUTS 2013)</t>
  </si>
  <si>
    <t>FR30</t>
  </si>
  <si>
    <t>FR4</t>
  </si>
  <si>
    <t>Est (FR) (NUTS 2013)</t>
  </si>
  <si>
    <t>FR41</t>
  </si>
  <si>
    <t>Lorraine (NUTS 2013)</t>
  </si>
  <si>
    <t>FR42</t>
  </si>
  <si>
    <t>Alsace (NUTS 2013)</t>
  </si>
  <si>
    <t>FR43</t>
  </si>
  <si>
    <t>Franche-Comté (NUTS 2013)</t>
  </si>
  <si>
    <t>FR5</t>
  </si>
  <si>
    <t>Ouest (FR) (NUTS 2013)</t>
  </si>
  <si>
    <t>FR51</t>
  </si>
  <si>
    <t>Pays de la Loire (NUTS 2013)</t>
  </si>
  <si>
    <t>FR52</t>
  </si>
  <si>
    <t>Bretagne (NUTS 2013)</t>
  </si>
  <si>
    <t>FR53</t>
  </si>
  <si>
    <t>Poitou-Charentes (NUTS 2013)</t>
  </si>
  <si>
    <t>FR6</t>
  </si>
  <si>
    <t>Sud-Ouest (FR) (NUTS 2013)</t>
  </si>
  <si>
    <t>FR61</t>
  </si>
  <si>
    <t>Aquitaine (NUTS 2013)</t>
  </si>
  <si>
    <t>FR62</t>
  </si>
  <si>
    <t>Midi-Pyrénées (NUTS 2013)</t>
  </si>
  <si>
    <t>FR63</t>
  </si>
  <si>
    <t>Limousin (NUTS 2013)</t>
  </si>
  <si>
    <t>FR7</t>
  </si>
  <si>
    <t>Centre-Est (FR) (NUTS 2013)</t>
  </si>
  <si>
    <t>FR71</t>
  </si>
  <si>
    <t>Rhône-Alpes (NUTS 2013)</t>
  </si>
  <si>
    <t>FR72</t>
  </si>
  <si>
    <t>Auvergne (NUTS 2013)</t>
  </si>
  <si>
    <t>FR8</t>
  </si>
  <si>
    <t>Méditerranée (NUTS 2013)</t>
  </si>
  <si>
    <t>FR81</t>
  </si>
  <si>
    <t>Languedoc-Roussillon (NUTS 2013)</t>
  </si>
  <si>
    <t>FR82</t>
  </si>
  <si>
    <t>Provence-Alpes-Côte d'Azur (NUTS 2013)</t>
  </si>
  <si>
    <t>FR83</t>
  </si>
  <si>
    <t>Corse (NUTS 2013)</t>
  </si>
  <si>
    <t>FRA</t>
  </si>
  <si>
    <t>Départements d'outre-mer (NUTS 2013)</t>
  </si>
  <si>
    <t>FRA1</t>
  </si>
  <si>
    <t>Guadeloupe (NUTS 2013)</t>
  </si>
  <si>
    <t>FRA2</t>
  </si>
  <si>
    <t>Martinique (NUTS 2013)</t>
  </si>
  <si>
    <t>FRA3</t>
  </si>
  <si>
    <t>Guyane (NUTS 2013)</t>
  </si>
  <si>
    <t>FRA4</t>
  </si>
  <si>
    <t>La Réunion (NUTS 2013)</t>
  </si>
  <si>
    <t>FRA5</t>
  </si>
  <si>
    <t>Mayotte (NUTS 2013)</t>
  </si>
  <si>
    <t>FR9</t>
  </si>
  <si>
    <t>Départements d'outre-mer (NUTS 2010)</t>
  </si>
  <si>
    <t>FR91</t>
  </si>
  <si>
    <t>Guadeloupe (NUTS 2010)</t>
  </si>
  <si>
    <t>FR92</t>
  </si>
  <si>
    <t>Martinique (NUTS 2010)</t>
  </si>
  <si>
    <t>FR93</t>
  </si>
  <si>
    <t>Guyane (NUTS 2010)</t>
  </si>
  <si>
    <t>FR94</t>
  </si>
  <si>
    <t>Réunion (NUTS 2010)</t>
  </si>
  <si>
    <t>HR04</t>
  </si>
  <si>
    <t>Kontinentalna Hrvatska (NUTS 2016)</t>
  </si>
  <si>
    <t>ITD</t>
  </si>
  <si>
    <t>Nord-Est (NUTS 2006)</t>
  </si>
  <si>
    <t>ITD1</t>
  </si>
  <si>
    <t>Provincia Autonoma Bolzano/Bozen (NUTS 2006)</t>
  </si>
  <si>
    <t>ITD2</t>
  </si>
  <si>
    <t>Provincia Autonoma Trento (NUTS 2006)</t>
  </si>
  <si>
    <t>ITD3</t>
  </si>
  <si>
    <t>Veneto (NUTS 2006)</t>
  </si>
  <si>
    <t>ITD4</t>
  </si>
  <si>
    <t>Friuli-Venezia Giulia (NUTS 2006)</t>
  </si>
  <si>
    <t>ITD5</t>
  </si>
  <si>
    <t>Emilia-Romagna (NUTS 2006)</t>
  </si>
  <si>
    <t>ITE</t>
  </si>
  <si>
    <t>Centro (I) (NUTS 2006)</t>
  </si>
  <si>
    <t>ITE1</t>
  </si>
  <si>
    <t>Toscana (NUTS 2006)</t>
  </si>
  <si>
    <t>ITE2</t>
  </si>
  <si>
    <t>Umbria (NUTS 2006)</t>
  </si>
  <si>
    <t>ITE3</t>
  </si>
  <si>
    <t>Marche (NUTS 2006)</t>
  </si>
  <si>
    <t>ITE4</t>
  </si>
  <si>
    <t>Lazio (NUTS 2006)</t>
  </si>
  <si>
    <t>LVZ</t>
  </si>
  <si>
    <t>LVZZ</t>
  </si>
  <si>
    <t>LT00</t>
  </si>
  <si>
    <t>Lietuva (NUTS 2013)</t>
  </si>
  <si>
    <t>HU10</t>
  </si>
  <si>
    <t>Közép-Magyarország (NUTS 2013)</t>
  </si>
  <si>
    <t>PL1</t>
  </si>
  <si>
    <t>Region Centralny (NUTS 2013)</t>
  </si>
  <si>
    <t>PL11</t>
  </si>
  <si>
    <t>Lódzkie (NUTS 2013)</t>
  </si>
  <si>
    <t>PL12</t>
  </si>
  <si>
    <t>Mazowieckie (NUTS 2013)</t>
  </si>
  <si>
    <t>PL3</t>
  </si>
  <si>
    <t>Region Wschodni (NUTS 2013)</t>
  </si>
  <si>
    <t>PL31</t>
  </si>
  <si>
    <t>Lubelskie (NUTS 2013)</t>
  </si>
  <si>
    <t>PL32</t>
  </si>
  <si>
    <t>Podkarpackie (NUTS 2013)</t>
  </si>
  <si>
    <t>PL33</t>
  </si>
  <si>
    <t>Swietokrzyskie (NUTS 2013)</t>
  </si>
  <si>
    <t>PL34</t>
  </si>
  <si>
    <t>Podlaskie (NUTS 2013)</t>
  </si>
  <si>
    <t>SI01</t>
  </si>
  <si>
    <t>Vzhodna Slovenija (NUTS 2010)</t>
  </si>
  <si>
    <t>SI02</t>
  </si>
  <si>
    <t>Zahodna Slovenija (NUTS 2010)</t>
  </si>
  <si>
    <t>FI13</t>
  </si>
  <si>
    <t>Itä-Suomi (NUTS 2006)</t>
  </si>
  <si>
    <t>FI18</t>
  </si>
  <si>
    <t>Etelä-Suomi (NUTS 2006)</t>
  </si>
  <si>
    <t>FI1A</t>
  </si>
  <si>
    <t>Pohjois-Suomi (NUTS 2006)</t>
  </si>
  <si>
    <t>FIZ</t>
  </si>
  <si>
    <t>FIZZ</t>
  </si>
  <si>
    <t>SEZ</t>
  </si>
  <si>
    <t>SEZZ</t>
  </si>
  <si>
    <t>NO0</t>
  </si>
  <si>
    <t>Norge</t>
  </si>
  <si>
    <t>NO01</t>
  </si>
  <si>
    <t>Oslo og Akershus (statistical region 2016)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</si>
  <si>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</si>
  <si>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</si>
  <si>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</si>
  <si>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</si>
  <si>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</si>
  <si>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</si>
  <si>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</si>
  <si>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</si>
  <si>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</si>
  <si>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</si>
  <si>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</si>
  <si>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</si>
  <si>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</si>
  <si>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</si>
  <si>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</si>
  <si>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</si>
  <si>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</si>
  <si>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</si>
  <si>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UKD2</t>
  </si>
  <si>
    <t>Cheshire (NUTS 2006)</t>
  </si>
  <si>
    <t>UKD3</t>
  </si>
  <si>
    <t>Greater Manchester (NUTS 2021)</t>
  </si>
  <si>
    <t>UKD4</t>
  </si>
  <si>
    <t>Lancashire (NUTS 2021)</t>
  </si>
  <si>
    <t>UKD5</t>
  </si>
  <si>
    <t>Merseyside (NUTS 2006)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</si>
  <si>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</si>
  <si>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</si>
  <si>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</si>
  <si>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</si>
  <si>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</si>
  <si>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</si>
  <si>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</si>
  <si>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</si>
  <si>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</si>
  <si>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</si>
  <si>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</si>
  <si>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</si>
  <si>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</si>
  <si>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</si>
  <si>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</si>
  <si>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</si>
  <si>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</si>
  <si>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</si>
  <si>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</si>
  <si>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</si>
  <si>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</si>
  <si>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</si>
  <si>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</si>
  <si>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</si>
  <si>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</si>
  <si>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</si>
  <si>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</si>
  <si>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</si>
  <si>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</si>
  <si>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</si>
  <si>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</si>
  <si>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</si>
  <si>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</si>
  <si>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</si>
  <si>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</si>
  <si>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</si>
  <si>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</si>
  <si>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</si>
  <si>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</si>
  <si>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</si>
  <si>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</si>
  <si>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</si>
  <si>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</si>
  <si>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</si>
  <si>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</si>
  <si>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</si>
  <si>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</si>
  <si>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</si>
  <si>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</si>
  <si>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</si>
  <si>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</si>
  <si>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</si>
  <si>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</si>
  <si>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</si>
  <si>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</si>
  <si>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</si>
  <si>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</si>
  <si>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</si>
  <si>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</si>
  <si>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</si>
  <si>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</si>
  <si>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</si>
  <si>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</si>
  <si>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</si>
  <si>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</si>
  <si>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</si>
  <si>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</si>
  <si>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</si>
  <si>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</si>
  <si>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</si>
  <si>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</si>
  <si>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</si>
  <si>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</si>
  <si>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</si>
  <si>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</si>
  <si>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</si>
  <si>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</si>
  <si>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</si>
  <si>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</si>
  <si>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</si>
  <si>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</si>
  <si>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</si>
  <si>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</si>
  <si>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</si>
  <si>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</si>
  <si>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</si>
  <si>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</si>
  <si>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</si>
  <si>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</si>
  <si>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</si>
  <si>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</si>
  <si>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</si>
  <si>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</si>
  <si>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</si>
  <si>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</si>
  <si>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</si>
  <si>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</si>
  <si>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</si>
  <si>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</si>
  <si>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definition differs (see metadata)</t>
  </si>
  <si>
    <t>provisional</t>
  </si>
  <si>
    <t>low reliability</t>
  </si>
  <si>
    <t>break in time series, estimated</t>
  </si>
  <si>
    <t>estimated</t>
  </si>
  <si>
    <t>Île-de-France</t>
  </si>
  <si>
    <t>b; b</t>
  </si>
  <si>
    <t>Centre-Val de Loire</t>
  </si>
  <si>
    <t>b; bC</t>
  </si>
  <si>
    <t>bC;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</si>
</sst>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" fontId="0" fillId="0" borderId="0" xfId="0" applyNumberFormat="1"/>
    <xf numFmtId="2" fontId="0" fillId="0" borderId="0" xfId="0" applyNumberFormat="1"/>
    <xf numFmtId="0" fontId="2" fillId="3" borderId="1" xfId="0" applyFont="1" applyFill="1" applyBorder="1"/>
    <xf numFmtId="0" fontId="2" fillId="3" borderId="2" xfId="0" applyFont="1" applyFill="1" applyBorder="1"/>
    <xf numFmtId="1" fontId="2" fillId="3" borderId="2" xfId="0" applyNumberFormat="1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50" zoomScaleNormal="150" workbookViewId="0"/>
  </sheetViews>
  <sheetFormatPr baseColWidth="10" defaultColWidth="8.83203125" defaultRowHeight="14"/>
  <sheetData>
    <row r="1" spans="1:2" ht="15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>
        <v>547</v>
      </c>
    </row>
    <row r="9" spans="1:2">
      <c r="A9" t="s">
        <v>14</v>
      </c>
      <c r="B9">
        <v>416</v>
      </c>
    </row>
    <row r="10" spans="1:2">
      <c r="A10" t="s">
        <v>15</v>
      </c>
      <c r="B10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17"/>
  <sheetViews>
    <sheetView workbookViewId="0"/>
  </sheetViews>
  <sheetFormatPr baseColWidth="10" defaultColWidth="8.83203125" defaultRowHeight="14"/>
  <cols>
    <col min="1" max="1" width="12" customWidth="1"/>
    <col min="2" max="2" width="40" customWidth="1"/>
  </cols>
  <sheetData>
    <row r="1" spans="1:20" ht="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</row>
    <row r="2" spans="1:20">
      <c r="A2" t="s">
        <v>36</v>
      </c>
      <c r="B2" t="s">
        <v>37</v>
      </c>
      <c r="C2" s="3">
        <v>87</v>
      </c>
      <c r="D2" s="3"/>
      <c r="E2" s="3">
        <v>336</v>
      </c>
      <c r="F2" s="3"/>
      <c r="G2" s="3">
        <f t="shared" ref="G2:G65" si="0">IF(OR(C2="",C2=":",E2="",E2=":"),"",C2*E2)</f>
        <v>29232</v>
      </c>
      <c r="H2" s="3" t="e">
        <f ca="1">IF(_xludf.TEXTJOIN("; ",TRUE,D2,F2)="","",_xludf.TEXTJOIN("; ",TRUE,D2,F2))</f>
        <v>#NAME?</v>
      </c>
      <c r="I2" s="3">
        <v>57</v>
      </c>
      <c r="J2" s="3"/>
      <c r="K2" s="3">
        <v>543</v>
      </c>
      <c r="L2" s="3"/>
      <c r="M2" s="3">
        <f t="shared" ref="M2:M65" si="1">IF(OR(I2="",I2=":",K2="",K2=":"),"",I2*K2)</f>
        <v>30951</v>
      </c>
      <c r="N2" s="3" t="e">
        <f ca="1">IF(_xludf.TEXTJOIN("; ",TRUE,J2,L2)="","",_xludf.TEXTJOIN("; ",TRUE,J2,L2))</f>
        <v>#NAME?</v>
      </c>
      <c r="O2" s="3">
        <v>61</v>
      </c>
      <c r="P2" s="3"/>
      <c r="Q2" s="3">
        <v>487</v>
      </c>
      <c r="R2" s="3"/>
      <c r="S2" s="3">
        <f t="shared" ref="S2:S65" si="2">IF(OR(O2="",O2=":",Q2="",Q2=":"),"",O2*Q2)</f>
        <v>29707</v>
      </c>
      <c r="T2" s="3" t="e">
        <f ca="1">IF(_xludf.TEXTJOIN("; ",TRUE,P2,R2)="","",_xludf.TEXTJOIN("; ",TRUE,P2,R2))</f>
        <v>#NAME?</v>
      </c>
    </row>
    <row r="3" spans="1:20">
      <c r="A3" t="s">
        <v>38</v>
      </c>
      <c r="B3" t="s">
        <v>39</v>
      </c>
      <c r="C3" s="3">
        <v>210</v>
      </c>
      <c r="D3" s="3"/>
      <c r="E3" s="3">
        <v>17</v>
      </c>
      <c r="F3" s="3"/>
      <c r="G3" s="3">
        <f t="shared" si="0"/>
        <v>3570</v>
      </c>
      <c r="H3" s="3" t="e">
        <f ca="1">IF(_xludf.TEXTJOIN("; ",TRUE,D3,F3)="","",_xludf.TEXTJOIN("; ",TRUE,D3,F3))</f>
        <v>#NAME?</v>
      </c>
      <c r="I3" s="3">
        <v>144</v>
      </c>
      <c r="J3" s="3"/>
      <c r="K3" s="3">
        <v>28</v>
      </c>
      <c r="L3" s="3"/>
      <c r="M3" s="3">
        <f t="shared" si="1"/>
        <v>4032</v>
      </c>
      <c r="N3" s="3" t="e">
        <f ca="1">IF(_xludf.TEXTJOIN("; ",TRUE,J3,L3)="","",_xludf.TEXTJOIN("; ",TRUE,J3,L3))</f>
        <v>#NAME?</v>
      </c>
      <c r="O3" s="3">
        <v>144</v>
      </c>
      <c r="P3" s="3"/>
      <c r="Q3" s="3">
        <v>25</v>
      </c>
      <c r="R3" s="3"/>
      <c r="S3" s="3">
        <f t="shared" si="2"/>
        <v>3600</v>
      </c>
      <c r="T3" s="3" t="e">
        <f ca="1">IF(_xludf.TEXTJOIN("; ",TRUE,P3,R3)="","",_xludf.TEXTJOIN("; ",TRUE,P3,R3))</f>
        <v>#NAME?</v>
      </c>
    </row>
    <row r="4" spans="1:20">
      <c r="A4" t="s">
        <v>40</v>
      </c>
      <c r="B4" t="s">
        <v>39</v>
      </c>
      <c r="C4" s="3">
        <v>210</v>
      </c>
      <c r="D4" s="3"/>
      <c r="E4" s="3">
        <v>17</v>
      </c>
      <c r="F4" s="3"/>
      <c r="G4" s="3">
        <f t="shared" si="0"/>
        <v>3570</v>
      </c>
      <c r="H4" s="3" t="e">
        <f ca="1">IF(_xludf.TEXTJOIN("; ",TRUE,D4,F4)="","",_xludf.TEXTJOIN("; ",TRUE,D4,F4))</f>
        <v>#NAME?</v>
      </c>
      <c r="I4" s="3">
        <v>144</v>
      </c>
      <c r="J4" s="3"/>
      <c r="K4" s="3">
        <v>28</v>
      </c>
      <c r="L4" s="3"/>
      <c r="M4" s="3">
        <f t="shared" si="1"/>
        <v>4032</v>
      </c>
      <c r="N4" s="3" t="e">
        <f ca="1">IF(_xludf.TEXTJOIN("; ",TRUE,J4,L4)="","",_xludf.TEXTJOIN("; ",TRUE,J4,L4))</f>
        <v>#NAME?</v>
      </c>
      <c r="O4" s="3">
        <v>144</v>
      </c>
      <c r="P4" s="3"/>
      <c r="Q4" s="3">
        <v>25</v>
      </c>
      <c r="R4" s="3"/>
      <c r="S4" s="3">
        <f t="shared" si="2"/>
        <v>3600</v>
      </c>
      <c r="T4" s="3" t="e">
        <f ca="1">IF(_xludf.TEXTJOIN("; ",TRUE,P4,R4)="","",_xludf.TEXTJOIN("; ",TRUE,P4,R4))</f>
        <v>#NAME?</v>
      </c>
    </row>
    <row r="5" spans="1:20">
      <c r="A5" t="s">
        <v>41</v>
      </c>
      <c r="B5" t="s">
        <v>42</v>
      </c>
      <c r="C5" s="3" t="s">
        <v>43</v>
      </c>
      <c r="D5" s="3" t="s">
        <v>44</v>
      </c>
      <c r="E5" s="3" t="s">
        <v>43</v>
      </c>
      <c r="F5" s="3" t="s">
        <v>44</v>
      </c>
      <c r="G5" s="3" t="str">
        <f t="shared" si="0"/>
        <v/>
      </c>
      <c r="H5" s="3" t="e">
        <f ca="1">IF(_xludf.TEXTJOIN("; ",TRUE,D5,F5)="","",_xludf.TEXTJOIN("; ",TRUE,D5,F5))</f>
        <v>#NAME?</v>
      </c>
      <c r="I5" s="3">
        <v>64</v>
      </c>
      <c r="J5" s="3"/>
      <c r="K5" s="3">
        <v>395</v>
      </c>
      <c r="L5" s="3"/>
      <c r="M5" s="3">
        <f t="shared" si="1"/>
        <v>25280</v>
      </c>
      <c r="N5" s="3" t="e">
        <f ca="1">IF(_xludf.TEXTJOIN("; ",TRUE,J5,L5)="","",_xludf.TEXTJOIN("; ",TRUE,J5,L5))</f>
        <v>#NAME?</v>
      </c>
      <c r="O5" s="3">
        <v>70</v>
      </c>
      <c r="P5" s="3"/>
      <c r="Q5" s="3">
        <v>350</v>
      </c>
      <c r="R5" s="3"/>
      <c r="S5" s="3">
        <f t="shared" si="2"/>
        <v>24500</v>
      </c>
      <c r="T5" s="3" t="e">
        <f ca="1">IF(_xludf.TEXTJOIN("; ",TRUE,P5,R5)="","",_xludf.TEXTJOIN("; ",TRUE,P5,R5))</f>
        <v>#NAME?</v>
      </c>
    </row>
    <row r="6" spans="1:20">
      <c r="A6" t="s">
        <v>45</v>
      </c>
      <c r="B6" t="s">
        <v>46</v>
      </c>
      <c r="C6" s="3">
        <v>110</v>
      </c>
      <c r="D6" s="3"/>
      <c r="E6" s="3">
        <v>56</v>
      </c>
      <c r="F6" s="3"/>
      <c r="G6" s="3">
        <f t="shared" si="0"/>
        <v>6160</v>
      </c>
      <c r="H6" s="3" t="e">
        <f ca="1">IF(_xludf.TEXTJOIN("; ",TRUE,D6,F6)="","",_xludf.TEXTJOIN("; ",TRUE,D6,F6))</f>
        <v>#NAME?</v>
      </c>
      <c r="I6" s="3">
        <v>64</v>
      </c>
      <c r="J6" s="3"/>
      <c r="K6" s="3">
        <v>95</v>
      </c>
      <c r="L6" s="3"/>
      <c r="M6" s="3">
        <f t="shared" si="1"/>
        <v>6080</v>
      </c>
      <c r="N6" s="3" t="e">
        <f ca="1">IF(_xludf.TEXTJOIN("; ",TRUE,J6,L6)="","",_xludf.TEXTJOIN("; ",TRUE,J6,L6))</f>
        <v>#NAME?</v>
      </c>
      <c r="O6" s="3">
        <v>76</v>
      </c>
      <c r="P6" s="3"/>
      <c r="Q6" s="3">
        <v>78</v>
      </c>
      <c r="R6" s="3"/>
      <c r="S6" s="3">
        <f t="shared" si="2"/>
        <v>5928</v>
      </c>
      <c r="T6" s="3" t="e">
        <f ca="1">IF(_xludf.TEXTJOIN("; ",TRUE,P6,R6)="","",_xludf.TEXTJOIN("; ",TRUE,P6,R6))</f>
        <v>#NAME?</v>
      </c>
    </row>
    <row r="7" spans="1:20">
      <c r="A7" t="s">
        <v>47</v>
      </c>
      <c r="B7" t="s">
        <v>48</v>
      </c>
      <c r="C7" s="3" t="s">
        <v>43</v>
      </c>
      <c r="D7" s="3" t="s">
        <v>44</v>
      </c>
      <c r="E7" s="3" t="s">
        <v>43</v>
      </c>
      <c r="F7" s="3" t="s">
        <v>44</v>
      </c>
      <c r="G7" s="3" t="str">
        <f t="shared" si="0"/>
        <v/>
      </c>
      <c r="H7" s="3" t="e">
        <f ca="1">IF(_xludf.TEXTJOIN("; ",TRUE,D7,F7)="","",_xludf.TEXTJOIN("; ",TRUE,D7,F7))</f>
        <v>#NAME?</v>
      </c>
      <c r="I7" s="3">
        <v>43</v>
      </c>
      <c r="J7" s="3"/>
      <c r="K7" s="3">
        <v>70</v>
      </c>
      <c r="L7" s="3"/>
      <c r="M7" s="3">
        <f t="shared" si="1"/>
        <v>3010</v>
      </c>
      <c r="N7" s="3" t="e">
        <f ca="1">IF(_xludf.TEXTJOIN("; ",TRUE,J7,L7)="","",_xludf.TEXTJOIN("; ",TRUE,J7,L7))</f>
        <v>#NAME?</v>
      </c>
      <c r="O7" s="3">
        <v>47</v>
      </c>
      <c r="P7" s="3"/>
      <c r="Q7" s="3">
        <v>66</v>
      </c>
      <c r="R7" s="3"/>
      <c r="S7" s="3">
        <f t="shared" si="2"/>
        <v>3102</v>
      </c>
      <c r="T7" s="3" t="e">
        <f ca="1">IF(_xludf.TEXTJOIN("; ",TRUE,P7,R7)="","",_xludf.TEXTJOIN("; ",TRUE,P7,R7))</f>
        <v>#NAME?</v>
      </c>
    </row>
    <row r="8" spans="1:20">
      <c r="A8" t="s">
        <v>49</v>
      </c>
      <c r="B8" t="s">
        <v>50</v>
      </c>
      <c r="C8" s="3">
        <v>206</v>
      </c>
      <c r="D8" s="3"/>
      <c r="E8" s="3">
        <v>56</v>
      </c>
      <c r="F8" s="3"/>
      <c r="G8" s="3">
        <f t="shared" si="0"/>
        <v>11536</v>
      </c>
      <c r="H8" s="3" t="e">
        <f ca="1">IF(_xludf.TEXTJOIN("; ",TRUE,D8,F8)="","",_xludf.TEXTJOIN("; ",TRUE,D8,F8))</f>
        <v>#NAME?</v>
      </c>
      <c r="I8" s="3">
        <v>143</v>
      </c>
      <c r="J8" s="3"/>
      <c r="K8" s="3">
        <v>88</v>
      </c>
      <c r="L8" s="3"/>
      <c r="M8" s="3">
        <f t="shared" si="1"/>
        <v>12584</v>
      </c>
      <c r="N8" s="3" t="e">
        <f ca="1">IF(_xludf.TEXTJOIN("; ",TRUE,J8,L8)="","",_xludf.TEXTJOIN("; ",TRUE,J8,L8))</f>
        <v>#NAME?</v>
      </c>
      <c r="O8" s="3">
        <v>160</v>
      </c>
      <c r="P8" s="3"/>
      <c r="Q8" s="3">
        <v>78</v>
      </c>
      <c r="R8" s="3"/>
      <c r="S8" s="3">
        <f t="shared" si="2"/>
        <v>12480</v>
      </c>
      <c r="T8" s="3" t="e">
        <f ca="1">IF(_xludf.TEXTJOIN("; ",TRUE,P8,R8)="","",_xludf.TEXTJOIN("; ",TRUE,P8,R8))</f>
        <v>#NAME?</v>
      </c>
    </row>
    <row r="9" spans="1:20">
      <c r="A9" t="s">
        <v>51</v>
      </c>
      <c r="B9" t="s">
        <v>52</v>
      </c>
      <c r="C9" s="3">
        <v>60</v>
      </c>
      <c r="D9" s="3"/>
      <c r="E9" s="3">
        <v>21</v>
      </c>
      <c r="F9" s="3"/>
      <c r="G9" s="3">
        <f t="shared" si="0"/>
        <v>1260</v>
      </c>
      <c r="H9" s="3" t="e">
        <f ca="1">IF(_xludf.TEXTJOIN("; ",TRUE,D9,F9)="","",_xludf.TEXTJOIN("; ",TRUE,D9,F9))</f>
        <v>#NAME?</v>
      </c>
      <c r="I9" s="3">
        <v>31</v>
      </c>
      <c r="J9" s="3"/>
      <c r="K9" s="3">
        <v>38</v>
      </c>
      <c r="L9" s="3"/>
      <c r="M9" s="3">
        <f t="shared" si="1"/>
        <v>1178</v>
      </c>
      <c r="N9" s="3" t="e">
        <f ca="1">IF(_xludf.TEXTJOIN("; ",TRUE,J9,L9)="","",_xludf.TEXTJOIN("; ",TRUE,J9,L9))</f>
        <v>#NAME?</v>
      </c>
      <c r="O9" s="3">
        <v>24</v>
      </c>
      <c r="P9" s="3"/>
      <c r="Q9" s="3">
        <v>36</v>
      </c>
      <c r="R9" s="3"/>
      <c r="S9" s="3">
        <f t="shared" si="2"/>
        <v>864</v>
      </c>
      <c r="T9" s="3" t="e">
        <f ca="1">IF(_xludf.TEXTJOIN("; ",TRUE,P9,R9)="","",_xludf.TEXTJOIN("; ",TRUE,P9,R9))</f>
        <v>#NAME?</v>
      </c>
    </row>
    <row r="10" spans="1:20">
      <c r="A10" t="s">
        <v>53</v>
      </c>
      <c r="B10" t="s">
        <v>54</v>
      </c>
      <c r="C10" s="3">
        <v>37</v>
      </c>
      <c r="D10" s="3"/>
      <c r="E10" s="3">
        <v>69</v>
      </c>
      <c r="F10" s="3"/>
      <c r="G10" s="3">
        <f t="shared" si="0"/>
        <v>2553</v>
      </c>
      <c r="H10" s="3" t="e">
        <f ca="1">IF(_xludf.TEXTJOIN("; ",TRUE,D10,F10)="","",_xludf.TEXTJOIN("; ",TRUE,D10,F10))</f>
        <v>#NAME?</v>
      </c>
      <c r="I10" s="3">
        <v>24</v>
      </c>
      <c r="J10" s="3"/>
      <c r="K10" s="3">
        <v>104</v>
      </c>
      <c r="L10" s="3"/>
      <c r="M10" s="3">
        <f t="shared" si="1"/>
        <v>2496</v>
      </c>
      <c r="N10" s="3" t="e">
        <f ca="1">IF(_xludf.TEXTJOIN("; ",TRUE,J10,L10)="","",_xludf.TEXTJOIN("; ",TRUE,J10,L10))</f>
        <v>#NAME?</v>
      </c>
      <c r="O10" s="3">
        <v>24</v>
      </c>
      <c r="P10" s="3"/>
      <c r="Q10" s="3">
        <v>92</v>
      </c>
      <c r="R10" s="3"/>
      <c r="S10" s="3">
        <f t="shared" si="2"/>
        <v>2208</v>
      </c>
      <c r="T10" s="3" t="e">
        <f ca="1">IF(_xludf.TEXTJOIN("; ",TRUE,P10,R10)="","",_xludf.TEXTJOIN("; ",TRUE,P10,R10))</f>
        <v>#NAME?</v>
      </c>
    </row>
    <row r="11" spans="1:20">
      <c r="A11" t="s">
        <v>55</v>
      </c>
      <c r="B11" t="s">
        <v>56</v>
      </c>
      <c r="C11" s="3" t="s">
        <v>43</v>
      </c>
      <c r="D11" s="3" t="s">
        <v>44</v>
      </c>
      <c r="E11" s="3" t="s">
        <v>43</v>
      </c>
      <c r="F11" s="3" t="s">
        <v>44</v>
      </c>
      <c r="G11" s="3" t="str">
        <f t="shared" si="0"/>
        <v/>
      </c>
      <c r="H11" s="3" t="e">
        <f ca="1">IF(_xludf.TEXTJOIN("; ",TRUE,D11,F11)="","",_xludf.TEXTJOIN("; ",TRUE,D11,F11))</f>
        <v>#NAME?</v>
      </c>
      <c r="I11" s="3">
        <v>12</v>
      </c>
      <c r="J11" s="3"/>
      <c r="K11" s="3">
        <v>114</v>
      </c>
      <c r="L11" s="3"/>
      <c r="M11" s="3">
        <f t="shared" si="1"/>
        <v>1368</v>
      </c>
      <c r="N11" s="3" t="e">
        <f ca="1">IF(_xludf.TEXTJOIN("; ",TRUE,J11,L11)="","",_xludf.TEXTJOIN("; ",TRUE,J11,L11))</f>
        <v>#NAME?</v>
      </c>
      <c r="O11" s="3">
        <v>12</v>
      </c>
      <c r="P11" s="3"/>
      <c r="Q11" s="3">
        <v>104</v>
      </c>
      <c r="R11" s="3"/>
      <c r="S11" s="3">
        <f t="shared" si="2"/>
        <v>1248</v>
      </c>
      <c r="T11" s="3" t="e">
        <f ca="1">IF(_xludf.TEXTJOIN("; ",TRUE,P11,R11)="","",_xludf.TEXTJOIN("; ",TRUE,P11,R11))</f>
        <v>#NAME?</v>
      </c>
    </row>
    <row r="12" spans="1:20">
      <c r="A12" t="s">
        <v>57</v>
      </c>
      <c r="B12" t="s">
        <v>58</v>
      </c>
      <c r="C12" s="3">
        <v>36</v>
      </c>
      <c r="D12" s="3"/>
      <c r="E12" s="3">
        <v>3</v>
      </c>
      <c r="F12" s="3"/>
      <c r="G12" s="3">
        <f t="shared" si="0"/>
        <v>108</v>
      </c>
      <c r="H12" s="3" t="e">
        <f ca="1">IF(_xludf.TEXTJOIN("; ",TRUE,D12,F12)="","",_xludf.TEXTJOIN("; ",TRUE,D12,F12))</f>
        <v>#NAME?</v>
      </c>
      <c r="I12" s="3">
        <v>11</v>
      </c>
      <c r="J12" s="3"/>
      <c r="K12" s="3">
        <v>12</v>
      </c>
      <c r="L12" s="3"/>
      <c r="M12" s="3">
        <f t="shared" si="1"/>
        <v>132</v>
      </c>
      <c r="N12" s="3" t="e">
        <f ca="1">IF(_xludf.TEXTJOIN("; ",TRUE,J12,L12)="","",_xludf.TEXTJOIN("; ",TRUE,J12,L12))</f>
        <v>#NAME?</v>
      </c>
      <c r="O12" s="3">
        <v>18</v>
      </c>
      <c r="P12" s="3"/>
      <c r="Q12" s="3">
        <v>7</v>
      </c>
      <c r="R12" s="3"/>
      <c r="S12" s="3">
        <f t="shared" si="2"/>
        <v>126</v>
      </c>
      <c r="T12" s="3" t="e">
        <f ca="1">IF(_xludf.TEXTJOIN("; ",TRUE,P12,R12)="","",_xludf.TEXTJOIN("; ",TRUE,P12,R12))</f>
        <v>#NAME?</v>
      </c>
    </row>
    <row r="13" spans="1:20">
      <c r="A13" t="s">
        <v>59</v>
      </c>
      <c r="B13" t="s">
        <v>60</v>
      </c>
      <c r="C13" s="3">
        <v>14</v>
      </c>
      <c r="D13" s="3"/>
      <c r="E13" s="3">
        <v>23</v>
      </c>
      <c r="F13" s="3"/>
      <c r="G13" s="3">
        <f t="shared" si="0"/>
        <v>322</v>
      </c>
      <c r="H13" s="3" t="e">
        <f ca="1">IF(_xludf.TEXTJOIN("; ",TRUE,D13,F13)="","",_xludf.TEXTJOIN("; ",TRUE,D13,F13))</f>
        <v>#NAME?</v>
      </c>
      <c r="I13" s="3">
        <v>10</v>
      </c>
      <c r="J13" s="3"/>
      <c r="K13" s="3">
        <v>31</v>
      </c>
      <c r="L13" s="3"/>
      <c r="M13" s="3">
        <f t="shared" si="1"/>
        <v>310</v>
      </c>
      <c r="N13" s="3" t="e">
        <f ca="1">IF(_xludf.TEXTJOIN("; ",TRUE,J13,L13)="","",_xludf.TEXTJOIN("; ",TRUE,J13,L13))</f>
        <v>#NAME?</v>
      </c>
      <c r="O13" s="3" t="s">
        <v>43</v>
      </c>
      <c r="P13" s="3" t="s">
        <v>44</v>
      </c>
      <c r="Q13" s="3" t="s">
        <v>43</v>
      </c>
      <c r="R13" s="3" t="s">
        <v>44</v>
      </c>
      <c r="S13" s="3" t="str">
        <f t="shared" si="2"/>
        <v/>
      </c>
      <c r="T13" s="3" t="e">
        <f ca="1">IF(_xludf.TEXTJOIN("; ",TRUE,P13,R13)="","",_xludf.TEXTJOIN("; ",TRUE,P13,R13))</f>
        <v>#NAME?</v>
      </c>
    </row>
    <row r="14" spans="1:20">
      <c r="A14" t="s">
        <v>61</v>
      </c>
      <c r="B14" t="s">
        <v>62</v>
      </c>
      <c r="C14" s="3" t="s">
        <v>43</v>
      </c>
      <c r="D14" s="3" t="s">
        <v>44</v>
      </c>
      <c r="E14" s="3" t="s">
        <v>43</v>
      </c>
      <c r="F14" s="3" t="s">
        <v>44</v>
      </c>
      <c r="G14" s="3" t="str">
        <f t="shared" si="0"/>
        <v/>
      </c>
      <c r="H14" s="3" t="e">
        <f ca="1">IF(_xludf.TEXTJOIN("; ",TRUE,D14,F14)="","",_xludf.TEXTJOIN("; ",TRUE,D14,F14))</f>
        <v>#NAME?</v>
      </c>
      <c r="I14" s="3">
        <v>13</v>
      </c>
      <c r="J14" s="3"/>
      <c r="K14" s="3">
        <v>50</v>
      </c>
      <c r="L14" s="3"/>
      <c r="M14" s="3">
        <f t="shared" si="1"/>
        <v>650</v>
      </c>
      <c r="N14" s="3" t="e">
        <f ca="1">IF(_xludf.TEXTJOIN("; ",TRUE,J14,L14)="","",_xludf.TEXTJOIN("; ",TRUE,J14,L14))</f>
        <v>#NAME?</v>
      </c>
      <c r="O14" s="3">
        <v>13</v>
      </c>
      <c r="P14" s="3"/>
      <c r="Q14" s="3">
        <v>48</v>
      </c>
      <c r="R14" s="3"/>
      <c r="S14" s="3">
        <f t="shared" si="2"/>
        <v>624</v>
      </c>
      <c r="T14" s="3" t="e">
        <f ca="1">IF(_xludf.TEXTJOIN("; ",TRUE,P14,R14)="","",_xludf.TEXTJOIN("; ",TRUE,P14,R14))</f>
        <v>#NAME?</v>
      </c>
    </row>
    <row r="15" spans="1:20">
      <c r="A15" t="s">
        <v>63</v>
      </c>
      <c r="B15" t="s">
        <v>64</v>
      </c>
      <c r="C15" s="3">
        <v>58</v>
      </c>
      <c r="D15" s="3"/>
      <c r="E15" s="3">
        <v>4</v>
      </c>
      <c r="F15" s="3"/>
      <c r="G15" s="3">
        <f t="shared" si="0"/>
        <v>232</v>
      </c>
      <c r="H15" s="3" t="e">
        <f ca="1">IF(_xludf.TEXTJOIN("; ",TRUE,D15,F15)="","",_xludf.TEXTJOIN("; ",TRUE,D15,F15))</f>
        <v>#NAME?</v>
      </c>
      <c r="I15" s="3">
        <v>77</v>
      </c>
      <c r="J15" s="3"/>
      <c r="K15" s="3">
        <v>3</v>
      </c>
      <c r="L15" s="3"/>
      <c r="M15" s="3">
        <f t="shared" si="1"/>
        <v>231</v>
      </c>
      <c r="N15" s="3" t="e">
        <f ca="1">IF(_xludf.TEXTJOIN("; ",TRUE,J15,L15)="","",_xludf.TEXTJOIN("; ",TRUE,J15,L15))</f>
        <v>#NAME?</v>
      </c>
      <c r="O15" s="3" t="s">
        <v>43</v>
      </c>
      <c r="P15" s="3" t="s">
        <v>44</v>
      </c>
      <c r="Q15" s="3" t="s">
        <v>43</v>
      </c>
      <c r="R15" s="3" t="s">
        <v>44</v>
      </c>
      <c r="S15" s="3" t="str">
        <f t="shared" si="2"/>
        <v/>
      </c>
      <c r="T15" s="3" t="e">
        <f ca="1">IF(_xludf.TEXTJOIN("; ",TRUE,P15,R15)="","",_xludf.TEXTJOIN("; ",TRUE,P15,R15))</f>
        <v>#NAME?</v>
      </c>
    </row>
    <row r="16" spans="1:20">
      <c r="A16" t="s">
        <v>65</v>
      </c>
      <c r="B16" t="s">
        <v>66</v>
      </c>
      <c r="C16" s="3">
        <v>6</v>
      </c>
      <c r="D16" s="3"/>
      <c r="E16" s="3">
        <v>10</v>
      </c>
      <c r="F16" s="3"/>
      <c r="G16" s="3">
        <f t="shared" si="0"/>
        <v>60</v>
      </c>
      <c r="H16" s="3" t="e">
        <f ca="1">IF(_xludf.TEXTJOIN("; ",TRUE,D16,F16)="","",_xludf.TEXTJOIN("; ",TRUE,D16,F16))</f>
        <v>#NAME?</v>
      </c>
      <c r="I16" s="3">
        <v>4</v>
      </c>
      <c r="J16" s="3"/>
      <c r="K16" s="3">
        <v>18</v>
      </c>
      <c r="L16" s="3"/>
      <c r="M16" s="3">
        <f t="shared" si="1"/>
        <v>72</v>
      </c>
      <c r="N16" s="3" t="e">
        <f ca="1">IF(_xludf.TEXTJOIN("; ",TRUE,J16,L16)="","",_xludf.TEXTJOIN("; ",TRUE,J16,L16))</f>
        <v>#NAME?</v>
      </c>
      <c r="O16" s="3" t="s">
        <v>43</v>
      </c>
      <c r="P16" s="3" t="s">
        <v>44</v>
      </c>
      <c r="Q16" s="3" t="s">
        <v>43</v>
      </c>
      <c r="R16" s="3" t="s">
        <v>44</v>
      </c>
      <c r="S16" s="3" t="str">
        <f t="shared" si="2"/>
        <v/>
      </c>
      <c r="T16" s="3" t="e">
        <f ca="1">IF(_xludf.TEXTJOIN("; ",TRUE,P16,R16)="","",_xludf.TEXTJOIN("; ",TRUE,P16,R16))</f>
        <v>#NAME?</v>
      </c>
    </row>
    <row r="17" spans="1:20">
      <c r="A17" t="s">
        <v>67</v>
      </c>
      <c r="B17" t="s">
        <v>68</v>
      </c>
      <c r="C17" s="3" t="s">
        <v>43</v>
      </c>
      <c r="D17" s="3" t="s">
        <v>44</v>
      </c>
      <c r="E17" s="3" t="s">
        <v>43</v>
      </c>
      <c r="F17" s="3" t="s">
        <v>44</v>
      </c>
      <c r="G17" s="3" t="str">
        <f t="shared" si="0"/>
        <v/>
      </c>
      <c r="H17" s="3" t="e">
        <f ca="1">IF(_xludf.TEXTJOIN("; ",TRUE,D17,F17)="","",_xludf.TEXTJOIN("; ",TRUE,D17,F17))</f>
        <v>#NAME?</v>
      </c>
      <c r="I17" s="3">
        <v>3</v>
      </c>
      <c r="J17" s="3"/>
      <c r="K17" s="3">
        <v>6</v>
      </c>
      <c r="L17" s="3"/>
      <c r="M17" s="3">
        <f t="shared" si="1"/>
        <v>18</v>
      </c>
      <c r="N17" s="3" t="e">
        <f ca="1">IF(_xludf.TEXTJOIN("; ",TRUE,J17,L17)="","",_xludf.TEXTJOIN("; ",TRUE,J17,L17))</f>
        <v>#NAME?</v>
      </c>
      <c r="O17" s="3">
        <v>4</v>
      </c>
      <c r="P17" s="3"/>
      <c r="Q17" s="3">
        <v>8</v>
      </c>
      <c r="R17" s="3"/>
      <c r="S17" s="3">
        <f t="shared" si="2"/>
        <v>32</v>
      </c>
      <c r="T17" s="3" t="e">
        <f ca="1">IF(_xludf.TEXTJOIN("; ",TRUE,P17,R17)="","",_xludf.TEXTJOIN("; ",TRUE,P17,R17))</f>
        <v>#NAME?</v>
      </c>
    </row>
    <row r="18" spans="1:20">
      <c r="A18" t="s">
        <v>69</v>
      </c>
      <c r="B18" t="s">
        <v>70</v>
      </c>
      <c r="C18" s="3" t="s">
        <v>43</v>
      </c>
      <c r="D18" s="3" t="s">
        <v>44</v>
      </c>
      <c r="E18" s="3" t="s">
        <v>43</v>
      </c>
      <c r="F18" s="3" t="s">
        <v>44</v>
      </c>
      <c r="G18" s="3" t="str">
        <f t="shared" si="0"/>
        <v/>
      </c>
      <c r="H18" s="3" t="e">
        <f ca="1">IF(_xludf.TEXTJOIN("; ",TRUE,D18,F18)="","",_xludf.TEXTJOIN("; ",TRUE,D18,F18))</f>
        <v>#NAME?</v>
      </c>
      <c r="I18" s="3">
        <v>3</v>
      </c>
      <c r="J18" s="3"/>
      <c r="K18" s="3">
        <v>6</v>
      </c>
      <c r="L18" s="3"/>
      <c r="M18" s="3">
        <f t="shared" si="1"/>
        <v>18</v>
      </c>
      <c r="N18" s="3" t="e">
        <f ca="1">IF(_xludf.TEXTJOIN("; ",TRUE,J18,L18)="","",_xludf.TEXTJOIN("; ",TRUE,J18,L18))</f>
        <v>#NAME?</v>
      </c>
      <c r="O18" s="3">
        <v>4</v>
      </c>
      <c r="P18" s="3"/>
      <c r="Q18" s="3">
        <v>8</v>
      </c>
      <c r="R18" s="3"/>
      <c r="S18" s="3">
        <f t="shared" si="2"/>
        <v>32</v>
      </c>
      <c r="T18" s="3" t="e">
        <f ca="1">IF(_xludf.TEXTJOIN("; ",TRUE,P18,R18)="","",_xludf.TEXTJOIN("; ",TRUE,P18,R18))</f>
        <v>#NAME?</v>
      </c>
    </row>
    <row r="19" spans="1:20">
      <c r="A19" t="s">
        <v>71</v>
      </c>
      <c r="B19" t="s">
        <v>72</v>
      </c>
      <c r="C19" s="3">
        <v>169</v>
      </c>
      <c r="D19" s="3"/>
      <c r="E19" s="3">
        <v>156</v>
      </c>
      <c r="F19" s="3"/>
      <c r="G19" s="3">
        <f t="shared" si="0"/>
        <v>26364</v>
      </c>
      <c r="H19" s="3" t="e">
        <f ca="1">IF(_xludf.TEXTJOIN("; ",TRUE,D19,F19)="","",_xludf.TEXTJOIN("; ",TRUE,D19,F19))</f>
        <v>#NAME?</v>
      </c>
      <c r="I19" s="3">
        <v>163</v>
      </c>
      <c r="J19" s="3"/>
      <c r="K19" s="3">
        <v>155</v>
      </c>
      <c r="L19" s="3"/>
      <c r="M19" s="3">
        <f t="shared" si="1"/>
        <v>25265</v>
      </c>
      <c r="N19" s="3" t="e">
        <f ca="1">IF(_xludf.TEXTJOIN("; ",TRUE,J19,L19)="","",_xludf.TEXTJOIN("; ",TRUE,J19,L19))</f>
        <v>#NAME?</v>
      </c>
      <c r="O19" s="3">
        <v>160</v>
      </c>
      <c r="P19" s="3"/>
      <c r="Q19" s="3">
        <v>159</v>
      </c>
      <c r="R19" s="3"/>
      <c r="S19" s="3">
        <f t="shared" si="2"/>
        <v>25440</v>
      </c>
      <c r="T19" s="3" t="e">
        <f ca="1">IF(_xludf.TEXTJOIN("; ",TRUE,P19,R19)="","",_xludf.TEXTJOIN("; ",TRUE,P19,R19))</f>
        <v>#NAME?</v>
      </c>
    </row>
    <row r="20" spans="1:20">
      <c r="A20" t="s">
        <v>73</v>
      </c>
      <c r="B20" t="s">
        <v>74</v>
      </c>
      <c r="C20" s="3">
        <v>158</v>
      </c>
      <c r="D20" s="3"/>
      <c r="E20" s="3">
        <v>79</v>
      </c>
      <c r="F20" s="3"/>
      <c r="G20" s="3">
        <f t="shared" si="0"/>
        <v>12482</v>
      </c>
      <c r="H20" s="3" t="e">
        <f ca="1">IF(_xludf.TEXTJOIN("; ",TRUE,D20,F20)="","",_xludf.TEXTJOIN("; ",TRUE,D20,F20))</f>
        <v>#NAME?</v>
      </c>
      <c r="I20" s="3">
        <v>149</v>
      </c>
      <c r="J20" s="3"/>
      <c r="K20" s="3">
        <v>85</v>
      </c>
      <c r="L20" s="3"/>
      <c r="M20" s="3">
        <f t="shared" si="1"/>
        <v>12665</v>
      </c>
      <c r="N20" s="3" t="e">
        <f ca="1">IF(_xludf.TEXTJOIN("; ",TRUE,J20,L20)="","",_xludf.TEXTJOIN("; ",TRUE,J20,L20))</f>
        <v>#NAME?</v>
      </c>
      <c r="O20" s="3">
        <v>156</v>
      </c>
      <c r="P20" s="3"/>
      <c r="Q20" s="3">
        <v>82</v>
      </c>
      <c r="R20" s="3"/>
      <c r="S20" s="3">
        <f t="shared" si="2"/>
        <v>12792</v>
      </c>
      <c r="T20" s="3" t="e">
        <f ca="1">IF(_xludf.TEXTJOIN("; ",TRUE,P20,R20)="","",_xludf.TEXTJOIN("; ",TRUE,P20,R20))</f>
        <v>#NAME?</v>
      </c>
    </row>
    <row r="21" spans="1:20">
      <c r="A21" t="s">
        <v>75</v>
      </c>
      <c r="B21" t="s">
        <v>76</v>
      </c>
      <c r="C21" s="3">
        <v>219</v>
      </c>
      <c r="D21" s="3"/>
      <c r="E21" s="3">
        <v>17</v>
      </c>
      <c r="F21" s="3"/>
      <c r="G21" s="3">
        <f t="shared" si="0"/>
        <v>3723</v>
      </c>
      <c r="H21" s="3" t="e">
        <f ca="1">IF(_xludf.TEXTJOIN("; ",TRUE,D21,F21)="","",_xludf.TEXTJOIN("; ",TRUE,D21,F21))</f>
        <v>#NAME?</v>
      </c>
      <c r="I21" s="3">
        <v>244</v>
      </c>
      <c r="J21" s="3"/>
      <c r="K21" s="3">
        <v>17</v>
      </c>
      <c r="L21" s="3"/>
      <c r="M21" s="3">
        <f t="shared" si="1"/>
        <v>4148</v>
      </c>
      <c r="N21" s="3" t="e">
        <f ca="1">IF(_xludf.TEXTJOIN("; ",TRUE,J21,L21)="","",_xludf.TEXTJOIN("; ",TRUE,J21,L21))</f>
        <v>#NAME?</v>
      </c>
      <c r="O21" s="3">
        <v>277</v>
      </c>
      <c r="P21" s="3"/>
      <c r="Q21" s="3">
        <v>16</v>
      </c>
      <c r="R21" s="3"/>
      <c r="S21" s="3">
        <f t="shared" si="2"/>
        <v>4432</v>
      </c>
      <c r="T21" s="3" t="e">
        <f ca="1">IF(_xludf.TEXTJOIN("; ",TRUE,P21,R21)="","",_xludf.TEXTJOIN("; ",TRUE,P21,R21))</f>
        <v>#NAME?</v>
      </c>
    </row>
    <row r="22" spans="1:20">
      <c r="A22" t="s">
        <v>77</v>
      </c>
      <c r="B22" t="s">
        <v>78</v>
      </c>
      <c r="C22" s="3">
        <v>107</v>
      </c>
      <c r="D22" s="3"/>
      <c r="E22" s="3">
        <v>22</v>
      </c>
      <c r="F22" s="3"/>
      <c r="G22" s="3">
        <f t="shared" si="0"/>
        <v>2354</v>
      </c>
      <c r="H22" s="3" t="e">
        <f ca="1">IF(_xludf.TEXTJOIN("; ",TRUE,D22,F22)="","",_xludf.TEXTJOIN("; ",TRUE,D22,F22))</f>
        <v>#NAME?</v>
      </c>
      <c r="I22" s="3">
        <v>101</v>
      </c>
      <c r="J22" s="3"/>
      <c r="K22" s="3">
        <v>24</v>
      </c>
      <c r="L22" s="3"/>
      <c r="M22" s="3">
        <f t="shared" si="1"/>
        <v>2424</v>
      </c>
      <c r="N22" s="3" t="e">
        <f ca="1">IF(_xludf.TEXTJOIN("; ",TRUE,J22,L22)="","",_xludf.TEXTJOIN("; ",TRUE,J22,L22))</f>
        <v>#NAME?</v>
      </c>
      <c r="O22" s="3">
        <v>116</v>
      </c>
      <c r="P22" s="3"/>
      <c r="Q22" s="3">
        <v>24</v>
      </c>
      <c r="R22" s="3"/>
      <c r="S22" s="3">
        <f t="shared" si="2"/>
        <v>2784</v>
      </c>
      <c r="T22" s="3" t="e">
        <f ca="1">IF(_xludf.TEXTJOIN("; ",TRUE,P22,R22)="","",_xludf.TEXTJOIN("; ",TRUE,P22,R22))</f>
        <v>#NAME?</v>
      </c>
    </row>
    <row r="23" spans="1:20">
      <c r="A23" t="s">
        <v>79</v>
      </c>
      <c r="B23" t="s">
        <v>80</v>
      </c>
      <c r="C23" s="3">
        <v>4</v>
      </c>
      <c r="D23" s="3"/>
      <c r="E23" s="3">
        <v>14</v>
      </c>
      <c r="F23" s="3"/>
      <c r="G23" s="3">
        <f t="shared" si="0"/>
        <v>56</v>
      </c>
      <c r="H23" s="3" t="e">
        <f ca="1">IF(_xludf.TEXTJOIN("; ",TRUE,D23,F23)="","",_xludf.TEXTJOIN("; ",TRUE,D23,F23))</f>
        <v>#NAME?</v>
      </c>
      <c r="I23" s="3">
        <v>7</v>
      </c>
      <c r="J23" s="3"/>
      <c r="K23" s="3">
        <v>14</v>
      </c>
      <c r="L23" s="3"/>
      <c r="M23" s="3">
        <f t="shared" si="1"/>
        <v>98</v>
      </c>
      <c r="N23" s="3" t="e">
        <f ca="1">IF(_xludf.TEXTJOIN("; ",TRUE,J23,L23)="","",_xludf.TEXTJOIN("; ",TRUE,J23,L23))</f>
        <v>#NAME?</v>
      </c>
      <c r="O23" s="3">
        <v>5</v>
      </c>
      <c r="P23" s="3"/>
      <c r="Q23" s="3">
        <v>13</v>
      </c>
      <c r="R23" s="3"/>
      <c r="S23" s="3">
        <f t="shared" si="2"/>
        <v>65</v>
      </c>
      <c r="T23" s="3" t="e">
        <f ca="1">IF(_xludf.TEXTJOIN("; ",TRUE,P23,R23)="","",_xludf.TEXTJOIN("; ",TRUE,P23,R23))</f>
        <v>#NAME?</v>
      </c>
    </row>
    <row r="24" spans="1:20">
      <c r="A24" t="s">
        <v>81</v>
      </c>
      <c r="B24" t="s">
        <v>82</v>
      </c>
      <c r="C24" s="3">
        <v>244</v>
      </c>
      <c r="D24" s="3"/>
      <c r="E24" s="3">
        <v>26</v>
      </c>
      <c r="F24" s="3"/>
      <c r="G24" s="3">
        <f t="shared" si="0"/>
        <v>6344</v>
      </c>
      <c r="H24" s="3" t="e">
        <f ca="1">IF(_xludf.TEXTJOIN("; ",TRUE,D24,F24)="","",_xludf.TEXTJOIN("; ",TRUE,D24,F24))</f>
        <v>#NAME?</v>
      </c>
      <c r="I24" s="3">
        <v>199</v>
      </c>
      <c r="J24" s="3"/>
      <c r="K24" s="3">
        <v>30</v>
      </c>
      <c r="L24" s="3"/>
      <c r="M24" s="3">
        <f t="shared" si="1"/>
        <v>5970</v>
      </c>
      <c r="N24" s="3" t="e">
        <f ca="1">IF(_xludf.TEXTJOIN("; ",TRUE,J24,L24)="","",_xludf.TEXTJOIN("; ",TRUE,J24,L24))</f>
        <v>#NAME?</v>
      </c>
      <c r="O24" s="3">
        <v>191</v>
      </c>
      <c r="P24" s="3"/>
      <c r="Q24" s="3">
        <v>29</v>
      </c>
      <c r="R24" s="3"/>
      <c r="S24" s="3">
        <f t="shared" si="2"/>
        <v>5539</v>
      </c>
      <c r="T24" s="3" t="e">
        <f ca="1">IF(_xludf.TEXTJOIN("; ",TRUE,P24,R24)="","",_xludf.TEXTJOIN("; ",TRUE,P24,R24))</f>
        <v>#NAME?</v>
      </c>
    </row>
    <row r="25" spans="1:20">
      <c r="A25" t="s">
        <v>83</v>
      </c>
      <c r="B25" t="s">
        <v>84</v>
      </c>
      <c r="C25" s="3">
        <v>181</v>
      </c>
      <c r="D25" s="3"/>
      <c r="E25" s="3">
        <v>77</v>
      </c>
      <c r="F25" s="3"/>
      <c r="G25" s="3">
        <f t="shared" si="0"/>
        <v>13937</v>
      </c>
      <c r="H25" s="3" t="e">
        <f ca="1">IF(_xludf.TEXTJOIN("; ",TRUE,D25,F25)="","",_xludf.TEXTJOIN("; ",TRUE,D25,F25))</f>
        <v>#NAME?</v>
      </c>
      <c r="I25" s="3">
        <v>181</v>
      </c>
      <c r="J25" s="3"/>
      <c r="K25" s="3">
        <v>70</v>
      </c>
      <c r="L25" s="3"/>
      <c r="M25" s="3">
        <f t="shared" si="1"/>
        <v>12670</v>
      </c>
      <c r="N25" s="3" t="e">
        <f ca="1">IF(_xludf.TEXTJOIN("; ",TRUE,J25,L25)="","",_xludf.TEXTJOIN("; ",TRUE,J25,L25))</f>
        <v>#NAME?</v>
      </c>
      <c r="O25" s="3">
        <v>165</v>
      </c>
      <c r="P25" s="3"/>
      <c r="Q25" s="3">
        <v>77</v>
      </c>
      <c r="R25" s="3"/>
      <c r="S25" s="3">
        <f t="shared" si="2"/>
        <v>12705</v>
      </c>
      <c r="T25" s="3" t="e">
        <f ca="1">IF(_xludf.TEXTJOIN("; ",TRUE,P25,R25)="","",_xludf.TEXTJOIN("; ",TRUE,P25,R25))</f>
        <v>#NAME?</v>
      </c>
    </row>
    <row r="26" spans="1:20">
      <c r="A26" t="s">
        <v>85</v>
      </c>
      <c r="B26" t="s">
        <v>86</v>
      </c>
      <c r="C26" s="3">
        <v>176</v>
      </c>
      <c r="D26" s="3"/>
      <c r="E26" s="3">
        <v>36</v>
      </c>
      <c r="F26" s="3"/>
      <c r="G26" s="3">
        <f t="shared" si="0"/>
        <v>6336</v>
      </c>
      <c r="H26" s="3" t="e">
        <f ca="1">IF(_xludf.TEXTJOIN("; ",TRUE,D26,F26)="","",_xludf.TEXTJOIN("; ",TRUE,D26,F26))</f>
        <v>#NAME?</v>
      </c>
      <c r="I26" s="3">
        <v>187</v>
      </c>
      <c r="J26" s="3"/>
      <c r="K26" s="3">
        <v>33</v>
      </c>
      <c r="L26" s="3"/>
      <c r="M26" s="3">
        <f t="shared" si="1"/>
        <v>6171</v>
      </c>
      <c r="N26" s="3" t="e">
        <f ca="1">IF(_xludf.TEXTJOIN("; ",TRUE,J26,L26)="","",_xludf.TEXTJOIN("; ",TRUE,J26,L26))</f>
        <v>#NAME?</v>
      </c>
      <c r="O26" s="3">
        <v>176</v>
      </c>
      <c r="P26" s="3"/>
      <c r="Q26" s="3">
        <v>35</v>
      </c>
      <c r="R26" s="3"/>
      <c r="S26" s="3">
        <f t="shared" si="2"/>
        <v>6160</v>
      </c>
      <c r="T26" s="3" t="e">
        <f ca="1">IF(_xludf.TEXTJOIN("; ",TRUE,P26,R26)="","",_xludf.TEXTJOIN("; ",TRUE,P26,R26))</f>
        <v>#NAME?</v>
      </c>
    </row>
    <row r="27" spans="1:20">
      <c r="A27" t="s">
        <v>87</v>
      </c>
      <c r="B27" t="s">
        <v>88</v>
      </c>
      <c r="C27" s="3">
        <v>185</v>
      </c>
      <c r="D27" s="3"/>
      <c r="E27" s="3">
        <v>41</v>
      </c>
      <c r="F27" s="3"/>
      <c r="G27" s="3">
        <f t="shared" si="0"/>
        <v>7585</v>
      </c>
      <c r="H27" s="3" t="e">
        <f ca="1">IF(_xludf.TEXTJOIN("; ",TRUE,D27,F27)="","",_xludf.TEXTJOIN("; ",TRUE,D27,F27))</f>
        <v>#NAME?</v>
      </c>
      <c r="I27" s="3">
        <v>175</v>
      </c>
      <c r="J27" s="3"/>
      <c r="K27" s="3">
        <v>37</v>
      </c>
      <c r="L27" s="3"/>
      <c r="M27" s="3">
        <f t="shared" si="1"/>
        <v>6475</v>
      </c>
      <c r="N27" s="3" t="e">
        <f ca="1">IF(_xludf.TEXTJOIN("; ",TRUE,J27,L27)="","",_xludf.TEXTJOIN("; ",TRUE,J27,L27))</f>
        <v>#NAME?</v>
      </c>
      <c r="O27" s="3">
        <v>155</v>
      </c>
      <c r="P27" s="3"/>
      <c r="Q27" s="3">
        <v>42</v>
      </c>
      <c r="R27" s="3"/>
      <c r="S27" s="3">
        <f t="shared" si="2"/>
        <v>6510</v>
      </c>
      <c r="T27" s="3" t="e">
        <f ca="1">IF(_xludf.TEXTJOIN("; ",TRUE,P27,R27)="","",_xludf.TEXTJOIN("; ",TRUE,P27,R27))</f>
        <v>#NAME?</v>
      </c>
    </row>
    <row r="28" spans="1:20">
      <c r="A28" t="s">
        <v>89</v>
      </c>
      <c r="B28" t="s">
        <v>90</v>
      </c>
      <c r="C28" s="3">
        <v>126</v>
      </c>
      <c r="D28" s="3"/>
      <c r="E28" s="3">
        <v>1384</v>
      </c>
      <c r="F28" s="3"/>
      <c r="G28" s="3">
        <f t="shared" si="0"/>
        <v>174384</v>
      </c>
      <c r="H28" s="3" t="e">
        <f ca="1">IF(_xludf.TEXTJOIN("; ",TRUE,D28,F28)="","",_xludf.TEXTJOIN("; ",TRUE,D28,F28))</f>
        <v>#NAME?</v>
      </c>
      <c r="I28" s="3">
        <v>125</v>
      </c>
      <c r="J28" s="3"/>
      <c r="K28" s="3">
        <v>1376</v>
      </c>
      <c r="L28" s="3"/>
      <c r="M28" s="3">
        <f t="shared" si="1"/>
        <v>172000</v>
      </c>
      <c r="N28" s="3" t="e">
        <f ca="1">IF(_xludf.TEXTJOIN("; ",TRUE,J28,L28)="","",_xludf.TEXTJOIN("; ",TRUE,J28,L28))</f>
        <v>#NAME?</v>
      </c>
      <c r="O28" s="3">
        <v>127</v>
      </c>
      <c r="P28" s="3"/>
      <c r="Q28" s="3">
        <v>1360</v>
      </c>
      <c r="R28" s="3"/>
      <c r="S28" s="3">
        <f t="shared" si="2"/>
        <v>172720</v>
      </c>
      <c r="T28" s="3" t="e">
        <f ca="1">IF(_xludf.TEXTJOIN("; ",TRUE,P28,R28)="","",_xludf.TEXTJOIN("; ",TRUE,P28,R28))</f>
        <v>#NAME?</v>
      </c>
    </row>
    <row r="29" spans="1:20">
      <c r="A29" t="s">
        <v>91</v>
      </c>
      <c r="B29" t="s">
        <v>92</v>
      </c>
      <c r="C29" s="3">
        <v>126</v>
      </c>
      <c r="D29" s="3"/>
      <c r="E29" s="3">
        <v>1384</v>
      </c>
      <c r="F29" s="3"/>
      <c r="G29" s="3">
        <f t="shared" si="0"/>
        <v>174384</v>
      </c>
      <c r="H29" s="3" t="e">
        <f ca="1">IF(_xludf.TEXTJOIN("; ",TRUE,D29,F29)="","",_xludf.TEXTJOIN("; ",TRUE,D29,F29))</f>
        <v>#NAME?</v>
      </c>
      <c r="I29" s="3">
        <v>125</v>
      </c>
      <c r="J29" s="3"/>
      <c r="K29" s="3">
        <v>1376</v>
      </c>
      <c r="L29" s="3"/>
      <c r="M29" s="3">
        <f t="shared" si="1"/>
        <v>172000</v>
      </c>
      <c r="N29" s="3" t="e">
        <f ca="1">IF(_xludf.TEXTJOIN("; ",TRUE,J29,L29)="","",_xludf.TEXTJOIN("; ",TRUE,J29,L29))</f>
        <v>#NAME?</v>
      </c>
      <c r="O29" s="3">
        <v>127</v>
      </c>
      <c r="P29" s="3"/>
      <c r="Q29" s="3">
        <v>1360</v>
      </c>
      <c r="R29" s="3"/>
      <c r="S29" s="3">
        <f t="shared" si="2"/>
        <v>172720</v>
      </c>
      <c r="T29" s="3" t="e">
        <f ca="1">IF(_xludf.TEXTJOIN("; ",TRUE,P29,R29)="","",_xludf.TEXTJOIN("; ",TRUE,P29,R29))</f>
        <v>#NAME?</v>
      </c>
    </row>
    <row r="30" spans="1:20">
      <c r="A30" t="s">
        <v>93</v>
      </c>
      <c r="B30" t="s">
        <v>94</v>
      </c>
      <c r="C30" s="3">
        <v>12</v>
      </c>
      <c r="D30" s="3"/>
      <c r="E30" s="3">
        <v>159</v>
      </c>
      <c r="F30" s="3"/>
      <c r="G30" s="3">
        <f t="shared" si="0"/>
        <v>1908</v>
      </c>
      <c r="H30" s="3" t="e">
        <f ca="1">IF(_xludf.TEXTJOIN("; ",TRUE,D30,F30)="","",_xludf.TEXTJOIN("; ",TRUE,D30,F30))</f>
        <v>#NAME?</v>
      </c>
      <c r="I30" s="3">
        <v>19</v>
      </c>
      <c r="J30" s="3"/>
      <c r="K30" s="3">
        <v>188</v>
      </c>
      <c r="L30" s="3"/>
      <c r="M30" s="3">
        <f t="shared" si="1"/>
        <v>3572</v>
      </c>
      <c r="N30" s="3" t="e">
        <f ca="1">IF(_xludf.TEXTJOIN("; ",TRUE,J30,L30)="","",_xludf.TEXTJOIN("; ",TRUE,J30,L30))</f>
        <v>#NAME?</v>
      </c>
      <c r="O30" s="3">
        <v>16</v>
      </c>
      <c r="P30" s="3"/>
      <c r="Q30" s="3">
        <v>188</v>
      </c>
      <c r="R30" s="3"/>
      <c r="S30" s="3">
        <f t="shared" si="2"/>
        <v>3008</v>
      </c>
      <c r="T30" s="3" t="e">
        <f ca="1">IF(_xludf.TEXTJOIN("; ",TRUE,P30,R30)="","",_xludf.TEXTJOIN("; ",TRUE,P30,R30))</f>
        <v>#NAME?</v>
      </c>
    </row>
    <row r="31" spans="1:20">
      <c r="A31" t="s">
        <v>95</v>
      </c>
      <c r="B31" t="s">
        <v>96</v>
      </c>
      <c r="C31" s="3">
        <v>210</v>
      </c>
      <c r="D31" s="3"/>
      <c r="E31" s="3">
        <v>232</v>
      </c>
      <c r="F31" s="3"/>
      <c r="G31" s="3">
        <f t="shared" si="0"/>
        <v>48720</v>
      </c>
      <c r="H31" s="3" t="e">
        <f ca="1">IF(_xludf.TEXTJOIN("; ",TRUE,D31,F31)="","",_xludf.TEXTJOIN("; ",TRUE,D31,F31))</f>
        <v>#NAME?</v>
      </c>
      <c r="I31" s="3">
        <v>210</v>
      </c>
      <c r="J31" s="3"/>
      <c r="K31" s="3">
        <v>224</v>
      </c>
      <c r="L31" s="3"/>
      <c r="M31" s="3">
        <f t="shared" si="1"/>
        <v>47040</v>
      </c>
      <c r="N31" s="3" t="e">
        <f ca="1">IF(_xludf.TEXTJOIN("; ",TRUE,J31,L31)="","",_xludf.TEXTJOIN("; ",TRUE,J31,L31))</f>
        <v>#NAME?</v>
      </c>
      <c r="O31" s="3">
        <v>214</v>
      </c>
      <c r="P31" s="3"/>
      <c r="Q31" s="3">
        <v>222</v>
      </c>
      <c r="R31" s="3"/>
      <c r="S31" s="3">
        <f t="shared" si="2"/>
        <v>47508</v>
      </c>
      <c r="T31" s="3" t="e">
        <f ca="1">IF(_xludf.TEXTJOIN("; ",TRUE,P31,R31)="","",_xludf.TEXTJOIN("; ",TRUE,P31,R31))</f>
        <v>#NAME?</v>
      </c>
    </row>
    <row r="32" spans="1:20">
      <c r="A32" t="s">
        <v>97</v>
      </c>
      <c r="B32" t="s">
        <v>98</v>
      </c>
      <c r="C32" s="3">
        <v>137</v>
      </c>
      <c r="D32" s="3"/>
      <c r="E32" s="3">
        <v>191</v>
      </c>
      <c r="F32" s="3"/>
      <c r="G32" s="3">
        <f t="shared" si="0"/>
        <v>26167</v>
      </c>
      <c r="H32" s="3" t="e">
        <f ca="1">IF(_xludf.TEXTJOIN("; ",TRUE,D32,F32)="","",_xludf.TEXTJOIN("; ",TRUE,D32,F32))</f>
        <v>#NAME?</v>
      </c>
      <c r="I32" s="3">
        <v>140</v>
      </c>
      <c r="J32" s="3"/>
      <c r="K32" s="3">
        <v>175</v>
      </c>
      <c r="L32" s="3"/>
      <c r="M32" s="3">
        <f t="shared" si="1"/>
        <v>24500</v>
      </c>
      <c r="N32" s="3" t="e">
        <f ca="1">IF(_xludf.TEXTJOIN("; ",TRUE,J32,L32)="","",_xludf.TEXTJOIN("; ",TRUE,J32,L32))</f>
        <v>#NAME?</v>
      </c>
      <c r="O32" s="3">
        <v>145</v>
      </c>
      <c r="P32" s="3"/>
      <c r="Q32" s="3">
        <v>169</v>
      </c>
      <c r="R32" s="3"/>
      <c r="S32" s="3">
        <f t="shared" si="2"/>
        <v>24505</v>
      </c>
      <c r="T32" s="3" t="e">
        <f ca="1">IF(_xludf.TEXTJOIN("; ",TRUE,P32,R32)="","",_xludf.TEXTJOIN("; ",TRUE,P32,R32))</f>
        <v>#NAME?</v>
      </c>
    </row>
    <row r="33" spans="1:20">
      <c r="A33" t="s">
        <v>99</v>
      </c>
      <c r="B33" t="s">
        <v>100</v>
      </c>
      <c r="C33" s="3">
        <v>101</v>
      </c>
      <c r="D33" s="3"/>
      <c r="E33" s="3">
        <v>116</v>
      </c>
      <c r="F33" s="3"/>
      <c r="G33" s="3">
        <f t="shared" si="0"/>
        <v>11716</v>
      </c>
      <c r="H33" s="3" t="e">
        <f ca="1">IF(_xludf.TEXTJOIN("; ",TRUE,D33,F33)="","",_xludf.TEXTJOIN("; ",TRUE,D33,F33))</f>
        <v>#NAME?</v>
      </c>
      <c r="I33" s="3">
        <v>122</v>
      </c>
      <c r="J33" s="3"/>
      <c r="K33" s="3">
        <v>96</v>
      </c>
      <c r="L33" s="3"/>
      <c r="M33" s="3">
        <f t="shared" si="1"/>
        <v>11712</v>
      </c>
      <c r="N33" s="3" t="e">
        <f ca="1">IF(_xludf.TEXTJOIN("; ",TRUE,J33,L33)="","",_xludf.TEXTJOIN("; ",TRUE,J33,L33))</f>
        <v>#NAME?</v>
      </c>
      <c r="O33" s="3">
        <v>121</v>
      </c>
      <c r="P33" s="3"/>
      <c r="Q33" s="3">
        <v>98</v>
      </c>
      <c r="R33" s="3"/>
      <c r="S33" s="3">
        <f t="shared" si="2"/>
        <v>11858</v>
      </c>
      <c r="T33" s="3" t="e">
        <f ca="1">IF(_xludf.TEXTJOIN("; ",TRUE,P33,R33)="","",_xludf.TEXTJOIN("; ",TRUE,P33,R33))</f>
        <v>#NAME?</v>
      </c>
    </row>
    <row r="34" spans="1:20">
      <c r="A34" t="s">
        <v>101</v>
      </c>
      <c r="B34" t="s">
        <v>102</v>
      </c>
      <c r="C34" s="3">
        <v>169</v>
      </c>
      <c r="D34" s="3"/>
      <c r="E34" s="3">
        <v>251</v>
      </c>
      <c r="F34" s="3"/>
      <c r="G34" s="3">
        <f t="shared" si="0"/>
        <v>42419</v>
      </c>
      <c r="H34" s="3" t="e">
        <f ca="1">IF(_xludf.TEXTJOIN("; ",TRUE,D34,F34)="","",_xludf.TEXTJOIN("; ",TRUE,D34,F34))</f>
        <v>#NAME?</v>
      </c>
      <c r="I34" s="3">
        <v>159</v>
      </c>
      <c r="J34" s="3"/>
      <c r="K34" s="3">
        <v>259</v>
      </c>
      <c r="L34" s="3"/>
      <c r="M34" s="3">
        <f t="shared" si="1"/>
        <v>41181</v>
      </c>
      <c r="N34" s="3" t="e">
        <f ca="1">IF(_xludf.TEXTJOIN("; ",TRUE,J34,L34)="","",_xludf.TEXTJOIN("; ",TRUE,J34,L34))</f>
        <v>#NAME?</v>
      </c>
      <c r="O34" s="3">
        <v>152</v>
      </c>
      <c r="P34" s="3"/>
      <c r="Q34" s="3">
        <v>263</v>
      </c>
      <c r="R34" s="3"/>
      <c r="S34" s="3">
        <f t="shared" si="2"/>
        <v>39976</v>
      </c>
      <c r="T34" s="3" t="e">
        <f ca="1">IF(_xludf.TEXTJOIN("; ",TRUE,P34,R34)="","",_xludf.TEXTJOIN("; ",TRUE,P34,R34))</f>
        <v>#NAME?</v>
      </c>
    </row>
    <row r="35" spans="1:20">
      <c r="A35" t="s">
        <v>103</v>
      </c>
      <c r="B35" t="s">
        <v>104</v>
      </c>
      <c r="C35" s="3">
        <v>76</v>
      </c>
      <c r="D35" s="3"/>
      <c r="E35" s="3">
        <v>189</v>
      </c>
      <c r="F35" s="3"/>
      <c r="G35" s="3">
        <f t="shared" si="0"/>
        <v>14364</v>
      </c>
      <c r="H35" s="3" t="e">
        <f ca="1">IF(_xludf.TEXTJOIN("; ",TRUE,D35,F35)="","",_xludf.TEXTJOIN("; ",TRUE,D35,F35))</f>
        <v>#NAME?</v>
      </c>
      <c r="I35" s="3">
        <v>71</v>
      </c>
      <c r="J35" s="3"/>
      <c r="K35" s="3">
        <v>192</v>
      </c>
      <c r="L35" s="3"/>
      <c r="M35" s="3">
        <f t="shared" si="1"/>
        <v>13632</v>
      </c>
      <c r="N35" s="3" t="e">
        <f ca="1">IF(_xludf.TEXTJOIN("; ",TRUE,J35,L35)="","",_xludf.TEXTJOIN("; ",TRUE,J35,L35))</f>
        <v>#NAME?</v>
      </c>
      <c r="O35" s="3">
        <v>80</v>
      </c>
      <c r="P35" s="3"/>
      <c r="Q35" s="3">
        <v>174</v>
      </c>
      <c r="R35" s="3"/>
      <c r="S35" s="3">
        <f t="shared" si="2"/>
        <v>13920</v>
      </c>
      <c r="T35" s="3" t="e">
        <f ca="1">IF(_xludf.TEXTJOIN("; ",TRUE,P35,R35)="","",_xludf.TEXTJOIN("; ",TRUE,P35,R35))</f>
        <v>#NAME?</v>
      </c>
    </row>
    <row r="36" spans="1:20">
      <c r="A36" t="s">
        <v>105</v>
      </c>
      <c r="B36" t="s">
        <v>106</v>
      </c>
      <c r="C36" s="3">
        <v>52</v>
      </c>
      <c r="D36" s="3"/>
      <c r="E36" s="3">
        <v>127</v>
      </c>
      <c r="F36" s="3"/>
      <c r="G36" s="3">
        <f t="shared" si="0"/>
        <v>6604</v>
      </c>
      <c r="H36" s="3" t="e">
        <f ca="1">IF(_xludf.TEXTJOIN("; ",TRUE,D36,F36)="","",_xludf.TEXTJOIN("; ",TRUE,D36,F36))</f>
        <v>#NAME?</v>
      </c>
      <c r="I36" s="3">
        <v>62</v>
      </c>
      <c r="J36" s="3"/>
      <c r="K36" s="3">
        <v>116</v>
      </c>
      <c r="L36" s="3"/>
      <c r="M36" s="3">
        <f t="shared" si="1"/>
        <v>7192</v>
      </c>
      <c r="N36" s="3" t="e">
        <f ca="1">IF(_xludf.TEXTJOIN("; ",TRUE,J36,L36)="","",_xludf.TEXTJOIN("; ",TRUE,J36,L36))</f>
        <v>#NAME?</v>
      </c>
      <c r="O36" s="3">
        <v>59</v>
      </c>
      <c r="P36" s="3"/>
      <c r="Q36" s="3">
        <v>121</v>
      </c>
      <c r="R36" s="3"/>
      <c r="S36" s="3">
        <f t="shared" si="2"/>
        <v>7139</v>
      </c>
      <c r="T36" s="3" t="e">
        <f ca="1">IF(_xludf.TEXTJOIN("; ",TRUE,P36,R36)="","",_xludf.TEXTJOIN("; ",TRUE,P36,R36))</f>
        <v>#NAME?</v>
      </c>
    </row>
    <row r="37" spans="1:20">
      <c r="A37" t="s">
        <v>107</v>
      </c>
      <c r="B37" t="s">
        <v>108</v>
      </c>
      <c r="C37" s="3">
        <v>196</v>
      </c>
      <c r="D37" s="3"/>
      <c r="E37" s="3">
        <v>119</v>
      </c>
      <c r="F37" s="3"/>
      <c r="G37" s="3">
        <f t="shared" si="0"/>
        <v>23324</v>
      </c>
      <c r="H37" s="3" t="e">
        <f ca="1">IF(_xludf.TEXTJOIN("; ",TRUE,D37,F37)="","",_xludf.TEXTJOIN("; ",TRUE,D37,F37))</f>
        <v>#NAME?</v>
      </c>
      <c r="I37" s="3">
        <v>186</v>
      </c>
      <c r="J37" s="3"/>
      <c r="K37" s="3">
        <v>126</v>
      </c>
      <c r="L37" s="3"/>
      <c r="M37" s="3">
        <f t="shared" si="1"/>
        <v>23436</v>
      </c>
      <c r="N37" s="3" t="e">
        <f ca="1">IF(_xludf.TEXTJOIN("; ",TRUE,J37,L37)="","",_xludf.TEXTJOIN("; ",TRUE,J37,L37))</f>
        <v>#NAME?</v>
      </c>
      <c r="O37" s="3">
        <v>194</v>
      </c>
      <c r="P37" s="3"/>
      <c r="Q37" s="3">
        <v>125</v>
      </c>
      <c r="R37" s="3"/>
      <c r="S37" s="3">
        <f t="shared" si="2"/>
        <v>24250</v>
      </c>
      <c r="T37" s="3" t="e">
        <f ca="1">IF(_xludf.TEXTJOIN("; ",TRUE,P37,R37)="","",_xludf.TEXTJOIN("; ",TRUE,P37,R37))</f>
        <v>#NAME?</v>
      </c>
    </row>
    <row r="38" spans="1:20">
      <c r="A38" t="s">
        <v>109</v>
      </c>
      <c r="B38" t="s">
        <v>68</v>
      </c>
      <c r="C38" s="3" t="s">
        <v>43</v>
      </c>
      <c r="D38" s="3"/>
      <c r="E38" s="3">
        <v>0</v>
      </c>
      <c r="F38" s="3"/>
      <c r="G38" s="3" t="str">
        <f t="shared" si="0"/>
        <v/>
      </c>
      <c r="H38" s="3" t="e">
        <f ca="1">IF(_xludf.TEXTJOIN("; ",TRUE,D38,F38)="","",_xludf.TEXTJOIN("; ",TRUE,D38,F38))</f>
        <v>#NAME?</v>
      </c>
      <c r="I38" s="3" t="s">
        <v>43</v>
      </c>
      <c r="J38" s="3"/>
      <c r="K38" s="3">
        <v>0</v>
      </c>
      <c r="L38" s="3"/>
      <c r="M38" s="3" t="str">
        <f t="shared" si="1"/>
        <v/>
      </c>
      <c r="N38" s="3" t="e">
        <f ca="1">IF(_xludf.TEXTJOIN("; ",TRUE,J38,L38)="","",_xludf.TEXTJOIN("; ",TRUE,J38,L38))</f>
        <v>#NAME?</v>
      </c>
      <c r="O38" s="3" t="s">
        <v>43</v>
      </c>
      <c r="P38" s="3"/>
      <c r="Q38" s="3">
        <v>0</v>
      </c>
      <c r="R38" s="3"/>
      <c r="S38" s="3" t="str">
        <f t="shared" si="2"/>
        <v/>
      </c>
      <c r="T38" s="3" t="e">
        <f ca="1">IF(_xludf.TEXTJOIN("; ",TRUE,P38,R38)="","",_xludf.TEXTJOIN("; ",TRUE,P38,R38))</f>
        <v>#NAME?</v>
      </c>
    </row>
    <row r="39" spans="1:20">
      <c r="A39" t="s">
        <v>110</v>
      </c>
      <c r="B39" t="s">
        <v>70</v>
      </c>
      <c r="C39" s="3" t="s">
        <v>43</v>
      </c>
      <c r="D39" s="3"/>
      <c r="E39" s="3">
        <v>0</v>
      </c>
      <c r="F39" s="3"/>
      <c r="G39" s="3" t="str">
        <f t="shared" si="0"/>
        <v/>
      </c>
      <c r="H39" s="3" t="e">
        <f ca="1">IF(_xludf.TEXTJOIN("; ",TRUE,D39,F39)="","",_xludf.TEXTJOIN("; ",TRUE,D39,F39))</f>
        <v>#NAME?</v>
      </c>
      <c r="I39" s="3" t="s">
        <v>43</v>
      </c>
      <c r="J39" s="3"/>
      <c r="K39" s="3">
        <v>0</v>
      </c>
      <c r="L39" s="3"/>
      <c r="M39" s="3" t="str">
        <f t="shared" si="1"/>
        <v/>
      </c>
      <c r="N39" s="3" t="e">
        <f ca="1">IF(_xludf.TEXTJOIN("; ",TRUE,J39,L39)="","",_xludf.TEXTJOIN("; ",TRUE,J39,L39))</f>
        <v>#NAME?</v>
      </c>
      <c r="O39" s="3" t="s">
        <v>43</v>
      </c>
      <c r="P39" s="3"/>
      <c r="Q39" s="3">
        <v>0</v>
      </c>
      <c r="R39" s="3"/>
      <c r="S39" s="3" t="str">
        <f t="shared" si="2"/>
        <v/>
      </c>
      <c r="T39" s="3" t="e">
        <f ca="1">IF(_xludf.TEXTJOIN("; ",TRUE,P39,R39)="","",_xludf.TEXTJOIN("; ",TRUE,P39,R39))</f>
        <v>#NAME?</v>
      </c>
    </row>
    <row r="40" spans="1:20">
      <c r="A40" t="s">
        <v>111</v>
      </c>
      <c r="B40" t="s">
        <v>112</v>
      </c>
      <c r="C40" s="3">
        <v>23</v>
      </c>
      <c r="D40" s="3"/>
      <c r="E40" s="3">
        <v>163</v>
      </c>
      <c r="F40" s="3"/>
      <c r="G40" s="3">
        <f t="shared" si="0"/>
        <v>3749</v>
      </c>
      <c r="H40" s="3" t="e">
        <f ca="1">IF(_xludf.TEXTJOIN("; ",TRUE,D40,F40)="","",_xludf.TEXTJOIN("; ",TRUE,D40,F40))</f>
        <v>#NAME?</v>
      </c>
      <c r="I40" s="3">
        <v>24</v>
      </c>
      <c r="J40" s="3"/>
      <c r="K40" s="3">
        <v>162</v>
      </c>
      <c r="L40" s="3"/>
      <c r="M40" s="3">
        <f t="shared" si="1"/>
        <v>3888</v>
      </c>
      <c r="N40" s="3" t="e">
        <f ca="1">IF(_xludf.TEXTJOIN("; ",TRUE,J40,L40)="","",_xludf.TEXTJOIN("; ",TRUE,J40,L40))</f>
        <v>#NAME?</v>
      </c>
      <c r="O40" s="3">
        <v>25</v>
      </c>
      <c r="P40" s="3"/>
      <c r="Q40" s="3">
        <v>158</v>
      </c>
      <c r="R40" s="3"/>
      <c r="S40" s="3">
        <f t="shared" si="2"/>
        <v>3950</v>
      </c>
      <c r="T40" s="3" t="e">
        <f ca="1">IF(_xludf.TEXTJOIN("; ",TRUE,P40,R40)="","",_xludf.TEXTJOIN("; ",TRUE,P40,R40))</f>
        <v>#NAME?</v>
      </c>
    </row>
    <row r="41" spans="1:20">
      <c r="A41" t="s">
        <v>113</v>
      </c>
      <c r="B41" t="s">
        <v>114</v>
      </c>
      <c r="C41" s="3">
        <v>23</v>
      </c>
      <c r="D41" s="3"/>
      <c r="E41" s="3">
        <v>163</v>
      </c>
      <c r="F41" s="3"/>
      <c r="G41" s="3">
        <f t="shared" si="0"/>
        <v>3749</v>
      </c>
      <c r="H41" s="3" t="e">
        <f ca="1">IF(_xludf.TEXTJOIN("; ",TRUE,D41,F41)="","",_xludf.TEXTJOIN("; ",TRUE,D41,F41))</f>
        <v>#NAME?</v>
      </c>
      <c r="I41" s="3">
        <v>24</v>
      </c>
      <c r="J41" s="3"/>
      <c r="K41" s="3">
        <v>162</v>
      </c>
      <c r="L41" s="3"/>
      <c r="M41" s="3">
        <f t="shared" si="1"/>
        <v>3888</v>
      </c>
      <c r="N41" s="3" t="e">
        <f ca="1">IF(_xludf.TEXTJOIN("; ",TRUE,J41,L41)="","",_xludf.TEXTJOIN("; ",TRUE,J41,L41))</f>
        <v>#NAME?</v>
      </c>
      <c r="O41" s="3">
        <v>25</v>
      </c>
      <c r="P41" s="3"/>
      <c r="Q41" s="3">
        <v>158</v>
      </c>
      <c r="R41" s="3"/>
      <c r="S41" s="3">
        <f t="shared" si="2"/>
        <v>3950</v>
      </c>
      <c r="T41" s="3" t="e">
        <f ca="1">IF(_xludf.TEXTJOIN("; ",TRUE,P41,R41)="","",_xludf.TEXTJOIN("; ",TRUE,P41,R41))</f>
        <v>#NAME?</v>
      </c>
    </row>
    <row r="42" spans="1:20">
      <c r="A42" t="s">
        <v>115</v>
      </c>
      <c r="B42" t="s">
        <v>116</v>
      </c>
      <c r="C42" s="3">
        <v>12</v>
      </c>
      <c r="D42" s="3"/>
      <c r="E42" s="3">
        <v>24</v>
      </c>
      <c r="F42" s="3"/>
      <c r="G42" s="3">
        <f t="shared" si="0"/>
        <v>288</v>
      </c>
      <c r="H42" s="3" t="e">
        <f ca="1">IF(_xludf.TEXTJOIN("; ",TRUE,D42,F42)="","",_xludf.TEXTJOIN("; ",TRUE,D42,F42))</f>
        <v>#NAME?</v>
      </c>
      <c r="I42" s="3">
        <v>11</v>
      </c>
      <c r="J42" s="3"/>
      <c r="K42" s="3">
        <v>22</v>
      </c>
      <c r="L42" s="3"/>
      <c r="M42" s="3">
        <f t="shared" si="1"/>
        <v>242</v>
      </c>
      <c r="N42" s="3" t="e">
        <f ca="1">IF(_xludf.TEXTJOIN("; ",TRUE,J42,L42)="","",_xludf.TEXTJOIN("; ",TRUE,J42,L42))</f>
        <v>#NAME?</v>
      </c>
      <c r="O42" s="3">
        <v>11</v>
      </c>
      <c r="P42" s="3"/>
      <c r="Q42" s="3">
        <v>20</v>
      </c>
      <c r="R42" s="3"/>
      <c r="S42" s="3">
        <f t="shared" si="2"/>
        <v>220</v>
      </c>
      <c r="T42" s="3" t="e">
        <f ca="1">IF(_xludf.TEXTJOIN("; ",TRUE,P42,R42)="","",_xludf.TEXTJOIN("; ",TRUE,P42,R42))</f>
        <v>#NAME?</v>
      </c>
    </row>
    <row r="43" spans="1:20">
      <c r="A43" t="s">
        <v>117</v>
      </c>
      <c r="B43" t="s">
        <v>118</v>
      </c>
      <c r="C43" s="3">
        <v>23</v>
      </c>
      <c r="D43" s="3"/>
      <c r="E43" s="3">
        <v>17</v>
      </c>
      <c r="F43" s="3"/>
      <c r="G43" s="3">
        <f t="shared" si="0"/>
        <v>391</v>
      </c>
      <c r="H43" s="3" t="e">
        <f ca="1">IF(_xludf.TEXTJOIN("; ",TRUE,D43,F43)="","",_xludf.TEXTJOIN("; ",TRUE,D43,F43))</f>
        <v>#NAME?</v>
      </c>
      <c r="I43" s="3">
        <v>26</v>
      </c>
      <c r="J43" s="3"/>
      <c r="K43" s="3">
        <v>17</v>
      </c>
      <c r="L43" s="3"/>
      <c r="M43" s="3">
        <f t="shared" si="1"/>
        <v>442</v>
      </c>
      <c r="N43" s="3" t="e">
        <f ca="1">IF(_xludf.TEXTJOIN("; ",TRUE,J43,L43)="","",_xludf.TEXTJOIN("; ",TRUE,J43,L43))</f>
        <v>#NAME?</v>
      </c>
      <c r="O43" s="3">
        <v>29</v>
      </c>
      <c r="P43" s="3"/>
      <c r="Q43" s="3">
        <v>17</v>
      </c>
      <c r="R43" s="3"/>
      <c r="S43" s="3">
        <f t="shared" si="2"/>
        <v>493</v>
      </c>
      <c r="T43" s="3" t="e">
        <f ca="1">IF(_xludf.TEXTJOIN("; ",TRUE,P43,R43)="","",_xludf.TEXTJOIN("; ",TRUE,P43,R43))</f>
        <v>#NAME?</v>
      </c>
    </row>
    <row r="44" spans="1:20">
      <c r="A44" t="s">
        <v>119</v>
      </c>
      <c r="B44" t="s">
        <v>120</v>
      </c>
      <c r="C44" s="3">
        <v>25</v>
      </c>
      <c r="D44" s="3"/>
      <c r="E44" s="3">
        <v>59</v>
      </c>
      <c r="F44" s="3"/>
      <c r="G44" s="3">
        <f t="shared" si="0"/>
        <v>1475</v>
      </c>
      <c r="H44" s="3" t="e">
        <f ca="1">IF(_xludf.TEXTJOIN("; ",TRUE,D44,F44)="","",_xludf.TEXTJOIN("; ",TRUE,D44,F44))</f>
        <v>#NAME?</v>
      </c>
      <c r="I44" s="3">
        <v>25</v>
      </c>
      <c r="J44" s="3"/>
      <c r="K44" s="3">
        <v>58</v>
      </c>
      <c r="L44" s="3"/>
      <c r="M44" s="3">
        <f t="shared" si="1"/>
        <v>1450</v>
      </c>
      <c r="N44" s="3" t="e">
        <f ca="1">IF(_xludf.TEXTJOIN("; ",TRUE,J44,L44)="","",_xludf.TEXTJOIN("; ",TRUE,J44,L44))</f>
        <v>#NAME?</v>
      </c>
      <c r="O44" s="3">
        <v>24</v>
      </c>
      <c r="P44" s="3"/>
      <c r="Q44" s="3">
        <v>60</v>
      </c>
      <c r="R44" s="3"/>
      <c r="S44" s="3">
        <f t="shared" si="2"/>
        <v>1440</v>
      </c>
      <c r="T44" s="3" t="e">
        <f ca="1">IF(_xludf.TEXTJOIN("; ",TRUE,P44,R44)="","",_xludf.TEXTJOIN("; ",TRUE,P44,R44))</f>
        <v>#NAME?</v>
      </c>
    </row>
    <row r="45" spans="1:20">
      <c r="A45" t="s">
        <v>121</v>
      </c>
      <c r="B45" t="s">
        <v>122</v>
      </c>
      <c r="C45" s="3">
        <v>22</v>
      </c>
      <c r="D45" s="3"/>
      <c r="E45" s="3">
        <v>50</v>
      </c>
      <c r="F45" s="3"/>
      <c r="G45" s="3">
        <f t="shared" si="0"/>
        <v>1100</v>
      </c>
      <c r="H45" s="3" t="e">
        <f ca="1">IF(_xludf.TEXTJOIN("; ",TRUE,D45,F45)="","",_xludf.TEXTJOIN("; ",TRUE,D45,F45))</f>
        <v>#NAME?</v>
      </c>
      <c r="I45" s="3">
        <v>23</v>
      </c>
      <c r="J45" s="3"/>
      <c r="K45" s="3">
        <v>50</v>
      </c>
      <c r="L45" s="3"/>
      <c r="M45" s="3">
        <f t="shared" si="1"/>
        <v>1150</v>
      </c>
      <c r="N45" s="3" t="e">
        <f ca="1">IF(_xludf.TEXTJOIN("; ",TRUE,J45,L45)="","",_xludf.TEXTJOIN("; ",TRUE,J45,L45))</f>
        <v>#NAME?</v>
      </c>
      <c r="O45" s="3">
        <v>29</v>
      </c>
      <c r="P45" s="3"/>
      <c r="Q45" s="3">
        <v>48</v>
      </c>
      <c r="R45" s="3"/>
      <c r="S45" s="3">
        <f t="shared" si="2"/>
        <v>1392</v>
      </c>
      <c r="T45" s="3" t="e">
        <f ca="1">IF(_xludf.TEXTJOIN("; ",TRUE,P45,R45)="","",_xludf.TEXTJOIN("; ",TRUE,P45,R45))</f>
        <v>#NAME?</v>
      </c>
    </row>
    <row r="46" spans="1:20">
      <c r="A46" t="s">
        <v>123</v>
      </c>
      <c r="B46" t="s">
        <v>124</v>
      </c>
      <c r="C46" s="3">
        <v>38</v>
      </c>
      <c r="D46" s="3"/>
      <c r="E46" s="3">
        <v>13</v>
      </c>
      <c r="F46" s="3"/>
      <c r="G46" s="3">
        <f t="shared" si="0"/>
        <v>494</v>
      </c>
      <c r="H46" s="3" t="e">
        <f ca="1">IF(_xludf.TEXTJOIN("; ",TRUE,D46,F46)="","",_xludf.TEXTJOIN("; ",TRUE,D46,F46))</f>
        <v>#NAME?</v>
      </c>
      <c r="I46" s="3">
        <v>34</v>
      </c>
      <c r="J46" s="3"/>
      <c r="K46" s="3">
        <v>15</v>
      </c>
      <c r="L46" s="3"/>
      <c r="M46" s="3">
        <f t="shared" si="1"/>
        <v>510</v>
      </c>
      <c r="N46" s="3" t="e">
        <f ca="1">IF(_xludf.TEXTJOIN("; ",TRUE,J46,L46)="","",_xludf.TEXTJOIN("; ",TRUE,J46,L46))</f>
        <v>#NAME?</v>
      </c>
      <c r="O46" s="3">
        <v>36</v>
      </c>
      <c r="P46" s="3"/>
      <c r="Q46" s="3">
        <v>13</v>
      </c>
      <c r="R46" s="3"/>
      <c r="S46" s="3">
        <f t="shared" si="2"/>
        <v>468</v>
      </c>
      <c r="T46" s="3" t="e">
        <f ca="1">IF(_xludf.TEXTJOIN("; ",TRUE,P46,R46)="","",_xludf.TEXTJOIN("; ",TRUE,P46,R46))</f>
        <v>#NAME?</v>
      </c>
    </row>
    <row r="47" spans="1:20">
      <c r="A47" t="s">
        <v>125</v>
      </c>
      <c r="B47" t="s">
        <v>68</v>
      </c>
      <c r="C47" s="3" t="s">
        <v>43</v>
      </c>
      <c r="D47" s="3"/>
      <c r="E47" s="3">
        <v>0</v>
      </c>
      <c r="F47" s="3"/>
      <c r="G47" s="3" t="str">
        <f t="shared" si="0"/>
        <v/>
      </c>
      <c r="H47" s="3" t="e">
        <f ca="1">IF(_xludf.TEXTJOIN("; ",TRUE,D47,F47)="","",_xludf.TEXTJOIN("; ",TRUE,D47,F47))</f>
        <v>#NAME?</v>
      </c>
      <c r="I47" s="3" t="s">
        <v>43</v>
      </c>
      <c r="J47" s="3"/>
      <c r="K47" s="3">
        <v>0</v>
      </c>
      <c r="L47" s="3"/>
      <c r="M47" s="3" t="str">
        <f t="shared" si="1"/>
        <v/>
      </c>
      <c r="N47" s="3" t="e">
        <f ca="1">IF(_xludf.TEXTJOIN("; ",TRUE,J47,L47)="","",_xludf.TEXTJOIN("; ",TRUE,J47,L47))</f>
        <v>#NAME?</v>
      </c>
      <c r="O47" s="3" t="s">
        <v>43</v>
      </c>
      <c r="P47" s="3"/>
      <c r="Q47" s="3">
        <v>0</v>
      </c>
      <c r="R47" s="3"/>
      <c r="S47" s="3" t="str">
        <f t="shared" si="2"/>
        <v/>
      </c>
      <c r="T47" s="3" t="e">
        <f ca="1">IF(_xludf.TEXTJOIN("; ",TRUE,P47,R47)="","",_xludf.TEXTJOIN("; ",TRUE,P47,R47))</f>
        <v>#NAME?</v>
      </c>
    </row>
    <row r="48" spans="1:20">
      <c r="A48" t="s">
        <v>126</v>
      </c>
      <c r="B48" t="s">
        <v>70</v>
      </c>
      <c r="C48" s="3" t="s">
        <v>43</v>
      </c>
      <c r="D48" s="3"/>
      <c r="E48" s="3">
        <v>0</v>
      </c>
      <c r="F48" s="3"/>
      <c r="G48" s="3" t="str">
        <f t="shared" si="0"/>
        <v/>
      </c>
      <c r="H48" s="3" t="e">
        <f ca="1">IF(_xludf.TEXTJOIN("; ",TRUE,D48,F48)="","",_xludf.TEXTJOIN("; ",TRUE,D48,F48))</f>
        <v>#NAME?</v>
      </c>
      <c r="I48" s="3" t="s">
        <v>43</v>
      </c>
      <c r="J48" s="3"/>
      <c r="K48" s="3">
        <v>0</v>
      </c>
      <c r="L48" s="3"/>
      <c r="M48" s="3" t="str">
        <f t="shared" si="1"/>
        <v/>
      </c>
      <c r="N48" s="3" t="e">
        <f ca="1">IF(_xludf.TEXTJOIN("; ",TRUE,J48,L48)="","",_xludf.TEXTJOIN("; ",TRUE,J48,L48))</f>
        <v>#NAME?</v>
      </c>
      <c r="O48" s="3" t="s">
        <v>43</v>
      </c>
      <c r="P48" s="3"/>
      <c r="Q48" s="3">
        <v>0</v>
      </c>
      <c r="R48" s="3"/>
      <c r="S48" s="3" t="str">
        <f t="shared" si="2"/>
        <v/>
      </c>
      <c r="T48" s="3" t="e">
        <f ca="1">IF(_xludf.TEXTJOIN("; ",TRUE,P48,R48)="","",_xludf.TEXTJOIN("; ",TRUE,P48,R48))</f>
        <v>#NAME?</v>
      </c>
    </row>
    <row r="49" spans="1:20">
      <c r="A49" t="s">
        <v>127</v>
      </c>
      <c r="B49" t="s">
        <v>128</v>
      </c>
      <c r="C49" s="3">
        <v>243</v>
      </c>
      <c r="D49" s="3"/>
      <c r="E49" s="3">
        <v>3695</v>
      </c>
      <c r="F49" s="3"/>
      <c r="G49" s="3">
        <f t="shared" si="0"/>
        <v>897885</v>
      </c>
      <c r="H49" s="3" t="e">
        <f ca="1">IF(_xludf.TEXTJOIN("; ",TRUE,D49,F49)="","",_xludf.TEXTJOIN("; ",TRUE,D49,F49))</f>
        <v>#NAME?</v>
      </c>
      <c r="I49" s="3">
        <v>231</v>
      </c>
      <c r="J49" s="3"/>
      <c r="K49" s="3">
        <v>3720</v>
      </c>
      <c r="L49" s="3"/>
      <c r="M49" s="3">
        <f t="shared" si="1"/>
        <v>859320</v>
      </c>
      <c r="N49" s="3" t="e">
        <f ca="1">IF(_xludf.TEXTJOIN("; ",TRUE,J49,L49)="","",_xludf.TEXTJOIN("; ",TRUE,J49,L49))</f>
        <v>#NAME?</v>
      </c>
      <c r="O49" s="3">
        <v>228</v>
      </c>
      <c r="P49" s="3"/>
      <c r="Q49" s="3">
        <v>3717</v>
      </c>
      <c r="R49" s="3"/>
      <c r="S49" s="3">
        <f t="shared" si="2"/>
        <v>847476</v>
      </c>
      <c r="T49" s="3" t="e">
        <f ca="1">IF(_xludf.TEXTJOIN("; ",TRUE,P49,R49)="","",_xludf.TEXTJOIN("; ",TRUE,P49,R49))</f>
        <v>#NAME?</v>
      </c>
    </row>
    <row r="50" spans="1:20">
      <c r="A50" t="s">
        <v>129</v>
      </c>
      <c r="B50" t="s">
        <v>130</v>
      </c>
      <c r="C50" s="3">
        <v>330</v>
      </c>
      <c r="D50" s="3"/>
      <c r="E50" s="3">
        <v>700</v>
      </c>
      <c r="F50" s="3"/>
      <c r="G50" s="3">
        <f t="shared" si="0"/>
        <v>231000</v>
      </c>
      <c r="H50" s="3" t="e">
        <f ca="1">IF(_xludf.TEXTJOIN("; ",TRUE,D50,F50)="","",_xludf.TEXTJOIN("; ",TRUE,D50,F50))</f>
        <v>#NAME?</v>
      </c>
      <c r="I50" s="3">
        <v>326</v>
      </c>
      <c r="J50" s="3"/>
      <c r="K50" s="3">
        <v>707</v>
      </c>
      <c r="L50" s="3"/>
      <c r="M50" s="3">
        <f t="shared" si="1"/>
        <v>230482</v>
      </c>
      <c r="N50" s="3" t="e">
        <f ca="1">IF(_xludf.TEXTJOIN("; ",TRUE,J50,L50)="","",_xludf.TEXTJOIN("; ",TRUE,J50,L50))</f>
        <v>#NAME?</v>
      </c>
      <c r="O50" s="3">
        <v>328</v>
      </c>
      <c r="P50" s="3"/>
      <c r="Q50" s="3">
        <v>696</v>
      </c>
      <c r="R50" s="3"/>
      <c r="S50" s="3">
        <f t="shared" si="2"/>
        <v>228288</v>
      </c>
      <c r="T50" s="3" t="e">
        <f ca="1">IF(_xludf.TEXTJOIN("; ",TRUE,P50,R50)="","",_xludf.TEXTJOIN("; ",TRUE,P50,R50))</f>
        <v>#NAME?</v>
      </c>
    </row>
    <row r="51" spans="1:20">
      <c r="A51" t="s">
        <v>131</v>
      </c>
      <c r="B51" t="s">
        <v>132</v>
      </c>
      <c r="C51" s="3">
        <v>519</v>
      </c>
      <c r="D51" s="3"/>
      <c r="E51" s="3">
        <v>293</v>
      </c>
      <c r="F51" s="3"/>
      <c r="G51" s="3">
        <f t="shared" si="0"/>
        <v>152067</v>
      </c>
      <c r="H51" s="3" t="e">
        <f ca="1">IF(_xludf.TEXTJOIN("; ",TRUE,D51,F51)="","",_xludf.TEXTJOIN("; ",TRUE,D51,F51))</f>
        <v>#NAME?</v>
      </c>
      <c r="I51" s="3">
        <v>525</v>
      </c>
      <c r="J51" s="3"/>
      <c r="K51" s="3">
        <v>291</v>
      </c>
      <c r="L51" s="3"/>
      <c r="M51" s="3">
        <f t="shared" si="1"/>
        <v>152775</v>
      </c>
      <c r="N51" s="3" t="e">
        <f ca="1">IF(_xludf.TEXTJOIN("; ",TRUE,J51,L51)="","",_xludf.TEXTJOIN("; ",TRUE,J51,L51))</f>
        <v>#NAME?</v>
      </c>
      <c r="O51" s="3">
        <v>533</v>
      </c>
      <c r="P51" s="3"/>
      <c r="Q51" s="3">
        <v>285</v>
      </c>
      <c r="R51" s="3"/>
      <c r="S51" s="3">
        <f t="shared" si="2"/>
        <v>151905</v>
      </c>
      <c r="T51" s="3" t="e">
        <f ca="1">IF(_xludf.TEXTJOIN("; ",TRUE,P51,R51)="","",_xludf.TEXTJOIN("; ",TRUE,P51,R51))</f>
        <v>#NAME?</v>
      </c>
    </row>
    <row r="52" spans="1:20">
      <c r="A52" t="s">
        <v>133</v>
      </c>
      <c r="B52" t="s">
        <v>134</v>
      </c>
      <c r="C52" s="3">
        <v>283</v>
      </c>
      <c r="D52" s="3"/>
      <c r="E52" s="3">
        <v>157</v>
      </c>
      <c r="F52" s="3"/>
      <c r="G52" s="3">
        <f t="shared" si="0"/>
        <v>44431</v>
      </c>
      <c r="H52" s="3" t="e">
        <f ca="1">IF(_xludf.TEXTJOIN("; ",TRUE,D52,F52)="","",_xludf.TEXTJOIN("; ",TRUE,D52,F52))</f>
        <v>#NAME?</v>
      </c>
      <c r="I52" s="3">
        <v>263</v>
      </c>
      <c r="J52" s="3"/>
      <c r="K52" s="3">
        <v>162</v>
      </c>
      <c r="L52" s="3"/>
      <c r="M52" s="3">
        <f t="shared" si="1"/>
        <v>42606</v>
      </c>
      <c r="N52" s="3" t="e">
        <f ca="1">IF(_xludf.TEXTJOIN("; ",TRUE,J52,L52)="","",_xludf.TEXTJOIN("; ",TRUE,J52,L52))</f>
        <v>#NAME?</v>
      </c>
      <c r="O52" s="3">
        <v>263</v>
      </c>
      <c r="P52" s="3"/>
      <c r="Q52" s="3">
        <v>158</v>
      </c>
      <c r="R52" s="3"/>
      <c r="S52" s="3">
        <f t="shared" si="2"/>
        <v>41554</v>
      </c>
      <c r="T52" s="3" t="e">
        <f ca="1">IF(_xludf.TEXTJOIN("; ",TRUE,P52,R52)="","",_xludf.TEXTJOIN("; ",TRUE,P52,R52))</f>
        <v>#NAME?</v>
      </c>
    </row>
    <row r="53" spans="1:20">
      <c r="A53" t="s">
        <v>135</v>
      </c>
      <c r="B53" t="s">
        <v>136</v>
      </c>
      <c r="C53" s="3">
        <v>88</v>
      </c>
      <c r="D53" s="3"/>
      <c r="E53" s="3">
        <v>119</v>
      </c>
      <c r="F53" s="3"/>
      <c r="G53" s="3">
        <f t="shared" si="0"/>
        <v>10472</v>
      </c>
      <c r="H53" s="3" t="e">
        <f ca="1">IF(_xludf.TEXTJOIN("; ",TRUE,D53,F53)="","",_xludf.TEXTJOIN("; ",TRUE,D53,F53))</f>
        <v>#NAME?</v>
      </c>
      <c r="I53" s="3">
        <v>85</v>
      </c>
      <c r="J53" s="3"/>
      <c r="K53" s="3">
        <v>117</v>
      </c>
      <c r="L53" s="3"/>
      <c r="M53" s="3">
        <f t="shared" si="1"/>
        <v>9945</v>
      </c>
      <c r="N53" s="3" t="e">
        <f ca="1">IF(_xludf.TEXTJOIN("; ",TRUE,J53,L53)="","",_xludf.TEXTJOIN("; ",TRUE,J53,L53))</f>
        <v>#NAME?</v>
      </c>
      <c r="O53" s="3">
        <v>81</v>
      </c>
      <c r="P53" s="3"/>
      <c r="Q53" s="3">
        <v>125</v>
      </c>
      <c r="R53" s="3"/>
      <c r="S53" s="3">
        <f t="shared" si="2"/>
        <v>10125</v>
      </c>
      <c r="T53" s="3" t="e">
        <f ca="1">IF(_xludf.TEXTJOIN("; ",TRUE,P53,R53)="","",_xludf.TEXTJOIN("; ",TRUE,P53,R53))</f>
        <v>#NAME?</v>
      </c>
    </row>
    <row r="54" spans="1:20">
      <c r="A54" t="s">
        <v>137</v>
      </c>
      <c r="B54" t="s">
        <v>138</v>
      </c>
      <c r="C54" s="3">
        <v>185</v>
      </c>
      <c r="D54" s="3"/>
      <c r="E54" s="3">
        <v>131</v>
      </c>
      <c r="F54" s="3"/>
      <c r="G54" s="3">
        <f t="shared" si="0"/>
        <v>24235</v>
      </c>
      <c r="H54" s="3" t="e">
        <f ca="1">IF(_xludf.TEXTJOIN("; ",TRUE,D54,F54)="","",_xludf.TEXTJOIN("; ",TRUE,D54,F54))</f>
        <v>#NAME?</v>
      </c>
      <c r="I54" s="3">
        <v>180</v>
      </c>
      <c r="J54" s="3"/>
      <c r="K54" s="3">
        <v>137</v>
      </c>
      <c r="L54" s="3"/>
      <c r="M54" s="3">
        <f t="shared" si="1"/>
        <v>24660</v>
      </c>
      <c r="N54" s="3" t="e">
        <f ca="1">IF(_xludf.TEXTJOIN("; ",TRUE,J54,L54)="","",_xludf.TEXTJOIN("; ",TRUE,J54,L54))</f>
        <v>#NAME?</v>
      </c>
      <c r="O54" s="3">
        <v>195</v>
      </c>
      <c r="P54" s="3"/>
      <c r="Q54" s="3">
        <v>128</v>
      </c>
      <c r="R54" s="3"/>
      <c r="S54" s="3">
        <f t="shared" si="2"/>
        <v>24960</v>
      </c>
      <c r="T54" s="3" t="e">
        <f ca="1">IF(_xludf.TEXTJOIN("; ",TRUE,P54,R54)="","",_xludf.TEXTJOIN("; ",TRUE,P54,R54))</f>
        <v>#NAME?</v>
      </c>
    </row>
    <row r="55" spans="1:20">
      <c r="A55" t="s">
        <v>139</v>
      </c>
      <c r="B55" t="s">
        <v>140</v>
      </c>
      <c r="C55" s="3">
        <v>346</v>
      </c>
      <c r="D55" s="3"/>
      <c r="E55" s="3">
        <v>651</v>
      </c>
      <c r="F55" s="3"/>
      <c r="G55" s="3">
        <f t="shared" si="0"/>
        <v>225246</v>
      </c>
      <c r="H55" s="3" t="e">
        <f ca="1">IF(_xludf.TEXTJOIN("; ",TRUE,D55,F55)="","",_xludf.TEXTJOIN("; ",TRUE,D55,F55))</f>
        <v>#NAME?</v>
      </c>
      <c r="I55" s="3">
        <v>322</v>
      </c>
      <c r="J55" s="3"/>
      <c r="K55" s="3">
        <v>668</v>
      </c>
      <c r="L55" s="3"/>
      <c r="M55" s="3">
        <f t="shared" si="1"/>
        <v>215096</v>
      </c>
      <c r="N55" s="3" t="e">
        <f ca="1">IF(_xludf.TEXTJOIN("; ",TRUE,J55,L55)="","",_xludf.TEXTJOIN("; ",TRUE,J55,L55))</f>
        <v>#NAME?</v>
      </c>
      <c r="O55" s="3">
        <v>318</v>
      </c>
      <c r="P55" s="3"/>
      <c r="Q55" s="3">
        <v>669</v>
      </c>
      <c r="R55" s="3"/>
      <c r="S55" s="3">
        <f t="shared" si="2"/>
        <v>212742</v>
      </c>
      <c r="T55" s="3" t="e">
        <f ca="1">IF(_xludf.TEXTJOIN("; ",TRUE,P55,R55)="","",_xludf.TEXTJOIN("; ",TRUE,P55,R55))</f>
        <v>#NAME?</v>
      </c>
    </row>
    <row r="56" spans="1:20">
      <c r="A56" t="s">
        <v>141</v>
      </c>
      <c r="B56" t="s">
        <v>142</v>
      </c>
      <c r="C56" s="3">
        <v>488</v>
      </c>
      <c r="D56" s="3"/>
      <c r="E56" s="3">
        <v>230</v>
      </c>
      <c r="F56" s="3"/>
      <c r="G56" s="3">
        <f t="shared" si="0"/>
        <v>112240</v>
      </c>
      <c r="H56" s="3" t="e">
        <f ca="1">IF(_xludf.TEXTJOIN("; ",TRUE,D56,F56)="","",_xludf.TEXTJOIN("; ",TRUE,D56,F56))</f>
        <v>#NAME?</v>
      </c>
      <c r="I56" s="3">
        <v>446</v>
      </c>
      <c r="J56" s="3"/>
      <c r="K56" s="3">
        <v>235</v>
      </c>
      <c r="L56" s="3"/>
      <c r="M56" s="3">
        <f t="shared" si="1"/>
        <v>104810</v>
      </c>
      <c r="N56" s="3" t="e">
        <f ca="1">IF(_xludf.TEXTJOIN("; ",TRUE,J56,L56)="","",_xludf.TEXTJOIN("; ",TRUE,J56,L56))</f>
        <v>#NAME?</v>
      </c>
      <c r="O56" s="3">
        <v>435</v>
      </c>
      <c r="P56" s="3"/>
      <c r="Q56" s="3">
        <v>240</v>
      </c>
      <c r="R56" s="3"/>
      <c r="S56" s="3">
        <f t="shared" si="2"/>
        <v>104400</v>
      </c>
      <c r="T56" s="3" t="e">
        <f ca="1">IF(_xludf.TEXTJOIN("; ",TRUE,P56,R56)="","",_xludf.TEXTJOIN("; ",TRUE,P56,R56))</f>
        <v>#NAME?</v>
      </c>
    </row>
    <row r="57" spans="1:20">
      <c r="A57" t="s">
        <v>143</v>
      </c>
      <c r="B57" t="s">
        <v>144</v>
      </c>
      <c r="C57" s="3">
        <v>502</v>
      </c>
      <c r="D57" s="3"/>
      <c r="E57" s="3">
        <v>72</v>
      </c>
      <c r="F57" s="3"/>
      <c r="G57" s="3">
        <f t="shared" si="0"/>
        <v>36144</v>
      </c>
      <c r="H57" s="3" t="e">
        <f ca="1">IF(_xludf.TEXTJOIN("; ",TRUE,D57,F57)="","",_xludf.TEXTJOIN("; ",TRUE,D57,F57))</f>
        <v>#NAME?</v>
      </c>
      <c r="I57" s="3">
        <v>479</v>
      </c>
      <c r="J57" s="3"/>
      <c r="K57" s="3">
        <v>79</v>
      </c>
      <c r="L57" s="3"/>
      <c r="M57" s="3">
        <f t="shared" si="1"/>
        <v>37841</v>
      </c>
      <c r="N57" s="3" t="e">
        <f ca="1">IF(_xludf.TEXTJOIN("; ",TRUE,J57,L57)="","",_xludf.TEXTJOIN("; ",TRUE,J57,L57))</f>
        <v>#NAME?</v>
      </c>
      <c r="O57" s="3">
        <v>460</v>
      </c>
      <c r="P57" s="3"/>
      <c r="Q57" s="3">
        <v>81</v>
      </c>
      <c r="R57" s="3"/>
      <c r="S57" s="3">
        <f t="shared" si="2"/>
        <v>37260</v>
      </c>
      <c r="T57" s="3" t="e">
        <f ca="1">IF(_xludf.TEXTJOIN("; ",TRUE,P57,R57)="","",_xludf.TEXTJOIN("; ",TRUE,P57,R57))</f>
        <v>#NAME?</v>
      </c>
    </row>
    <row r="58" spans="1:20">
      <c r="A58" t="s">
        <v>145</v>
      </c>
      <c r="B58" t="s">
        <v>146</v>
      </c>
      <c r="C58" s="3">
        <v>247</v>
      </c>
      <c r="D58" s="3"/>
      <c r="E58" s="3">
        <v>72</v>
      </c>
      <c r="F58" s="3"/>
      <c r="G58" s="3">
        <f t="shared" si="0"/>
        <v>17784</v>
      </c>
      <c r="H58" s="3" t="e">
        <f ca="1">IF(_xludf.TEXTJOIN("; ",TRUE,D58,F58)="","",_xludf.TEXTJOIN("; ",TRUE,D58,F58))</f>
        <v>#NAME?</v>
      </c>
      <c r="I58" s="3">
        <v>230</v>
      </c>
      <c r="J58" s="3"/>
      <c r="K58" s="3">
        <v>74</v>
      </c>
      <c r="L58" s="3"/>
      <c r="M58" s="3">
        <f t="shared" si="1"/>
        <v>17020</v>
      </c>
      <c r="N58" s="3" t="e">
        <f ca="1">IF(_xludf.TEXTJOIN("; ",TRUE,J58,L58)="","",_xludf.TEXTJOIN("; ",TRUE,J58,L58))</f>
        <v>#NAME?</v>
      </c>
      <c r="O58" s="3">
        <v>252</v>
      </c>
      <c r="P58" s="3"/>
      <c r="Q58" s="3">
        <v>68</v>
      </c>
      <c r="R58" s="3"/>
      <c r="S58" s="3">
        <f t="shared" si="2"/>
        <v>17136</v>
      </c>
      <c r="T58" s="3" t="e">
        <f ca="1">IF(_xludf.TEXTJOIN("; ",TRUE,P58,R58)="","",_xludf.TEXTJOIN("; ",TRUE,P58,R58))</f>
        <v>#NAME?</v>
      </c>
    </row>
    <row r="59" spans="1:20">
      <c r="A59" t="s">
        <v>147</v>
      </c>
      <c r="B59" t="s">
        <v>148</v>
      </c>
      <c r="C59" s="3">
        <v>198</v>
      </c>
      <c r="D59" s="3"/>
      <c r="E59" s="3">
        <v>47</v>
      </c>
      <c r="F59" s="3"/>
      <c r="G59" s="3">
        <f t="shared" si="0"/>
        <v>9306</v>
      </c>
      <c r="H59" s="3" t="e">
        <f ca="1">IF(_xludf.TEXTJOIN("; ",TRUE,D59,F59)="","",_xludf.TEXTJOIN("; ",TRUE,D59,F59))</f>
        <v>#NAME?</v>
      </c>
      <c r="I59" s="3">
        <v>177</v>
      </c>
      <c r="J59" s="3"/>
      <c r="K59" s="3">
        <v>51</v>
      </c>
      <c r="L59" s="3"/>
      <c r="M59" s="3">
        <f t="shared" si="1"/>
        <v>9027</v>
      </c>
      <c r="N59" s="3" t="e">
        <f ca="1">IF(_xludf.TEXTJOIN("; ",TRUE,J59,L59)="","",_xludf.TEXTJOIN("; ",TRUE,J59,L59))</f>
        <v>#NAME?</v>
      </c>
      <c r="O59" s="3">
        <v>170</v>
      </c>
      <c r="P59" s="3"/>
      <c r="Q59" s="3">
        <v>51</v>
      </c>
      <c r="R59" s="3"/>
      <c r="S59" s="3">
        <f t="shared" si="2"/>
        <v>8670</v>
      </c>
      <c r="T59" s="3" t="e">
        <f ca="1">IF(_xludf.TEXTJOIN("; ",TRUE,P59,R59)="","",_xludf.TEXTJOIN("; ",TRUE,P59,R59))</f>
        <v>#NAME?</v>
      </c>
    </row>
    <row r="60" spans="1:20">
      <c r="A60" t="s">
        <v>149</v>
      </c>
      <c r="B60" t="s">
        <v>150</v>
      </c>
      <c r="C60" s="3">
        <v>144</v>
      </c>
      <c r="D60" s="3"/>
      <c r="E60" s="3">
        <v>66</v>
      </c>
      <c r="F60" s="3"/>
      <c r="G60" s="3">
        <f t="shared" si="0"/>
        <v>9504</v>
      </c>
      <c r="H60" s="3" t="e">
        <f ca="1">IF(_xludf.TEXTJOIN("; ",TRUE,D60,F60)="","",_xludf.TEXTJOIN("; ",TRUE,D60,F60))</f>
        <v>#NAME?</v>
      </c>
      <c r="I60" s="3">
        <v>134</v>
      </c>
      <c r="J60" s="3"/>
      <c r="K60" s="3">
        <v>64</v>
      </c>
      <c r="L60" s="3"/>
      <c r="M60" s="3">
        <f t="shared" si="1"/>
        <v>8576</v>
      </c>
      <c r="N60" s="3" t="e">
        <f ca="1">IF(_xludf.TEXTJOIN("; ",TRUE,J60,L60)="","",_xludf.TEXTJOIN("; ",TRUE,J60,L60))</f>
        <v>#NAME?</v>
      </c>
      <c r="O60" s="3">
        <v>125</v>
      </c>
      <c r="P60" s="3"/>
      <c r="Q60" s="3">
        <v>62</v>
      </c>
      <c r="R60" s="3"/>
      <c r="S60" s="3">
        <f t="shared" si="2"/>
        <v>7750</v>
      </c>
      <c r="T60" s="3" t="e">
        <f ca="1">IF(_xludf.TEXTJOIN("; ",TRUE,P60,R60)="","",_xludf.TEXTJOIN("; ",TRUE,P60,R60))</f>
        <v>#NAME?</v>
      </c>
    </row>
    <row r="61" spans="1:20">
      <c r="A61" t="s">
        <v>151</v>
      </c>
      <c r="B61" t="s">
        <v>152</v>
      </c>
      <c r="C61" s="3">
        <v>347</v>
      </c>
      <c r="D61" s="3"/>
      <c r="E61" s="3">
        <v>59</v>
      </c>
      <c r="F61" s="3"/>
      <c r="G61" s="3">
        <f t="shared" si="0"/>
        <v>20473</v>
      </c>
      <c r="H61" s="3" t="e">
        <f ca="1">IF(_xludf.TEXTJOIN("; ",TRUE,D61,F61)="","",_xludf.TEXTJOIN("; ",TRUE,D61,F61))</f>
        <v>#NAME?</v>
      </c>
      <c r="I61" s="3">
        <v>329</v>
      </c>
      <c r="J61" s="3"/>
      <c r="K61" s="3">
        <v>60</v>
      </c>
      <c r="L61" s="3"/>
      <c r="M61" s="3">
        <f t="shared" si="1"/>
        <v>19740</v>
      </c>
      <c r="N61" s="3" t="e">
        <f ca="1">IF(_xludf.TEXTJOIN("; ",TRUE,J61,L61)="","",_xludf.TEXTJOIN("; ",TRUE,J61,L61))</f>
        <v>#NAME?</v>
      </c>
      <c r="O61" s="3">
        <v>321</v>
      </c>
      <c r="P61" s="3"/>
      <c r="Q61" s="3">
        <v>60</v>
      </c>
      <c r="R61" s="3"/>
      <c r="S61" s="3">
        <f t="shared" si="2"/>
        <v>19260</v>
      </c>
      <c r="T61" s="3" t="e">
        <f ca="1">IF(_xludf.TEXTJOIN("; ",TRUE,P61,R61)="","",_xludf.TEXTJOIN("; ",TRUE,P61,R61))</f>
        <v>#NAME?</v>
      </c>
    </row>
    <row r="62" spans="1:20">
      <c r="A62" t="s">
        <v>153</v>
      </c>
      <c r="B62" t="s">
        <v>154</v>
      </c>
      <c r="C62" s="3">
        <v>188</v>
      </c>
      <c r="D62" s="3"/>
      <c r="E62" s="3">
        <v>105</v>
      </c>
      <c r="F62" s="3"/>
      <c r="G62" s="3">
        <f t="shared" si="0"/>
        <v>19740</v>
      </c>
      <c r="H62" s="3" t="e">
        <f ca="1">IF(_xludf.TEXTJOIN("; ",TRUE,D62,F62)="","",_xludf.TEXTJOIN("; ",TRUE,D62,F62))</f>
        <v>#NAME?</v>
      </c>
      <c r="I62" s="3">
        <v>169</v>
      </c>
      <c r="J62" s="3"/>
      <c r="K62" s="3">
        <v>105</v>
      </c>
      <c r="L62" s="3"/>
      <c r="M62" s="3">
        <f t="shared" si="1"/>
        <v>17745</v>
      </c>
      <c r="N62" s="3" t="e">
        <f ca="1">IF(_xludf.TEXTJOIN("; ",TRUE,J62,L62)="","",_xludf.TEXTJOIN("; ",TRUE,J62,L62))</f>
        <v>#NAME?</v>
      </c>
      <c r="O62" s="3">
        <v>170</v>
      </c>
      <c r="P62" s="3"/>
      <c r="Q62" s="3">
        <v>107</v>
      </c>
      <c r="R62" s="3"/>
      <c r="S62" s="3">
        <f t="shared" si="2"/>
        <v>18190</v>
      </c>
      <c r="T62" s="3" t="e">
        <f ca="1">IF(_xludf.TEXTJOIN("; ",TRUE,P62,R62)="","",_xludf.TEXTJOIN("; ",TRUE,P62,R62))</f>
        <v>#NAME?</v>
      </c>
    </row>
    <row r="63" spans="1:20">
      <c r="A63" t="s">
        <v>155</v>
      </c>
      <c r="B63" t="s">
        <v>156</v>
      </c>
      <c r="C63" s="3">
        <v>86</v>
      </c>
      <c r="D63" s="3"/>
      <c r="E63" s="3">
        <v>41</v>
      </c>
      <c r="F63" s="3"/>
      <c r="G63" s="3">
        <f t="shared" si="0"/>
        <v>3526</v>
      </c>
      <c r="H63" s="3" t="e">
        <f ca="1">IF(_xludf.TEXTJOIN("; ",TRUE,D63,F63)="","",_xludf.TEXTJOIN("; ",TRUE,D63,F63))</f>
        <v>#NAME?</v>
      </c>
      <c r="I63" s="3">
        <v>76</v>
      </c>
      <c r="J63" s="3"/>
      <c r="K63" s="3">
        <v>44</v>
      </c>
      <c r="L63" s="3"/>
      <c r="M63" s="3">
        <f t="shared" si="1"/>
        <v>3344</v>
      </c>
      <c r="N63" s="3" t="e">
        <f ca="1">IF(_xludf.TEXTJOIN("; ",TRUE,J63,L63)="","",_xludf.TEXTJOIN("; ",TRUE,J63,L63))</f>
        <v>#NAME?</v>
      </c>
      <c r="O63" s="3">
        <v>71</v>
      </c>
      <c r="P63" s="3"/>
      <c r="Q63" s="3">
        <v>45</v>
      </c>
      <c r="R63" s="3"/>
      <c r="S63" s="3">
        <f t="shared" si="2"/>
        <v>3195</v>
      </c>
      <c r="T63" s="3" t="e">
        <f ca="1">IF(_xludf.TEXTJOIN("; ",TRUE,P63,R63)="","",_xludf.TEXTJOIN("; ",TRUE,P63,R63))</f>
        <v>#NAME?</v>
      </c>
    </row>
    <row r="64" spans="1:20">
      <c r="A64" t="s">
        <v>157</v>
      </c>
      <c r="B64" t="s">
        <v>156</v>
      </c>
      <c r="C64" s="3">
        <v>86</v>
      </c>
      <c r="D64" s="3"/>
      <c r="E64" s="3">
        <v>41</v>
      </c>
      <c r="F64" s="3"/>
      <c r="G64" s="3">
        <f t="shared" si="0"/>
        <v>3526</v>
      </c>
      <c r="H64" s="3" t="e">
        <f ca="1">IF(_xludf.TEXTJOIN("; ",TRUE,D64,F64)="","",_xludf.TEXTJOIN("; ",TRUE,D64,F64))</f>
        <v>#NAME?</v>
      </c>
      <c r="I64" s="3">
        <v>76</v>
      </c>
      <c r="J64" s="3"/>
      <c r="K64" s="3">
        <v>44</v>
      </c>
      <c r="L64" s="3"/>
      <c r="M64" s="3">
        <f t="shared" si="1"/>
        <v>3344</v>
      </c>
      <c r="N64" s="3" t="e">
        <f ca="1">IF(_xludf.TEXTJOIN("; ",TRUE,J64,L64)="","",_xludf.TEXTJOIN("; ",TRUE,J64,L64))</f>
        <v>#NAME?</v>
      </c>
      <c r="O64" s="3">
        <v>71</v>
      </c>
      <c r="P64" s="3"/>
      <c r="Q64" s="3">
        <v>45</v>
      </c>
      <c r="R64" s="3"/>
      <c r="S64" s="3">
        <f t="shared" si="2"/>
        <v>3195</v>
      </c>
      <c r="T64" s="3" t="e">
        <f ca="1">IF(_xludf.TEXTJOIN("; ",TRUE,P64,R64)="","",_xludf.TEXTJOIN("; ",TRUE,P64,R64))</f>
        <v>#NAME?</v>
      </c>
    </row>
    <row r="65" spans="1:20">
      <c r="A65" t="s">
        <v>158</v>
      </c>
      <c r="B65" t="s">
        <v>159</v>
      </c>
      <c r="C65" s="3">
        <v>212</v>
      </c>
      <c r="D65" s="3"/>
      <c r="E65" s="3">
        <v>72</v>
      </c>
      <c r="F65" s="3"/>
      <c r="G65" s="3">
        <f t="shared" si="0"/>
        <v>15264</v>
      </c>
      <c r="H65" s="3" t="e">
        <f ca="1">IF(_xludf.TEXTJOIN("; ",TRUE,D65,F65)="","",_xludf.TEXTJOIN("; ",TRUE,D65,F65))</f>
        <v>#NAME?</v>
      </c>
      <c r="I65" s="3">
        <v>203</v>
      </c>
      <c r="J65" s="3"/>
      <c r="K65" s="3">
        <v>76</v>
      </c>
      <c r="L65" s="3"/>
      <c r="M65" s="3">
        <f t="shared" si="1"/>
        <v>15428</v>
      </c>
      <c r="N65" s="3" t="e">
        <f ca="1">IF(_xludf.TEXTJOIN("; ",TRUE,J65,L65)="","",_xludf.TEXTJOIN("; ",TRUE,J65,L65))</f>
        <v>#NAME?</v>
      </c>
      <c r="O65" s="3">
        <v>225</v>
      </c>
      <c r="P65" s="3"/>
      <c r="Q65" s="3">
        <v>80</v>
      </c>
      <c r="R65" s="3"/>
      <c r="S65" s="3">
        <f t="shared" si="2"/>
        <v>18000</v>
      </c>
      <c r="T65" s="3" t="e">
        <f ca="1">IF(_xludf.TEXTJOIN("; ",TRUE,P65,R65)="","",_xludf.TEXTJOIN("; ",TRUE,P65,R65))</f>
        <v>#NAME?</v>
      </c>
    </row>
    <row r="66" spans="1:20">
      <c r="A66" t="s">
        <v>160</v>
      </c>
      <c r="B66" t="s">
        <v>159</v>
      </c>
      <c r="C66" s="3">
        <v>212</v>
      </c>
      <c r="D66" s="3"/>
      <c r="E66" s="3">
        <v>72</v>
      </c>
      <c r="F66" s="3"/>
      <c r="G66" s="3">
        <f t="shared" ref="G66:G129" si="3">IF(OR(C66="",C66=":",E66="",E66=":"),"",C66*E66)</f>
        <v>15264</v>
      </c>
      <c r="H66" s="3" t="e">
        <f ca="1">IF(_xludf.TEXTJOIN("; ",TRUE,D66,F66)="","",_xludf.TEXTJOIN("; ",TRUE,D66,F66))</f>
        <v>#NAME?</v>
      </c>
      <c r="I66" s="3">
        <v>203</v>
      </c>
      <c r="J66" s="3"/>
      <c r="K66" s="3">
        <v>76</v>
      </c>
      <c r="L66" s="3"/>
      <c r="M66" s="3">
        <f t="shared" ref="M66:M129" si="4">IF(OR(I66="",I66=":",K66="",K66=":"),"",I66*K66)</f>
        <v>15428</v>
      </c>
      <c r="N66" s="3" t="e">
        <f ca="1">IF(_xludf.TEXTJOIN("; ",TRUE,J66,L66)="","",_xludf.TEXTJOIN("; ",TRUE,J66,L66))</f>
        <v>#NAME?</v>
      </c>
      <c r="O66" s="3">
        <v>225</v>
      </c>
      <c r="P66" s="3"/>
      <c r="Q66" s="3">
        <v>80</v>
      </c>
      <c r="R66" s="3"/>
      <c r="S66" s="3">
        <f t="shared" ref="S66:S129" si="5">IF(OR(O66="",O66=":",Q66="",Q66=":"),"",O66*Q66)</f>
        <v>18000</v>
      </c>
      <c r="T66" s="3" t="e">
        <f ca="1">IF(_xludf.TEXTJOIN("; ",TRUE,P66,R66)="","",_xludf.TEXTJOIN("; ",TRUE,P66,R66))</f>
        <v>#NAME?</v>
      </c>
    </row>
    <row r="67" spans="1:20">
      <c r="A67" t="s">
        <v>161</v>
      </c>
      <c r="B67" t="s">
        <v>162</v>
      </c>
      <c r="C67" s="3">
        <v>533</v>
      </c>
      <c r="D67" s="3"/>
      <c r="E67" s="3">
        <v>31</v>
      </c>
      <c r="F67" s="3"/>
      <c r="G67" s="3">
        <f t="shared" si="3"/>
        <v>16523</v>
      </c>
      <c r="H67" s="3" t="e">
        <f ca="1">IF(_xludf.TEXTJOIN("; ",TRUE,D67,F67)="","",_xludf.TEXTJOIN("; ",TRUE,D67,F67))</f>
        <v>#NAME?</v>
      </c>
      <c r="I67" s="3">
        <v>566</v>
      </c>
      <c r="J67" s="3"/>
      <c r="K67" s="3">
        <v>29</v>
      </c>
      <c r="L67" s="3"/>
      <c r="M67" s="3">
        <f t="shared" si="4"/>
        <v>16414</v>
      </c>
      <c r="N67" s="3" t="e">
        <f ca="1">IF(_xludf.TEXTJOIN("; ",TRUE,J67,L67)="","",_xludf.TEXTJOIN("; ",TRUE,J67,L67))</f>
        <v>#NAME?</v>
      </c>
      <c r="O67" s="3">
        <v>561</v>
      </c>
      <c r="P67" s="3"/>
      <c r="Q67" s="3">
        <v>28</v>
      </c>
      <c r="R67" s="3"/>
      <c r="S67" s="3">
        <f t="shared" si="5"/>
        <v>15708</v>
      </c>
      <c r="T67" s="3" t="e">
        <f ca="1">IF(_xludf.TEXTJOIN("; ",TRUE,P67,R67)="","",_xludf.TEXTJOIN("; ",TRUE,P67,R67))</f>
        <v>#NAME?</v>
      </c>
    </row>
    <row r="68" spans="1:20">
      <c r="A68" t="s">
        <v>163</v>
      </c>
      <c r="B68" t="s">
        <v>162</v>
      </c>
      <c r="C68" s="3">
        <v>533</v>
      </c>
      <c r="D68" s="3"/>
      <c r="E68" s="3">
        <v>31</v>
      </c>
      <c r="F68" s="3"/>
      <c r="G68" s="3">
        <f t="shared" si="3"/>
        <v>16523</v>
      </c>
      <c r="H68" s="3" t="e">
        <f ca="1">IF(_xludf.TEXTJOIN("; ",TRUE,D68,F68)="","",_xludf.TEXTJOIN("; ",TRUE,D68,F68))</f>
        <v>#NAME?</v>
      </c>
      <c r="I68" s="3">
        <v>566</v>
      </c>
      <c r="J68" s="3"/>
      <c r="K68" s="3">
        <v>29</v>
      </c>
      <c r="L68" s="3"/>
      <c r="M68" s="3">
        <f t="shared" si="4"/>
        <v>16414</v>
      </c>
      <c r="N68" s="3" t="e">
        <f ca="1">IF(_xludf.TEXTJOIN("; ",TRUE,J68,L68)="","",_xludf.TEXTJOIN("; ",TRUE,J68,L68))</f>
        <v>#NAME?</v>
      </c>
      <c r="O68" s="3">
        <v>561</v>
      </c>
      <c r="P68" s="3"/>
      <c r="Q68" s="3">
        <v>28</v>
      </c>
      <c r="R68" s="3"/>
      <c r="S68" s="3">
        <f t="shared" si="5"/>
        <v>15708</v>
      </c>
      <c r="T68" s="3" t="e">
        <f ca="1">IF(_xludf.TEXTJOIN("; ",TRUE,P68,R68)="","",_xludf.TEXTJOIN("; ",TRUE,P68,R68))</f>
        <v>#NAME?</v>
      </c>
    </row>
    <row r="69" spans="1:20">
      <c r="A69" t="s">
        <v>164</v>
      </c>
      <c r="B69" t="s">
        <v>165</v>
      </c>
      <c r="C69" s="3" t="s">
        <v>43</v>
      </c>
      <c r="D69" s="3" t="s">
        <v>44</v>
      </c>
      <c r="E69" s="3">
        <v>31</v>
      </c>
      <c r="F69" s="3"/>
      <c r="G69" s="3" t="str">
        <f t="shared" si="3"/>
        <v/>
      </c>
      <c r="H69" s="3" t="e">
        <f ca="1">IF(_xludf.TEXTJOIN("; ",TRUE,D69,F69)="","",_xludf.TEXTJOIN("; ",TRUE,D69,F69))</f>
        <v>#NAME?</v>
      </c>
      <c r="I69" s="3" t="s">
        <v>43</v>
      </c>
      <c r="J69" s="3" t="s">
        <v>44</v>
      </c>
      <c r="K69" s="3">
        <v>28</v>
      </c>
      <c r="L69" s="3"/>
      <c r="M69" s="3" t="str">
        <f t="shared" si="4"/>
        <v/>
      </c>
      <c r="N69" s="3" t="e">
        <f ca="1">IF(_xludf.TEXTJOIN("; ",TRUE,J69,L69)="","",_xludf.TEXTJOIN("; ",TRUE,J69,L69))</f>
        <v>#NAME?</v>
      </c>
      <c r="O69" s="3">
        <v>79</v>
      </c>
      <c r="P69" s="3"/>
      <c r="Q69" s="3">
        <v>31</v>
      </c>
      <c r="R69" s="3"/>
      <c r="S69" s="3">
        <f t="shared" si="5"/>
        <v>2449</v>
      </c>
      <c r="T69" s="3" t="e">
        <f ca="1">IF(_xludf.TEXTJOIN("; ",TRUE,P69,R69)="","",_xludf.TEXTJOIN("; ",TRUE,P69,R69))</f>
        <v>#NAME?</v>
      </c>
    </row>
    <row r="70" spans="1:20">
      <c r="A70" t="s">
        <v>166</v>
      </c>
      <c r="B70" t="s">
        <v>165</v>
      </c>
      <c r="C70" s="3" t="s">
        <v>43</v>
      </c>
      <c r="D70" s="3" t="s">
        <v>44</v>
      </c>
      <c r="E70" s="3">
        <v>31</v>
      </c>
      <c r="F70" s="3"/>
      <c r="G70" s="3" t="str">
        <f t="shared" si="3"/>
        <v/>
      </c>
      <c r="H70" s="3" t="e">
        <f ca="1">IF(_xludf.TEXTJOIN("; ",TRUE,D70,F70)="","",_xludf.TEXTJOIN("; ",TRUE,D70,F70))</f>
        <v>#NAME?</v>
      </c>
      <c r="I70" s="3" t="s">
        <v>43</v>
      </c>
      <c r="J70" s="3" t="s">
        <v>44</v>
      </c>
      <c r="K70" s="3">
        <v>28</v>
      </c>
      <c r="L70" s="3"/>
      <c r="M70" s="3" t="str">
        <f t="shared" si="4"/>
        <v/>
      </c>
      <c r="N70" s="3" t="e">
        <f ca="1">IF(_xludf.TEXTJOIN("; ",TRUE,J70,L70)="","",_xludf.TEXTJOIN("; ",TRUE,J70,L70))</f>
        <v>#NAME?</v>
      </c>
      <c r="O70" s="3">
        <v>79</v>
      </c>
      <c r="P70" s="3"/>
      <c r="Q70" s="3">
        <v>31</v>
      </c>
      <c r="R70" s="3"/>
      <c r="S70" s="3">
        <f t="shared" si="5"/>
        <v>2449</v>
      </c>
      <c r="T70" s="3" t="e">
        <f ca="1">IF(_xludf.TEXTJOIN("; ",TRUE,P70,R70)="","",_xludf.TEXTJOIN("; ",TRUE,P70,R70))</f>
        <v>#NAME?</v>
      </c>
    </row>
    <row r="71" spans="1:20">
      <c r="A71" t="s">
        <v>167</v>
      </c>
      <c r="B71" t="s">
        <v>168</v>
      </c>
      <c r="C71" s="3">
        <v>248</v>
      </c>
      <c r="D71" s="3"/>
      <c r="E71" s="3">
        <v>208</v>
      </c>
      <c r="F71" s="3"/>
      <c r="G71" s="3">
        <f t="shared" si="3"/>
        <v>51584</v>
      </c>
      <c r="H71" s="3" t="e">
        <f ca="1">IF(_xludf.TEXTJOIN("; ",TRUE,D71,F71)="","",_xludf.TEXTJOIN("; ",TRUE,D71,F71))</f>
        <v>#NAME?</v>
      </c>
      <c r="I71" s="3">
        <v>216</v>
      </c>
      <c r="J71" s="3"/>
      <c r="K71" s="3">
        <v>227</v>
      </c>
      <c r="L71" s="3"/>
      <c r="M71" s="3">
        <f t="shared" si="4"/>
        <v>49032</v>
      </c>
      <c r="N71" s="3" t="e">
        <f ca="1">IF(_xludf.TEXTJOIN("; ",TRUE,J71,L71)="","",_xludf.TEXTJOIN("; ",TRUE,J71,L71))</f>
        <v>#NAME?</v>
      </c>
      <c r="O71" s="3">
        <v>215</v>
      </c>
      <c r="P71" s="3"/>
      <c r="Q71" s="3">
        <v>220</v>
      </c>
      <c r="R71" s="3"/>
      <c r="S71" s="3">
        <f t="shared" si="5"/>
        <v>47300</v>
      </c>
      <c r="T71" s="3" t="e">
        <f ca="1">IF(_xludf.TEXTJOIN("; ",TRUE,P71,R71)="","",_xludf.TEXTJOIN("; ",TRUE,P71,R71))</f>
        <v>#NAME?</v>
      </c>
    </row>
    <row r="72" spans="1:20">
      <c r="A72" t="s">
        <v>169</v>
      </c>
      <c r="B72" t="s">
        <v>170</v>
      </c>
      <c r="C72" s="3">
        <v>199</v>
      </c>
      <c r="D72" s="3"/>
      <c r="E72" s="3">
        <v>122</v>
      </c>
      <c r="F72" s="3"/>
      <c r="G72" s="3">
        <f t="shared" si="3"/>
        <v>24278</v>
      </c>
      <c r="H72" s="3" t="e">
        <f ca="1">IF(_xludf.TEXTJOIN("; ",TRUE,D72,F72)="","",_xludf.TEXTJOIN("; ",TRUE,D72,F72))</f>
        <v>#NAME?</v>
      </c>
      <c r="I72" s="3">
        <v>166</v>
      </c>
      <c r="J72" s="3"/>
      <c r="K72" s="3">
        <v>136</v>
      </c>
      <c r="L72" s="3"/>
      <c r="M72" s="3">
        <f t="shared" si="4"/>
        <v>22576</v>
      </c>
      <c r="N72" s="3" t="e">
        <f ca="1">IF(_xludf.TEXTJOIN("; ",TRUE,J72,L72)="","",_xludf.TEXTJOIN("; ",TRUE,J72,L72))</f>
        <v>#NAME?</v>
      </c>
      <c r="O72" s="3">
        <v>162</v>
      </c>
      <c r="P72" s="3"/>
      <c r="Q72" s="3">
        <v>129</v>
      </c>
      <c r="R72" s="3"/>
      <c r="S72" s="3">
        <f t="shared" si="5"/>
        <v>20898</v>
      </c>
      <c r="T72" s="3" t="e">
        <f ca="1">IF(_xludf.TEXTJOIN("; ",TRUE,P72,R72)="","",_xludf.TEXTJOIN("; ",TRUE,P72,R72))</f>
        <v>#NAME?</v>
      </c>
    </row>
    <row r="73" spans="1:20">
      <c r="A73" t="s">
        <v>171</v>
      </c>
      <c r="B73" t="s">
        <v>172</v>
      </c>
      <c r="C73" s="3">
        <v>55</v>
      </c>
      <c r="D73" s="3"/>
      <c r="E73" s="3">
        <v>38</v>
      </c>
      <c r="F73" s="3"/>
      <c r="G73" s="3">
        <f t="shared" si="3"/>
        <v>2090</v>
      </c>
      <c r="H73" s="3" t="e">
        <f ca="1">IF(_xludf.TEXTJOIN("; ",TRUE,D73,F73)="","",_xludf.TEXTJOIN("; ",TRUE,D73,F73))</f>
        <v>#NAME?</v>
      </c>
      <c r="I73" s="3">
        <v>51</v>
      </c>
      <c r="J73" s="3"/>
      <c r="K73" s="3">
        <v>42</v>
      </c>
      <c r="L73" s="3"/>
      <c r="M73" s="3">
        <f t="shared" si="4"/>
        <v>2142</v>
      </c>
      <c r="N73" s="3" t="e">
        <f ca="1">IF(_xludf.TEXTJOIN("; ",TRUE,J73,L73)="","",_xludf.TEXTJOIN("; ",TRUE,J73,L73))</f>
        <v>#NAME?</v>
      </c>
      <c r="O73" s="3">
        <v>51</v>
      </c>
      <c r="P73" s="3"/>
      <c r="Q73" s="3">
        <v>42</v>
      </c>
      <c r="R73" s="3"/>
      <c r="S73" s="3">
        <f t="shared" si="5"/>
        <v>2142</v>
      </c>
      <c r="T73" s="3" t="e">
        <f ca="1">IF(_xludf.TEXTJOIN("; ",TRUE,P73,R73)="","",_xludf.TEXTJOIN("; ",TRUE,P73,R73))</f>
        <v>#NAME?</v>
      </c>
    </row>
    <row r="74" spans="1:20">
      <c r="A74" t="s">
        <v>173</v>
      </c>
      <c r="B74" t="s">
        <v>174</v>
      </c>
      <c r="C74" s="3">
        <v>524</v>
      </c>
      <c r="D74" s="3"/>
      <c r="E74" s="3">
        <v>48</v>
      </c>
      <c r="F74" s="3"/>
      <c r="G74" s="3">
        <f t="shared" si="3"/>
        <v>25152</v>
      </c>
      <c r="H74" s="3" t="e">
        <f ca="1">IF(_xludf.TEXTJOIN("; ",TRUE,D74,F74)="","",_xludf.TEXTJOIN("; ",TRUE,D74,F74))</f>
        <v>#NAME?</v>
      </c>
      <c r="I74" s="3">
        <v>495</v>
      </c>
      <c r="J74" s="3"/>
      <c r="K74" s="3">
        <v>49</v>
      </c>
      <c r="L74" s="3"/>
      <c r="M74" s="3">
        <f t="shared" si="4"/>
        <v>24255</v>
      </c>
      <c r="N74" s="3" t="e">
        <f ca="1">IF(_xludf.TEXTJOIN("; ",TRUE,J74,L74)="","",_xludf.TEXTJOIN("; ",TRUE,J74,L74))</f>
        <v>#NAME?</v>
      </c>
      <c r="O74" s="3">
        <v>497</v>
      </c>
      <c r="P74" s="3"/>
      <c r="Q74" s="3">
        <v>49</v>
      </c>
      <c r="R74" s="3"/>
      <c r="S74" s="3">
        <f t="shared" si="5"/>
        <v>24353</v>
      </c>
      <c r="T74" s="3" t="e">
        <f ca="1">IF(_xludf.TEXTJOIN("; ",TRUE,P74,R74)="","",_xludf.TEXTJOIN("; ",TRUE,P74,R74))</f>
        <v>#NAME?</v>
      </c>
    </row>
    <row r="75" spans="1:20">
      <c r="A75" t="s">
        <v>175</v>
      </c>
      <c r="B75" t="s">
        <v>176</v>
      </c>
      <c r="C75" s="3">
        <v>84</v>
      </c>
      <c r="D75" s="3"/>
      <c r="E75" s="3">
        <v>40</v>
      </c>
      <c r="F75" s="3"/>
      <c r="G75" s="3">
        <f t="shared" si="3"/>
        <v>3360</v>
      </c>
      <c r="H75" s="3" t="e">
        <f ca="1">IF(_xludf.TEXTJOIN("; ",TRUE,D75,F75)="","",_xludf.TEXTJOIN("; ",TRUE,D75,F75))</f>
        <v>#NAME?</v>
      </c>
      <c r="I75" s="3">
        <v>91</v>
      </c>
      <c r="J75" s="3"/>
      <c r="K75" s="3">
        <v>37</v>
      </c>
      <c r="L75" s="3"/>
      <c r="M75" s="3">
        <f t="shared" si="4"/>
        <v>3367</v>
      </c>
      <c r="N75" s="3" t="e">
        <f ca="1">IF(_xludf.TEXTJOIN("; ",TRUE,J75,L75)="","",_xludf.TEXTJOIN("; ",TRUE,J75,L75))</f>
        <v>#NAME?</v>
      </c>
      <c r="O75" s="3">
        <v>93</v>
      </c>
      <c r="P75" s="3"/>
      <c r="Q75" s="3">
        <v>34</v>
      </c>
      <c r="R75" s="3"/>
      <c r="S75" s="3">
        <f t="shared" si="5"/>
        <v>3162</v>
      </c>
      <c r="T75" s="3" t="e">
        <f ca="1">IF(_xludf.TEXTJOIN("; ",TRUE,P75,R75)="","",_xludf.TEXTJOIN("; ",TRUE,P75,R75))</f>
        <v>#NAME?</v>
      </c>
    </row>
    <row r="76" spans="1:20">
      <c r="A76" t="s">
        <v>177</v>
      </c>
      <c r="B76" t="s">
        <v>176</v>
      </c>
      <c r="C76" s="3">
        <v>84</v>
      </c>
      <c r="D76" s="3"/>
      <c r="E76" s="3">
        <v>40</v>
      </c>
      <c r="F76" s="3"/>
      <c r="G76" s="3">
        <f t="shared" si="3"/>
        <v>3360</v>
      </c>
      <c r="H76" s="3" t="e">
        <f ca="1">IF(_xludf.TEXTJOIN("; ",TRUE,D76,F76)="","",_xludf.TEXTJOIN("; ",TRUE,D76,F76))</f>
        <v>#NAME?</v>
      </c>
      <c r="I76" s="3">
        <v>91</v>
      </c>
      <c r="J76" s="3"/>
      <c r="K76" s="3">
        <v>37</v>
      </c>
      <c r="L76" s="3"/>
      <c r="M76" s="3">
        <f t="shared" si="4"/>
        <v>3367</v>
      </c>
      <c r="N76" s="3" t="e">
        <f ca="1">IF(_xludf.TEXTJOIN("; ",TRUE,J76,L76)="","",_xludf.TEXTJOIN("; ",TRUE,J76,L76))</f>
        <v>#NAME?</v>
      </c>
      <c r="O76" s="3">
        <v>93</v>
      </c>
      <c r="P76" s="3"/>
      <c r="Q76" s="3">
        <v>34</v>
      </c>
      <c r="R76" s="3"/>
      <c r="S76" s="3">
        <f t="shared" si="5"/>
        <v>3162</v>
      </c>
      <c r="T76" s="3" t="e">
        <f ca="1">IF(_xludf.TEXTJOIN("; ",TRUE,P76,R76)="","",_xludf.TEXTJOIN("; ",TRUE,P76,R76))</f>
        <v>#NAME?</v>
      </c>
    </row>
    <row r="77" spans="1:20">
      <c r="A77" t="s">
        <v>178</v>
      </c>
      <c r="B77" t="s">
        <v>179</v>
      </c>
      <c r="C77" s="3">
        <v>420</v>
      </c>
      <c r="D77" s="3"/>
      <c r="E77" s="3">
        <v>358</v>
      </c>
      <c r="F77" s="3"/>
      <c r="G77" s="3">
        <f t="shared" si="3"/>
        <v>150360</v>
      </c>
      <c r="H77" s="3" t="e">
        <f ca="1">IF(_xludf.TEXTJOIN("; ",TRUE,D77,F77)="","",_xludf.TEXTJOIN("; ",TRUE,D77,F77))</f>
        <v>#NAME?</v>
      </c>
      <c r="I77" s="3">
        <v>372</v>
      </c>
      <c r="J77" s="3"/>
      <c r="K77" s="3">
        <v>363</v>
      </c>
      <c r="L77" s="3"/>
      <c r="M77" s="3">
        <f t="shared" si="4"/>
        <v>135036</v>
      </c>
      <c r="N77" s="3" t="e">
        <f ca="1">IF(_xludf.TEXTJOIN("; ",TRUE,J77,L77)="","",_xludf.TEXTJOIN("; ",TRUE,J77,L77))</f>
        <v>#NAME?</v>
      </c>
      <c r="O77" s="3">
        <v>365</v>
      </c>
      <c r="P77" s="3"/>
      <c r="Q77" s="3">
        <v>362</v>
      </c>
      <c r="R77" s="3"/>
      <c r="S77" s="3">
        <f t="shared" si="5"/>
        <v>132130</v>
      </c>
      <c r="T77" s="3" t="e">
        <f ca="1">IF(_xludf.TEXTJOIN("; ",TRUE,P77,R77)="","",_xludf.TEXTJOIN("; ",TRUE,P77,R77))</f>
        <v>#NAME?</v>
      </c>
    </row>
    <row r="78" spans="1:20">
      <c r="A78" t="s">
        <v>180</v>
      </c>
      <c r="B78" t="s">
        <v>181</v>
      </c>
      <c r="C78" s="3">
        <v>1595</v>
      </c>
      <c r="D78" s="3"/>
      <c r="E78" s="3">
        <v>62</v>
      </c>
      <c r="F78" s="3"/>
      <c r="G78" s="3">
        <f t="shared" si="3"/>
        <v>98890</v>
      </c>
      <c r="H78" s="3" t="e">
        <f ca="1">IF(_xludf.TEXTJOIN("; ",TRUE,D78,F78)="","",_xludf.TEXTJOIN("; ",TRUE,D78,F78))</f>
        <v>#NAME?</v>
      </c>
      <c r="I78" s="3">
        <v>1262</v>
      </c>
      <c r="J78" s="3"/>
      <c r="K78" s="3">
        <v>67</v>
      </c>
      <c r="L78" s="3"/>
      <c r="M78" s="3">
        <f t="shared" si="4"/>
        <v>84554</v>
      </c>
      <c r="N78" s="3" t="e">
        <f ca="1">IF(_xludf.TEXTJOIN("; ",TRUE,J78,L78)="","",_xludf.TEXTJOIN("; ",TRUE,J78,L78))</f>
        <v>#NAME?</v>
      </c>
      <c r="O78" s="3">
        <v>1254</v>
      </c>
      <c r="P78" s="3"/>
      <c r="Q78" s="3">
        <v>66</v>
      </c>
      <c r="R78" s="3"/>
      <c r="S78" s="3">
        <f t="shared" si="5"/>
        <v>82764</v>
      </c>
      <c r="T78" s="3" t="e">
        <f ca="1">IF(_xludf.TEXTJOIN("; ",TRUE,P78,R78)="","",_xludf.TEXTJOIN("; ",TRUE,P78,R78))</f>
        <v>#NAME?</v>
      </c>
    </row>
    <row r="79" spans="1:20">
      <c r="A79" t="s">
        <v>182</v>
      </c>
      <c r="B79" t="s">
        <v>183</v>
      </c>
      <c r="C79" s="3">
        <v>282</v>
      </c>
      <c r="D79" s="3"/>
      <c r="E79" s="3">
        <v>88</v>
      </c>
      <c r="F79" s="3"/>
      <c r="G79" s="3">
        <f t="shared" si="3"/>
        <v>24816</v>
      </c>
      <c r="H79" s="3" t="e">
        <f ca="1">IF(_xludf.TEXTJOIN("; ",TRUE,D79,F79)="","",_xludf.TEXTJOIN("; ",TRUE,D79,F79))</f>
        <v>#NAME?</v>
      </c>
      <c r="I79" s="3">
        <v>265</v>
      </c>
      <c r="J79" s="3"/>
      <c r="K79" s="3">
        <v>91</v>
      </c>
      <c r="L79" s="3"/>
      <c r="M79" s="3">
        <f t="shared" si="4"/>
        <v>24115</v>
      </c>
      <c r="N79" s="3" t="e">
        <f ca="1">IF(_xludf.TEXTJOIN("; ",TRUE,J79,L79)="","",_xludf.TEXTJOIN("; ",TRUE,J79,L79))</f>
        <v>#NAME?</v>
      </c>
      <c r="O79" s="3">
        <v>278</v>
      </c>
      <c r="P79" s="3"/>
      <c r="Q79" s="3">
        <v>85</v>
      </c>
      <c r="R79" s="3"/>
      <c r="S79" s="3">
        <f t="shared" si="5"/>
        <v>23630</v>
      </c>
      <c r="T79" s="3" t="e">
        <f ca="1">IF(_xludf.TEXTJOIN("; ",TRUE,P79,R79)="","",_xludf.TEXTJOIN("; ",TRUE,P79,R79))</f>
        <v>#NAME?</v>
      </c>
    </row>
    <row r="80" spans="1:20">
      <c r="A80" t="s">
        <v>184</v>
      </c>
      <c r="B80" t="s">
        <v>185</v>
      </c>
      <c r="C80" s="3">
        <v>56</v>
      </c>
      <c r="D80" s="3"/>
      <c r="E80" s="3">
        <v>66</v>
      </c>
      <c r="F80" s="3"/>
      <c r="G80" s="3">
        <f t="shared" si="3"/>
        <v>3696</v>
      </c>
      <c r="H80" s="3" t="e">
        <f ca="1">IF(_xludf.TEXTJOIN("; ",TRUE,D80,F80)="","",_xludf.TEXTJOIN("; ",TRUE,D80,F80))</f>
        <v>#NAME?</v>
      </c>
      <c r="I80" s="3">
        <v>53</v>
      </c>
      <c r="J80" s="3"/>
      <c r="K80" s="3">
        <v>63</v>
      </c>
      <c r="L80" s="3"/>
      <c r="M80" s="3">
        <f t="shared" si="4"/>
        <v>3339</v>
      </c>
      <c r="N80" s="3" t="e">
        <f ca="1">IF(_xludf.TEXTJOIN("; ",TRUE,J80,L80)="","",_xludf.TEXTJOIN("; ",TRUE,J80,L80))</f>
        <v>#NAME?</v>
      </c>
      <c r="O80" s="3">
        <v>54</v>
      </c>
      <c r="P80" s="3"/>
      <c r="Q80" s="3">
        <v>60</v>
      </c>
      <c r="R80" s="3"/>
      <c r="S80" s="3">
        <f t="shared" si="5"/>
        <v>3240</v>
      </c>
      <c r="T80" s="3" t="e">
        <f ca="1">IF(_xludf.TEXTJOIN("; ",TRUE,P80,R80)="","",_xludf.TEXTJOIN("; ",TRUE,P80,R80))</f>
        <v>#NAME?</v>
      </c>
    </row>
    <row r="81" spans="1:20">
      <c r="A81" t="s">
        <v>186</v>
      </c>
      <c r="B81" t="s">
        <v>187</v>
      </c>
      <c r="C81" s="3">
        <v>162</v>
      </c>
      <c r="D81" s="3"/>
      <c r="E81" s="3">
        <v>142</v>
      </c>
      <c r="F81" s="3"/>
      <c r="G81" s="3">
        <f t="shared" si="3"/>
        <v>23004</v>
      </c>
      <c r="H81" s="3" t="e">
        <f ca="1">IF(_xludf.TEXTJOIN("; ",TRUE,D81,F81)="","",_xludf.TEXTJOIN("; ",TRUE,D81,F81))</f>
        <v>#NAME?</v>
      </c>
      <c r="I81" s="3">
        <v>162</v>
      </c>
      <c r="J81" s="3"/>
      <c r="K81" s="3">
        <v>142</v>
      </c>
      <c r="L81" s="3"/>
      <c r="M81" s="3">
        <f t="shared" si="4"/>
        <v>23004</v>
      </c>
      <c r="N81" s="3" t="e">
        <f ca="1">IF(_xludf.TEXTJOIN("; ",TRUE,J81,L81)="","",_xludf.TEXTJOIN("; ",TRUE,J81,L81))</f>
        <v>#NAME?</v>
      </c>
      <c r="O81" s="3">
        <v>148</v>
      </c>
      <c r="P81" s="3"/>
      <c r="Q81" s="3">
        <v>151</v>
      </c>
      <c r="R81" s="3"/>
      <c r="S81" s="3">
        <f t="shared" si="5"/>
        <v>22348</v>
      </c>
      <c r="T81" s="3" t="e">
        <f ca="1">IF(_xludf.TEXTJOIN("; ",TRUE,P81,R81)="","",_xludf.TEXTJOIN("; ",TRUE,P81,R81))</f>
        <v>#NAME?</v>
      </c>
    </row>
    <row r="82" spans="1:20">
      <c r="A82" t="s">
        <v>188</v>
      </c>
      <c r="B82" t="s">
        <v>189</v>
      </c>
      <c r="C82" s="3">
        <v>111</v>
      </c>
      <c r="D82" s="3"/>
      <c r="E82" s="3">
        <v>746</v>
      </c>
      <c r="F82" s="3"/>
      <c r="G82" s="3">
        <f t="shared" si="3"/>
        <v>82806</v>
      </c>
      <c r="H82" s="3" t="e">
        <f ca="1">IF(_xludf.TEXTJOIN("; ",TRUE,D82,F82)="","",_xludf.TEXTJOIN("; ",TRUE,D82,F82))</f>
        <v>#NAME?</v>
      </c>
      <c r="I82" s="3">
        <v>112</v>
      </c>
      <c r="J82" s="3"/>
      <c r="K82" s="3">
        <v>710</v>
      </c>
      <c r="L82" s="3"/>
      <c r="M82" s="3">
        <f t="shared" si="4"/>
        <v>79520</v>
      </c>
      <c r="N82" s="3" t="e">
        <f ca="1">IF(_xludf.TEXTJOIN("; ",TRUE,J82,L82)="","",_xludf.TEXTJOIN("; ",TRUE,J82,L82))</f>
        <v>#NAME?</v>
      </c>
      <c r="O82" s="3">
        <v>104</v>
      </c>
      <c r="P82" s="3"/>
      <c r="Q82" s="3">
        <v>721</v>
      </c>
      <c r="R82" s="3"/>
      <c r="S82" s="3">
        <f t="shared" si="5"/>
        <v>74984</v>
      </c>
      <c r="T82" s="3" t="e">
        <f ca="1">IF(_xludf.TEXTJOIN("; ",TRUE,P82,R82)="","",_xludf.TEXTJOIN("; ",TRUE,P82,R82))</f>
        <v>#NAME?</v>
      </c>
    </row>
    <row r="83" spans="1:20">
      <c r="A83" t="s">
        <v>190</v>
      </c>
      <c r="B83" t="s">
        <v>191</v>
      </c>
      <c r="C83" s="3">
        <v>96</v>
      </c>
      <c r="D83" s="3"/>
      <c r="E83" s="3">
        <v>187</v>
      </c>
      <c r="F83" s="3"/>
      <c r="G83" s="3">
        <f t="shared" si="3"/>
        <v>17952</v>
      </c>
      <c r="H83" s="3" t="e">
        <f ca="1">IF(_xludf.TEXTJOIN("; ",TRUE,D83,F83)="","",_xludf.TEXTJOIN("; ",TRUE,D83,F83))</f>
        <v>#NAME?</v>
      </c>
      <c r="I83" s="3">
        <v>89</v>
      </c>
      <c r="J83" s="3"/>
      <c r="K83" s="3">
        <v>174</v>
      </c>
      <c r="L83" s="3"/>
      <c r="M83" s="3">
        <f t="shared" si="4"/>
        <v>15486</v>
      </c>
      <c r="N83" s="3" t="e">
        <f ca="1">IF(_xludf.TEXTJOIN("; ",TRUE,J83,L83)="","",_xludf.TEXTJOIN("; ",TRUE,J83,L83))</f>
        <v>#NAME?</v>
      </c>
      <c r="O83" s="3">
        <v>86</v>
      </c>
      <c r="P83" s="3"/>
      <c r="Q83" s="3">
        <v>177</v>
      </c>
      <c r="R83" s="3"/>
      <c r="S83" s="3">
        <f t="shared" si="5"/>
        <v>15222</v>
      </c>
      <c r="T83" s="3" t="e">
        <f ca="1">IF(_xludf.TEXTJOIN("; ",TRUE,P83,R83)="","",_xludf.TEXTJOIN("; ",TRUE,P83,R83))</f>
        <v>#NAME?</v>
      </c>
    </row>
    <row r="84" spans="1:20">
      <c r="A84" t="s">
        <v>192</v>
      </c>
      <c r="B84" t="s">
        <v>193</v>
      </c>
      <c r="C84" s="3">
        <v>145</v>
      </c>
      <c r="D84" s="3"/>
      <c r="E84" s="3">
        <v>189</v>
      </c>
      <c r="F84" s="3"/>
      <c r="G84" s="3">
        <f t="shared" si="3"/>
        <v>27405</v>
      </c>
      <c r="H84" s="3" t="e">
        <f ca="1">IF(_xludf.TEXTJOIN("; ",TRUE,D84,F84)="","",_xludf.TEXTJOIN("; ",TRUE,D84,F84))</f>
        <v>#NAME?</v>
      </c>
      <c r="I84" s="3">
        <v>154</v>
      </c>
      <c r="J84" s="3"/>
      <c r="K84" s="3">
        <v>174</v>
      </c>
      <c r="L84" s="3"/>
      <c r="M84" s="3">
        <f t="shared" si="4"/>
        <v>26796</v>
      </c>
      <c r="N84" s="3" t="e">
        <f ca="1">IF(_xludf.TEXTJOIN("; ",TRUE,J84,L84)="","",_xludf.TEXTJOIN("; ",TRUE,J84,L84))</f>
        <v>#NAME?</v>
      </c>
      <c r="O84" s="3">
        <v>140</v>
      </c>
      <c r="P84" s="3"/>
      <c r="Q84" s="3">
        <v>176</v>
      </c>
      <c r="R84" s="3"/>
      <c r="S84" s="3">
        <f t="shared" si="5"/>
        <v>24640</v>
      </c>
      <c r="T84" s="3" t="e">
        <f ca="1">IF(_xludf.TEXTJOIN("; ",TRUE,P84,R84)="","",_xludf.TEXTJOIN("; ",TRUE,P84,R84))</f>
        <v>#NAME?</v>
      </c>
    </row>
    <row r="85" spans="1:20">
      <c r="A85" t="s">
        <v>194</v>
      </c>
      <c r="B85" t="s">
        <v>195</v>
      </c>
      <c r="C85" s="3">
        <v>92</v>
      </c>
      <c r="D85" s="3"/>
      <c r="E85" s="3">
        <v>96</v>
      </c>
      <c r="F85" s="3"/>
      <c r="G85" s="3">
        <f t="shared" si="3"/>
        <v>8832</v>
      </c>
      <c r="H85" s="3" t="e">
        <f ca="1">IF(_xludf.TEXTJOIN("; ",TRUE,D85,F85)="","",_xludf.TEXTJOIN("; ",TRUE,D85,F85))</f>
        <v>#NAME?</v>
      </c>
      <c r="I85" s="3">
        <v>97</v>
      </c>
      <c r="J85" s="3"/>
      <c r="K85" s="3">
        <v>97</v>
      </c>
      <c r="L85" s="3"/>
      <c r="M85" s="3">
        <f t="shared" si="4"/>
        <v>9409</v>
      </c>
      <c r="N85" s="3" t="e">
        <f ca="1">IF(_xludf.TEXTJOIN("; ",TRUE,J85,L85)="","",_xludf.TEXTJOIN("; ",TRUE,J85,L85))</f>
        <v>#NAME?</v>
      </c>
      <c r="O85" s="3">
        <v>95</v>
      </c>
      <c r="P85" s="3"/>
      <c r="Q85" s="3">
        <v>97</v>
      </c>
      <c r="R85" s="3"/>
      <c r="S85" s="3">
        <f t="shared" si="5"/>
        <v>9215</v>
      </c>
      <c r="T85" s="3" t="e">
        <f ca="1">IF(_xludf.TEXTJOIN("; ",TRUE,P85,R85)="","",_xludf.TEXTJOIN("; ",TRUE,P85,R85))</f>
        <v>#NAME?</v>
      </c>
    </row>
    <row r="86" spans="1:20">
      <c r="A86" t="s">
        <v>196</v>
      </c>
      <c r="B86" t="s">
        <v>197</v>
      </c>
      <c r="C86" s="3">
        <v>126</v>
      </c>
      <c r="D86" s="3"/>
      <c r="E86" s="3">
        <v>108</v>
      </c>
      <c r="F86" s="3"/>
      <c r="G86" s="3">
        <f t="shared" si="3"/>
        <v>13608</v>
      </c>
      <c r="H86" s="3" t="e">
        <f ca="1">IF(_xludf.TEXTJOIN("; ",TRUE,D86,F86)="","",_xludf.TEXTJOIN("; ",TRUE,D86,F86))</f>
        <v>#NAME?</v>
      </c>
      <c r="I86" s="3">
        <v>122</v>
      </c>
      <c r="J86" s="3"/>
      <c r="K86" s="3">
        <v>108</v>
      </c>
      <c r="L86" s="3"/>
      <c r="M86" s="3">
        <f t="shared" si="4"/>
        <v>13176</v>
      </c>
      <c r="N86" s="3" t="e">
        <f ca="1">IF(_xludf.TEXTJOIN("; ",TRUE,J86,L86)="","",_xludf.TEXTJOIN("; ",TRUE,J86,L86))</f>
        <v>#NAME?</v>
      </c>
      <c r="O86" s="3">
        <v>118</v>
      </c>
      <c r="P86" s="3"/>
      <c r="Q86" s="3">
        <v>111</v>
      </c>
      <c r="R86" s="3"/>
      <c r="S86" s="3">
        <f t="shared" si="5"/>
        <v>13098</v>
      </c>
      <c r="T86" s="3" t="e">
        <f ca="1">IF(_xludf.TEXTJOIN("; ",TRUE,P86,R86)="","",_xludf.TEXTJOIN("; ",TRUE,P86,R86))</f>
        <v>#NAME?</v>
      </c>
    </row>
    <row r="87" spans="1:20">
      <c r="A87" t="s">
        <v>198</v>
      </c>
      <c r="B87" t="s">
        <v>199</v>
      </c>
      <c r="C87" s="3">
        <v>90</v>
      </c>
      <c r="D87" s="3"/>
      <c r="E87" s="3">
        <v>166</v>
      </c>
      <c r="F87" s="3"/>
      <c r="G87" s="3">
        <f t="shared" si="3"/>
        <v>14940</v>
      </c>
      <c r="H87" s="3" t="e">
        <f ca="1">IF(_xludf.TEXTJOIN("; ",TRUE,D87,F87)="","",_xludf.TEXTJOIN("; ",TRUE,D87,F87))</f>
        <v>#NAME?</v>
      </c>
      <c r="I87" s="3">
        <v>91</v>
      </c>
      <c r="J87" s="3"/>
      <c r="K87" s="3">
        <v>157</v>
      </c>
      <c r="L87" s="3"/>
      <c r="M87" s="3">
        <f t="shared" si="4"/>
        <v>14287</v>
      </c>
      <c r="N87" s="3" t="e">
        <f ca="1">IF(_xludf.TEXTJOIN("; ",TRUE,J87,L87)="","",_xludf.TEXTJOIN("; ",TRUE,J87,L87))</f>
        <v>#NAME?</v>
      </c>
      <c r="O87" s="3">
        <v>80</v>
      </c>
      <c r="P87" s="3"/>
      <c r="Q87" s="3">
        <v>160</v>
      </c>
      <c r="R87" s="3"/>
      <c r="S87" s="3">
        <f t="shared" si="5"/>
        <v>12800</v>
      </c>
      <c r="T87" s="3" t="e">
        <f ca="1">IF(_xludf.TEXTJOIN("; ",TRUE,P87,R87)="","",_xludf.TEXTJOIN("; ",TRUE,P87,R87))</f>
        <v>#NAME?</v>
      </c>
    </row>
    <row r="88" spans="1:20">
      <c r="A88" t="s">
        <v>200</v>
      </c>
      <c r="B88" t="s">
        <v>201</v>
      </c>
      <c r="C88" s="3">
        <v>128</v>
      </c>
      <c r="D88" s="3"/>
      <c r="E88" s="3">
        <v>210</v>
      </c>
      <c r="F88" s="3"/>
      <c r="G88" s="3">
        <f t="shared" si="3"/>
        <v>26880</v>
      </c>
      <c r="H88" s="3" t="e">
        <f ca="1">IF(_xludf.TEXTJOIN("; ",TRUE,D88,F88)="","",_xludf.TEXTJOIN("; ",TRUE,D88,F88))</f>
        <v>#NAME?</v>
      </c>
      <c r="I88" s="3">
        <v>114</v>
      </c>
      <c r="J88" s="3"/>
      <c r="K88" s="3">
        <v>215</v>
      </c>
      <c r="L88" s="3"/>
      <c r="M88" s="3">
        <f t="shared" si="4"/>
        <v>24510</v>
      </c>
      <c r="N88" s="3" t="e">
        <f ca="1">IF(_xludf.TEXTJOIN("; ",TRUE,J88,L88)="","",_xludf.TEXTJOIN("; ",TRUE,J88,L88))</f>
        <v>#NAME?</v>
      </c>
      <c r="O88" s="3">
        <v>112</v>
      </c>
      <c r="P88" s="3"/>
      <c r="Q88" s="3">
        <v>214</v>
      </c>
      <c r="R88" s="3"/>
      <c r="S88" s="3">
        <f t="shared" si="5"/>
        <v>23968</v>
      </c>
      <c r="T88" s="3" t="e">
        <f ca="1">IF(_xludf.TEXTJOIN("; ",TRUE,P88,R88)="","",_xludf.TEXTJOIN("; ",TRUE,P88,R88))</f>
        <v>#NAME?</v>
      </c>
    </row>
    <row r="89" spans="1:20">
      <c r="A89" t="s">
        <v>202</v>
      </c>
      <c r="B89" t="s">
        <v>203</v>
      </c>
      <c r="C89" s="3">
        <v>70</v>
      </c>
      <c r="D89" s="3"/>
      <c r="E89" s="3">
        <v>98</v>
      </c>
      <c r="F89" s="3"/>
      <c r="G89" s="3">
        <f t="shared" si="3"/>
        <v>6860</v>
      </c>
      <c r="H89" s="3" t="e">
        <f ca="1">IF(_xludf.TEXTJOIN("; ",TRUE,D89,F89)="","",_xludf.TEXTJOIN("; ",TRUE,D89,F89))</f>
        <v>#NAME?</v>
      </c>
      <c r="I89" s="3">
        <v>65</v>
      </c>
      <c r="J89" s="3"/>
      <c r="K89" s="3">
        <v>101</v>
      </c>
      <c r="L89" s="3"/>
      <c r="M89" s="3">
        <f t="shared" si="4"/>
        <v>6565</v>
      </c>
      <c r="N89" s="3" t="e">
        <f ca="1">IF(_xludf.TEXTJOIN("; ",TRUE,J89,L89)="","",_xludf.TEXTJOIN("; ",TRUE,J89,L89))</f>
        <v>#NAME?</v>
      </c>
      <c r="O89" s="3">
        <v>61</v>
      </c>
      <c r="P89" s="3"/>
      <c r="Q89" s="3">
        <v>103</v>
      </c>
      <c r="R89" s="3"/>
      <c r="S89" s="3">
        <f t="shared" si="5"/>
        <v>6283</v>
      </c>
      <c r="T89" s="3" t="e">
        <f ca="1">IF(_xludf.TEXTJOIN("; ",TRUE,P89,R89)="","",_xludf.TEXTJOIN("; ",TRUE,P89,R89))</f>
        <v>#NAME?</v>
      </c>
    </row>
    <row r="90" spans="1:20">
      <c r="A90" t="s">
        <v>204</v>
      </c>
      <c r="B90" t="s">
        <v>205</v>
      </c>
      <c r="C90" s="3">
        <v>62</v>
      </c>
      <c r="D90" s="3"/>
      <c r="E90" s="3">
        <v>25</v>
      </c>
      <c r="F90" s="3"/>
      <c r="G90" s="3">
        <f t="shared" si="3"/>
        <v>1550</v>
      </c>
      <c r="H90" s="3" t="e">
        <f ca="1">IF(_xludf.TEXTJOIN("; ",TRUE,D90,F90)="","",_xludf.TEXTJOIN("; ",TRUE,D90,F90))</f>
        <v>#NAME?</v>
      </c>
      <c r="I90" s="3">
        <v>54</v>
      </c>
      <c r="J90" s="3"/>
      <c r="K90" s="3">
        <v>27</v>
      </c>
      <c r="L90" s="3"/>
      <c r="M90" s="3">
        <f t="shared" si="4"/>
        <v>1458</v>
      </c>
      <c r="N90" s="3" t="e">
        <f ca="1">IF(_xludf.TEXTJOIN("; ",TRUE,J90,L90)="","",_xludf.TEXTJOIN("; ",TRUE,J90,L90))</f>
        <v>#NAME?</v>
      </c>
      <c r="O90" s="3">
        <v>47</v>
      </c>
      <c r="P90" s="3"/>
      <c r="Q90" s="3">
        <v>30</v>
      </c>
      <c r="R90" s="3"/>
      <c r="S90" s="3">
        <f t="shared" si="5"/>
        <v>1410</v>
      </c>
      <c r="T90" s="3" t="e">
        <f ca="1">IF(_xludf.TEXTJOIN("; ",TRUE,P90,R90)="","",_xludf.TEXTJOIN("; ",TRUE,P90,R90))</f>
        <v>#NAME?</v>
      </c>
    </row>
    <row r="91" spans="1:20">
      <c r="A91" t="s">
        <v>206</v>
      </c>
      <c r="B91" t="s">
        <v>207</v>
      </c>
      <c r="C91" s="3">
        <v>212</v>
      </c>
      <c r="D91" s="3"/>
      <c r="E91" s="3">
        <v>87</v>
      </c>
      <c r="F91" s="3"/>
      <c r="G91" s="3">
        <f t="shared" si="3"/>
        <v>18444</v>
      </c>
      <c r="H91" s="3" t="e">
        <f ca="1">IF(_xludf.TEXTJOIN("; ",TRUE,D91,F91)="","",_xludf.TEXTJOIN("; ",TRUE,D91,F91))</f>
        <v>#NAME?</v>
      </c>
      <c r="I91" s="3">
        <v>189</v>
      </c>
      <c r="J91" s="3"/>
      <c r="K91" s="3">
        <v>87</v>
      </c>
      <c r="L91" s="3"/>
      <c r="M91" s="3">
        <f t="shared" si="4"/>
        <v>16443</v>
      </c>
      <c r="N91" s="3" t="e">
        <f ca="1">IF(_xludf.TEXTJOIN("; ",TRUE,J91,L91)="","",_xludf.TEXTJOIN("; ",TRUE,J91,L91))</f>
        <v>#NAME?</v>
      </c>
      <c r="O91" s="3">
        <v>202</v>
      </c>
      <c r="P91" s="3"/>
      <c r="Q91" s="3">
        <v>81</v>
      </c>
      <c r="R91" s="3"/>
      <c r="S91" s="3">
        <f t="shared" si="5"/>
        <v>16362</v>
      </c>
      <c r="T91" s="3" t="e">
        <f ca="1">IF(_xludf.TEXTJOIN("; ",TRUE,P91,R91)="","",_xludf.TEXTJOIN("; ",TRUE,P91,R91))</f>
        <v>#NAME?</v>
      </c>
    </row>
    <row r="92" spans="1:20">
      <c r="A92" t="s">
        <v>208</v>
      </c>
      <c r="B92" t="s">
        <v>209</v>
      </c>
      <c r="C92" s="3">
        <v>337</v>
      </c>
      <c r="D92" s="3"/>
      <c r="E92" s="3">
        <v>57</v>
      </c>
      <c r="F92" s="3"/>
      <c r="G92" s="3">
        <f t="shared" si="3"/>
        <v>19209</v>
      </c>
      <c r="H92" s="3" t="e">
        <f ca="1">IF(_xludf.TEXTJOIN("; ",TRUE,D92,F92)="","",_xludf.TEXTJOIN("; ",TRUE,D92,F92))</f>
        <v>#NAME?</v>
      </c>
      <c r="I92" s="3">
        <v>302</v>
      </c>
      <c r="J92" s="3"/>
      <c r="K92" s="3">
        <v>58</v>
      </c>
      <c r="L92" s="3"/>
      <c r="M92" s="3">
        <f t="shared" si="4"/>
        <v>17516</v>
      </c>
      <c r="N92" s="3" t="e">
        <f ca="1">IF(_xludf.TEXTJOIN("; ",TRUE,J92,L92)="","",_xludf.TEXTJOIN("; ",TRUE,J92,L92))</f>
        <v>#NAME?</v>
      </c>
      <c r="O92" s="3">
        <v>320</v>
      </c>
      <c r="P92" s="3"/>
      <c r="Q92" s="3">
        <v>56</v>
      </c>
      <c r="R92" s="3"/>
      <c r="S92" s="3">
        <f t="shared" si="5"/>
        <v>17920</v>
      </c>
      <c r="T92" s="3" t="e">
        <f ca="1">IF(_xludf.TEXTJOIN("; ",TRUE,P92,R92)="","",_xludf.TEXTJOIN("; ",TRUE,P92,R92))</f>
        <v>#NAME?</v>
      </c>
    </row>
    <row r="93" spans="1:20">
      <c r="A93" t="s">
        <v>210</v>
      </c>
      <c r="B93" t="s">
        <v>209</v>
      </c>
      <c r="C93" s="3">
        <v>337</v>
      </c>
      <c r="D93" s="3"/>
      <c r="E93" s="3">
        <v>57</v>
      </c>
      <c r="F93" s="3"/>
      <c r="G93" s="3">
        <f t="shared" si="3"/>
        <v>19209</v>
      </c>
      <c r="H93" s="3" t="e">
        <f ca="1">IF(_xludf.TEXTJOIN("; ",TRUE,D93,F93)="","",_xludf.TEXTJOIN("; ",TRUE,D93,F93))</f>
        <v>#NAME?</v>
      </c>
      <c r="I93" s="3">
        <v>302</v>
      </c>
      <c r="J93" s="3"/>
      <c r="K93" s="3">
        <v>58</v>
      </c>
      <c r="L93" s="3"/>
      <c r="M93" s="3">
        <f t="shared" si="4"/>
        <v>17516</v>
      </c>
      <c r="N93" s="3" t="e">
        <f ca="1">IF(_xludf.TEXTJOIN("; ",TRUE,J93,L93)="","",_xludf.TEXTJOIN("; ",TRUE,J93,L93))</f>
        <v>#NAME?</v>
      </c>
      <c r="O93" s="3">
        <v>320</v>
      </c>
      <c r="P93" s="3"/>
      <c r="Q93" s="3">
        <v>56</v>
      </c>
      <c r="R93" s="3"/>
      <c r="S93" s="3">
        <f t="shared" si="5"/>
        <v>17920</v>
      </c>
      <c r="T93" s="3" t="e">
        <f ca="1">IF(_xludf.TEXTJOIN("; ",TRUE,P93,R93)="","",_xludf.TEXTJOIN("; ",TRUE,P93,R93))</f>
        <v>#NAME?</v>
      </c>
    </row>
    <row r="94" spans="1:20">
      <c r="A94" t="s">
        <v>211</v>
      </c>
      <c r="B94" t="s">
        <v>212</v>
      </c>
      <c r="C94" s="3">
        <v>174</v>
      </c>
      <c r="D94" s="3"/>
      <c r="E94" s="3">
        <v>255</v>
      </c>
      <c r="F94" s="3"/>
      <c r="G94" s="3">
        <f t="shared" si="3"/>
        <v>44370</v>
      </c>
      <c r="H94" s="3" t="e">
        <f ca="1">IF(_xludf.TEXTJOIN("; ",TRUE,D94,F94)="","",_xludf.TEXTJOIN("; ",TRUE,D94,F94))</f>
        <v>#NAME?</v>
      </c>
      <c r="I94" s="3">
        <v>172</v>
      </c>
      <c r="J94" s="3"/>
      <c r="K94" s="3">
        <v>258</v>
      </c>
      <c r="L94" s="3"/>
      <c r="M94" s="3">
        <f t="shared" si="4"/>
        <v>44376</v>
      </c>
      <c r="N94" s="3" t="e">
        <f ca="1">IF(_xludf.TEXTJOIN("; ",TRUE,J94,L94)="","",_xludf.TEXTJOIN("; ",TRUE,J94,L94))</f>
        <v>#NAME?</v>
      </c>
      <c r="O94" s="3">
        <v>174</v>
      </c>
      <c r="P94" s="3"/>
      <c r="Q94" s="3">
        <v>255</v>
      </c>
      <c r="R94" s="3"/>
      <c r="S94" s="3">
        <f t="shared" si="5"/>
        <v>44370</v>
      </c>
      <c r="T94" s="3" t="e">
        <f ca="1">IF(_xludf.TEXTJOIN("; ",TRUE,P94,R94)="","",_xludf.TEXTJOIN("; ",TRUE,P94,R94))</f>
        <v>#NAME?</v>
      </c>
    </row>
    <row r="95" spans="1:20">
      <c r="A95" t="s">
        <v>213</v>
      </c>
      <c r="B95" t="s">
        <v>214</v>
      </c>
      <c r="C95" s="3">
        <v>64</v>
      </c>
      <c r="D95" s="3"/>
      <c r="E95" s="3">
        <v>72</v>
      </c>
      <c r="F95" s="3"/>
      <c r="G95" s="3">
        <f t="shared" si="3"/>
        <v>4608</v>
      </c>
      <c r="H95" s="3" t="e">
        <f ca="1">IF(_xludf.TEXTJOIN("; ",TRUE,D95,F95)="","",_xludf.TEXTJOIN("; ",TRUE,D95,F95))</f>
        <v>#NAME?</v>
      </c>
      <c r="I95" s="3">
        <v>63</v>
      </c>
      <c r="J95" s="3"/>
      <c r="K95" s="3">
        <v>74</v>
      </c>
      <c r="L95" s="3"/>
      <c r="M95" s="3">
        <f t="shared" si="4"/>
        <v>4662</v>
      </c>
      <c r="N95" s="3" t="e">
        <f ca="1">IF(_xludf.TEXTJOIN("; ",TRUE,J95,L95)="","",_xludf.TEXTJOIN("; ",TRUE,J95,L95))</f>
        <v>#NAME?</v>
      </c>
      <c r="O95" s="3">
        <v>63</v>
      </c>
      <c r="P95" s="3"/>
      <c r="Q95" s="3">
        <v>72</v>
      </c>
      <c r="R95" s="3"/>
      <c r="S95" s="3">
        <f t="shared" si="5"/>
        <v>4536</v>
      </c>
      <c r="T95" s="3" t="e">
        <f ca="1">IF(_xludf.TEXTJOIN("; ",TRUE,P95,R95)="","",_xludf.TEXTJOIN("; ",TRUE,P95,R95))</f>
        <v>#NAME?</v>
      </c>
    </row>
    <row r="96" spans="1:20">
      <c r="A96" t="s">
        <v>215</v>
      </c>
      <c r="B96" t="s">
        <v>216</v>
      </c>
      <c r="C96" s="3">
        <v>195</v>
      </c>
      <c r="D96" s="3"/>
      <c r="E96" s="3">
        <v>142</v>
      </c>
      <c r="F96" s="3"/>
      <c r="G96" s="3">
        <f t="shared" si="3"/>
        <v>27690</v>
      </c>
      <c r="H96" s="3" t="e">
        <f ca="1">IF(_xludf.TEXTJOIN("; ",TRUE,D96,F96)="","",_xludf.TEXTJOIN("; ",TRUE,D96,F96))</f>
        <v>#NAME?</v>
      </c>
      <c r="I96" s="3">
        <v>194</v>
      </c>
      <c r="J96" s="3"/>
      <c r="K96" s="3">
        <v>141</v>
      </c>
      <c r="L96" s="3"/>
      <c r="M96" s="3">
        <f t="shared" si="4"/>
        <v>27354</v>
      </c>
      <c r="N96" s="3" t="e">
        <f ca="1">IF(_xludf.TEXTJOIN("; ",TRUE,J96,L96)="","",_xludf.TEXTJOIN("; ",TRUE,J96,L96))</f>
        <v>#NAME?</v>
      </c>
      <c r="O96" s="3">
        <v>197</v>
      </c>
      <c r="P96" s="3"/>
      <c r="Q96" s="3">
        <v>137</v>
      </c>
      <c r="R96" s="3"/>
      <c r="S96" s="3">
        <f t="shared" si="5"/>
        <v>26989</v>
      </c>
      <c r="T96" s="3" t="e">
        <f ca="1">IF(_xludf.TEXTJOIN("; ",TRUE,P96,R96)="","",_xludf.TEXTJOIN("; ",TRUE,P96,R96))</f>
        <v>#NAME?</v>
      </c>
    </row>
    <row r="97" spans="1:20">
      <c r="A97" t="s">
        <v>217</v>
      </c>
      <c r="B97" t="s">
        <v>218</v>
      </c>
      <c r="C97" s="3">
        <v>294</v>
      </c>
      <c r="D97" s="3"/>
      <c r="E97" s="3">
        <v>41</v>
      </c>
      <c r="F97" s="3"/>
      <c r="G97" s="3">
        <f t="shared" si="3"/>
        <v>12054</v>
      </c>
      <c r="H97" s="3" t="e">
        <f ca="1">IF(_xludf.TEXTJOIN("; ",TRUE,D97,F97)="","",_xludf.TEXTJOIN("; ",TRUE,D97,F97))</f>
        <v>#NAME?</v>
      </c>
      <c r="I97" s="3">
        <v>290</v>
      </c>
      <c r="J97" s="3"/>
      <c r="K97" s="3">
        <v>43</v>
      </c>
      <c r="L97" s="3"/>
      <c r="M97" s="3">
        <f t="shared" si="4"/>
        <v>12470</v>
      </c>
      <c r="N97" s="3" t="e">
        <f ca="1">IF(_xludf.TEXTJOIN("; ",TRUE,J97,L97)="","",_xludf.TEXTJOIN("; ",TRUE,J97,L97))</f>
        <v>#NAME?</v>
      </c>
      <c r="O97" s="3">
        <v>282</v>
      </c>
      <c r="P97" s="3"/>
      <c r="Q97" s="3">
        <v>46</v>
      </c>
      <c r="R97" s="3"/>
      <c r="S97" s="3">
        <f t="shared" si="5"/>
        <v>12972</v>
      </c>
      <c r="T97" s="3" t="e">
        <f ca="1">IF(_xludf.TEXTJOIN("; ",TRUE,P97,R97)="","",_xludf.TEXTJOIN("; ",TRUE,P97,R97))</f>
        <v>#NAME?</v>
      </c>
    </row>
    <row r="98" spans="1:20">
      <c r="A98" t="s">
        <v>219</v>
      </c>
      <c r="B98" t="s">
        <v>220</v>
      </c>
      <c r="C98" s="3">
        <v>57</v>
      </c>
      <c r="D98" s="3"/>
      <c r="E98" s="3">
        <v>82</v>
      </c>
      <c r="F98" s="3"/>
      <c r="G98" s="3">
        <f t="shared" si="3"/>
        <v>4674</v>
      </c>
      <c r="H98" s="3" t="e">
        <f ca="1">IF(_xludf.TEXTJOIN("; ",TRUE,D98,F98)="","",_xludf.TEXTJOIN("; ",TRUE,D98,F98))</f>
        <v>#NAME?</v>
      </c>
      <c r="I98" s="3">
        <v>59</v>
      </c>
      <c r="J98" s="3"/>
      <c r="K98" s="3">
        <v>79</v>
      </c>
      <c r="L98" s="3"/>
      <c r="M98" s="3">
        <f t="shared" si="4"/>
        <v>4661</v>
      </c>
      <c r="N98" s="3" t="e">
        <f ca="1">IF(_xludf.TEXTJOIN("; ",TRUE,J98,L98)="","",_xludf.TEXTJOIN("; ",TRUE,J98,L98))</f>
        <v>#NAME?</v>
      </c>
      <c r="O98" s="3">
        <v>59</v>
      </c>
      <c r="P98" s="3"/>
      <c r="Q98" s="3">
        <v>83</v>
      </c>
      <c r="R98" s="3"/>
      <c r="S98" s="3">
        <f t="shared" si="5"/>
        <v>4897</v>
      </c>
      <c r="T98" s="3" t="e">
        <f ca="1">IF(_xludf.TEXTJOIN("; ",TRUE,P98,R98)="","",_xludf.TEXTJOIN("; ",TRUE,P98,R98))</f>
        <v>#NAME?</v>
      </c>
    </row>
    <row r="99" spans="1:20">
      <c r="A99" t="s">
        <v>221</v>
      </c>
      <c r="B99" t="s">
        <v>220</v>
      </c>
      <c r="C99" s="3">
        <v>57</v>
      </c>
      <c r="D99" s="3"/>
      <c r="E99" s="3">
        <v>82</v>
      </c>
      <c r="F99" s="3"/>
      <c r="G99" s="3">
        <f t="shared" si="3"/>
        <v>4674</v>
      </c>
      <c r="H99" s="3" t="e">
        <f ca="1">IF(_xludf.TEXTJOIN("; ",TRUE,D99,F99)="","",_xludf.TEXTJOIN("; ",TRUE,D99,F99))</f>
        <v>#NAME?</v>
      </c>
      <c r="I99" s="3">
        <v>59</v>
      </c>
      <c r="J99" s="3"/>
      <c r="K99" s="3">
        <v>79</v>
      </c>
      <c r="L99" s="3"/>
      <c r="M99" s="3">
        <f t="shared" si="4"/>
        <v>4661</v>
      </c>
      <c r="N99" s="3" t="e">
        <f ca="1">IF(_xludf.TEXTJOIN("; ",TRUE,J99,L99)="","",_xludf.TEXTJOIN("; ",TRUE,J99,L99))</f>
        <v>#NAME?</v>
      </c>
      <c r="O99" s="3">
        <v>59</v>
      </c>
      <c r="P99" s="3"/>
      <c r="Q99" s="3">
        <v>83</v>
      </c>
      <c r="R99" s="3"/>
      <c r="S99" s="3">
        <f t="shared" si="5"/>
        <v>4897</v>
      </c>
      <c r="T99" s="3" t="e">
        <f ca="1">IF(_xludf.TEXTJOIN("; ",TRUE,P99,R99)="","",_xludf.TEXTJOIN("; ",TRUE,P99,R99))</f>
        <v>#NAME?</v>
      </c>
    </row>
    <row r="100" spans="1:20">
      <c r="A100" t="s">
        <v>222</v>
      </c>
      <c r="B100" t="s">
        <v>223</v>
      </c>
      <c r="C100" s="3" t="s">
        <v>43</v>
      </c>
      <c r="D100" s="3" t="s">
        <v>44</v>
      </c>
      <c r="E100" s="3">
        <v>82</v>
      </c>
      <c r="F100" s="3"/>
      <c r="G100" s="3" t="str">
        <f t="shared" si="3"/>
        <v/>
      </c>
      <c r="H100" s="3" t="e">
        <f ca="1">IF(_xludf.TEXTJOIN("; ",TRUE,D100,F100)="","",_xludf.TEXTJOIN("; ",TRUE,D100,F100))</f>
        <v>#NAME?</v>
      </c>
      <c r="I100" s="3" t="s">
        <v>43</v>
      </c>
      <c r="J100" s="3" t="s">
        <v>44</v>
      </c>
      <c r="K100" s="3">
        <v>89</v>
      </c>
      <c r="L100" s="3"/>
      <c r="M100" s="3" t="str">
        <f t="shared" si="4"/>
        <v/>
      </c>
      <c r="N100" s="3" t="e">
        <f ca="1">IF(_xludf.TEXTJOIN("; ",TRUE,J100,L100)="","",_xludf.TEXTJOIN("; ",TRUE,J100,L100))</f>
        <v>#NAME?</v>
      </c>
      <c r="O100" s="3">
        <v>36</v>
      </c>
      <c r="P100" s="3"/>
      <c r="Q100" s="3">
        <v>88</v>
      </c>
      <c r="R100" s="3"/>
      <c r="S100" s="3">
        <f t="shared" si="5"/>
        <v>3168</v>
      </c>
      <c r="T100" s="3" t="e">
        <f ca="1">IF(_xludf.TEXTJOIN("; ",TRUE,P100,R100)="","",_xludf.TEXTJOIN("; ",TRUE,P100,R100))</f>
        <v>#NAME?</v>
      </c>
    </row>
    <row r="101" spans="1:20">
      <c r="A101" t="s">
        <v>224</v>
      </c>
      <c r="B101" t="s">
        <v>223</v>
      </c>
      <c r="C101" s="3" t="s">
        <v>43</v>
      </c>
      <c r="D101" s="3" t="s">
        <v>44</v>
      </c>
      <c r="E101" s="3">
        <v>82</v>
      </c>
      <c r="F101" s="3"/>
      <c r="G101" s="3" t="str">
        <f t="shared" si="3"/>
        <v/>
      </c>
      <c r="H101" s="3" t="e">
        <f ca="1">IF(_xludf.TEXTJOIN("; ",TRUE,D101,F101)="","",_xludf.TEXTJOIN("; ",TRUE,D101,F101))</f>
        <v>#NAME?</v>
      </c>
      <c r="I101" s="3" t="s">
        <v>43</v>
      </c>
      <c r="J101" s="3" t="s">
        <v>44</v>
      </c>
      <c r="K101" s="3">
        <v>89</v>
      </c>
      <c r="L101" s="3"/>
      <c r="M101" s="3" t="str">
        <f t="shared" si="4"/>
        <v/>
      </c>
      <c r="N101" s="3" t="e">
        <f ca="1">IF(_xludf.TEXTJOIN("; ",TRUE,J101,L101)="","",_xludf.TEXTJOIN("; ",TRUE,J101,L101))</f>
        <v>#NAME?</v>
      </c>
      <c r="O101" s="3">
        <v>36</v>
      </c>
      <c r="P101" s="3"/>
      <c r="Q101" s="3">
        <v>88</v>
      </c>
      <c r="R101" s="3"/>
      <c r="S101" s="3">
        <f t="shared" si="5"/>
        <v>3168</v>
      </c>
      <c r="T101" s="3" t="e">
        <f ca="1">IF(_xludf.TEXTJOIN("; ",TRUE,P101,R101)="","",_xludf.TEXTJOIN("; ",TRUE,P101,R101))</f>
        <v>#NAME?</v>
      </c>
    </row>
    <row r="102" spans="1:20">
      <c r="A102" t="s">
        <v>225</v>
      </c>
      <c r="B102" t="s">
        <v>226</v>
      </c>
      <c r="C102" s="3">
        <v>127</v>
      </c>
      <c r="D102" s="3"/>
      <c r="E102" s="3">
        <v>131</v>
      </c>
      <c r="F102" s="3"/>
      <c r="G102" s="3">
        <f t="shared" si="3"/>
        <v>16637</v>
      </c>
      <c r="H102" s="3" t="e">
        <f ca="1">IF(_xludf.TEXTJOIN("; ",TRUE,D102,F102)="","",_xludf.TEXTJOIN("; ",TRUE,D102,F102))</f>
        <v>#NAME?</v>
      </c>
      <c r="I102" s="3">
        <v>116</v>
      </c>
      <c r="J102" s="3"/>
      <c r="K102" s="3">
        <v>132</v>
      </c>
      <c r="L102" s="3"/>
      <c r="M102" s="3">
        <f t="shared" si="4"/>
        <v>15312</v>
      </c>
      <c r="N102" s="3" t="e">
        <f ca="1">IF(_xludf.TEXTJOIN("; ",TRUE,J102,L102)="","",_xludf.TEXTJOIN("; ",TRUE,J102,L102))</f>
        <v>#NAME?</v>
      </c>
      <c r="O102" s="3">
        <v>112</v>
      </c>
      <c r="P102" s="3"/>
      <c r="Q102" s="3">
        <v>135</v>
      </c>
      <c r="R102" s="3"/>
      <c r="S102" s="3">
        <f t="shared" si="5"/>
        <v>15120</v>
      </c>
      <c r="T102" s="3" t="e">
        <f ca="1">IF(_xludf.TEXTJOIN("; ",TRUE,P102,R102)="","",_xludf.TEXTJOIN("; ",TRUE,P102,R102))</f>
        <v>#NAME?</v>
      </c>
    </row>
    <row r="103" spans="1:20">
      <c r="A103" t="s">
        <v>227</v>
      </c>
      <c r="B103" t="s">
        <v>226</v>
      </c>
      <c r="C103" s="3">
        <v>127</v>
      </c>
      <c r="D103" s="3"/>
      <c r="E103" s="3">
        <v>131</v>
      </c>
      <c r="F103" s="3"/>
      <c r="G103" s="3">
        <f t="shared" si="3"/>
        <v>16637</v>
      </c>
      <c r="H103" s="3" t="e">
        <f ca="1">IF(_xludf.TEXTJOIN("; ",TRUE,D103,F103)="","",_xludf.TEXTJOIN("; ",TRUE,D103,F103))</f>
        <v>#NAME?</v>
      </c>
      <c r="I103" s="3">
        <v>116</v>
      </c>
      <c r="J103" s="3"/>
      <c r="K103" s="3">
        <v>132</v>
      </c>
      <c r="L103" s="3"/>
      <c r="M103" s="3">
        <f t="shared" si="4"/>
        <v>15312</v>
      </c>
      <c r="N103" s="3" t="e">
        <f ca="1">IF(_xludf.TEXTJOIN("; ",TRUE,J103,L103)="","",_xludf.TEXTJOIN("; ",TRUE,J103,L103))</f>
        <v>#NAME?</v>
      </c>
      <c r="O103" s="3">
        <v>112</v>
      </c>
      <c r="P103" s="3"/>
      <c r="Q103" s="3">
        <v>135</v>
      </c>
      <c r="R103" s="3"/>
      <c r="S103" s="3">
        <f t="shared" si="5"/>
        <v>15120</v>
      </c>
      <c r="T103" s="3" t="e">
        <f ca="1">IF(_xludf.TEXTJOIN("; ",TRUE,P103,R103)="","",_xludf.TEXTJOIN("; ",TRUE,P103,R103))</f>
        <v>#NAME?</v>
      </c>
    </row>
    <row r="104" spans="1:20">
      <c r="A104" t="s">
        <v>228</v>
      </c>
      <c r="B104" t="s">
        <v>229</v>
      </c>
      <c r="C104" s="3">
        <v>33</v>
      </c>
      <c r="D104" s="3"/>
      <c r="E104" s="3">
        <v>105</v>
      </c>
      <c r="F104" s="3"/>
      <c r="G104" s="3">
        <f t="shared" si="3"/>
        <v>3465</v>
      </c>
      <c r="H104" s="3" t="e">
        <f ca="1">IF(_xludf.TEXTJOIN("; ",TRUE,D104,F104)="","",_xludf.TEXTJOIN("; ",TRUE,D104,F104))</f>
        <v>#NAME?</v>
      </c>
      <c r="I104" s="3">
        <v>32</v>
      </c>
      <c r="J104" s="3"/>
      <c r="K104" s="3">
        <v>109</v>
      </c>
      <c r="L104" s="3"/>
      <c r="M104" s="3">
        <f t="shared" si="4"/>
        <v>3488</v>
      </c>
      <c r="N104" s="3" t="e">
        <f ca="1">IF(_xludf.TEXTJOIN("; ",TRUE,J104,L104)="","",_xludf.TEXTJOIN("; ",TRUE,J104,L104))</f>
        <v>#NAME?</v>
      </c>
      <c r="O104" s="3">
        <v>30</v>
      </c>
      <c r="P104" s="3"/>
      <c r="Q104" s="3">
        <v>112</v>
      </c>
      <c r="R104" s="3"/>
      <c r="S104" s="3">
        <f t="shared" si="5"/>
        <v>3360</v>
      </c>
      <c r="T104" s="3" t="e">
        <f ca="1">IF(_xludf.TEXTJOIN("; ",TRUE,P104,R104)="","",_xludf.TEXTJOIN("; ",TRUE,P104,R104))</f>
        <v>#NAME?</v>
      </c>
    </row>
    <row r="105" spans="1:20">
      <c r="A105" t="s">
        <v>230</v>
      </c>
      <c r="B105" t="s">
        <v>231</v>
      </c>
      <c r="C105" s="3">
        <v>33</v>
      </c>
      <c r="D105" s="3"/>
      <c r="E105" s="3">
        <v>105</v>
      </c>
      <c r="F105" s="3"/>
      <c r="G105" s="3">
        <f t="shared" si="3"/>
        <v>3465</v>
      </c>
      <c r="H105" s="3" t="e">
        <f ca="1">IF(_xludf.TEXTJOIN("; ",TRUE,D105,F105)="","",_xludf.TEXTJOIN("; ",TRUE,D105,F105))</f>
        <v>#NAME?</v>
      </c>
      <c r="I105" s="3">
        <v>32</v>
      </c>
      <c r="J105" s="3"/>
      <c r="K105" s="3">
        <v>109</v>
      </c>
      <c r="L105" s="3"/>
      <c r="M105" s="3">
        <f t="shared" si="4"/>
        <v>3488</v>
      </c>
      <c r="N105" s="3" t="e">
        <f ca="1">IF(_xludf.TEXTJOIN("; ",TRUE,J105,L105)="","",_xludf.TEXTJOIN("; ",TRUE,J105,L105))</f>
        <v>#NAME?</v>
      </c>
      <c r="O105" s="3">
        <v>30</v>
      </c>
      <c r="P105" s="3"/>
      <c r="Q105" s="3">
        <v>112</v>
      </c>
      <c r="R105" s="3"/>
      <c r="S105" s="3">
        <f t="shared" si="5"/>
        <v>3360</v>
      </c>
      <c r="T105" s="3" t="e">
        <f ca="1">IF(_xludf.TEXTJOIN("; ",TRUE,P105,R105)="","",_xludf.TEXTJOIN("; ",TRUE,P105,R105))</f>
        <v>#NAME?</v>
      </c>
    </row>
    <row r="106" spans="1:20">
      <c r="A106" t="s">
        <v>232</v>
      </c>
      <c r="B106" t="s">
        <v>231</v>
      </c>
      <c r="C106" s="3">
        <v>33</v>
      </c>
      <c r="D106" s="3"/>
      <c r="E106" s="3">
        <v>105</v>
      </c>
      <c r="F106" s="3"/>
      <c r="G106" s="3">
        <f t="shared" si="3"/>
        <v>3465</v>
      </c>
      <c r="H106" s="3" t="e">
        <f ca="1">IF(_xludf.TEXTJOIN("; ",TRUE,D106,F106)="","",_xludf.TEXTJOIN("; ",TRUE,D106,F106))</f>
        <v>#NAME?</v>
      </c>
      <c r="I106" s="3">
        <v>32</v>
      </c>
      <c r="J106" s="3"/>
      <c r="K106" s="3">
        <v>109</v>
      </c>
      <c r="L106" s="3"/>
      <c r="M106" s="3">
        <f t="shared" si="4"/>
        <v>3488</v>
      </c>
      <c r="N106" s="3" t="e">
        <f ca="1">IF(_xludf.TEXTJOIN("; ",TRUE,J106,L106)="","",_xludf.TEXTJOIN("; ",TRUE,J106,L106))</f>
        <v>#NAME?</v>
      </c>
      <c r="O106" s="3">
        <v>30</v>
      </c>
      <c r="P106" s="3"/>
      <c r="Q106" s="3">
        <v>112</v>
      </c>
      <c r="R106" s="3"/>
      <c r="S106" s="3">
        <f t="shared" si="5"/>
        <v>3360</v>
      </c>
      <c r="T106" s="3" t="e">
        <f ca="1">IF(_xludf.TEXTJOIN("; ",TRUE,P106,R106)="","",_xludf.TEXTJOIN("; ",TRUE,P106,R106))</f>
        <v>#NAME?</v>
      </c>
    </row>
    <row r="107" spans="1:20">
      <c r="A107" t="s">
        <v>233</v>
      </c>
      <c r="B107" t="s">
        <v>68</v>
      </c>
      <c r="C107" s="3" t="s">
        <v>43</v>
      </c>
      <c r="D107" s="3"/>
      <c r="E107" s="3">
        <v>0</v>
      </c>
      <c r="F107" s="3"/>
      <c r="G107" s="3" t="str">
        <f t="shared" si="3"/>
        <v/>
      </c>
      <c r="H107" s="3" t="e">
        <f ca="1">IF(_xludf.TEXTJOIN("; ",TRUE,D107,F107)="","",_xludf.TEXTJOIN("; ",TRUE,D107,F107))</f>
        <v>#NAME?</v>
      </c>
      <c r="I107" s="3" t="s">
        <v>43</v>
      </c>
      <c r="J107" s="3"/>
      <c r="K107" s="3">
        <v>0</v>
      </c>
      <c r="L107" s="3"/>
      <c r="M107" s="3" t="str">
        <f t="shared" si="4"/>
        <v/>
      </c>
      <c r="N107" s="3" t="e">
        <f ca="1">IF(_xludf.TEXTJOIN("; ",TRUE,J107,L107)="","",_xludf.TEXTJOIN("; ",TRUE,J107,L107))</f>
        <v>#NAME?</v>
      </c>
      <c r="O107" s="3" t="s">
        <v>43</v>
      </c>
      <c r="P107" s="3"/>
      <c r="Q107" s="3">
        <v>0</v>
      </c>
      <c r="R107" s="3"/>
      <c r="S107" s="3" t="str">
        <f t="shared" si="5"/>
        <v/>
      </c>
      <c r="T107" s="3" t="e">
        <f ca="1">IF(_xludf.TEXTJOIN("; ",TRUE,P107,R107)="","",_xludf.TEXTJOIN("; ",TRUE,P107,R107))</f>
        <v>#NAME?</v>
      </c>
    </row>
    <row r="108" spans="1:20">
      <c r="A108" t="s">
        <v>234</v>
      </c>
      <c r="B108" t="s">
        <v>70</v>
      </c>
      <c r="C108" s="3" t="s">
        <v>43</v>
      </c>
      <c r="D108" s="3"/>
      <c r="E108" s="3">
        <v>0</v>
      </c>
      <c r="F108" s="3"/>
      <c r="G108" s="3" t="str">
        <f t="shared" si="3"/>
        <v/>
      </c>
      <c r="H108" s="3" t="e">
        <f ca="1">IF(_xludf.TEXTJOIN("; ",TRUE,D108,F108)="","",_xludf.TEXTJOIN("; ",TRUE,D108,F108))</f>
        <v>#NAME?</v>
      </c>
      <c r="I108" s="3" t="s">
        <v>43</v>
      </c>
      <c r="J108" s="3"/>
      <c r="K108" s="3">
        <v>0</v>
      </c>
      <c r="L108" s="3"/>
      <c r="M108" s="3" t="str">
        <f t="shared" si="4"/>
        <v/>
      </c>
      <c r="N108" s="3" t="e">
        <f ca="1">IF(_xludf.TEXTJOIN("; ",TRUE,J108,L108)="","",_xludf.TEXTJOIN("; ",TRUE,J108,L108))</f>
        <v>#NAME?</v>
      </c>
      <c r="O108" s="3" t="s">
        <v>43</v>
      </c>
      <c r="P108" s="3"/>
      <c r="Q108" s="3">
        <v>0</v>
      </c>
      <c r="R108" s="3"/>
      <c r="S108" s="3" t="str">
        <f t="shared" si="5"/>
        <v/>
      </c>
      <c r="T108" s="3" t="e">
        <f ca="1">IF(_xludf.TEXTJOIN("; ",TRUE,P108,R108)="","",_xludf.TEXTJOIN("; ",TRUE,P108,R108))</f>
        <v>#NAME?</v>
      </c>
    </row>
    <row r="109" spans="1:20">
      <c r="A109" t="s">
        <v>235</v>
      </c>
      <c r="B109" t="s">
        <v>236</v>
      </c>
      <c r="C109" s="3">
        <v>20</v>
      </c>
      <c r="D109" s="3"/>
      <c r="E109" s="3">
        <v>156</v>
      </c>
      <c r="F109" s="3"/>
      <c r="G109" s="3">
        <f t="shared" si="3"/>
        <v>3120</v>
      </c>
      <c r="H109" s="3" t="e">
        <f ca="1">IF(_xludf.TEXTJOIN("; ",TRUE,D109,F109)="","",_xludf.TEXTJOIN("; ",TRUE,D109,F109))</f>
        <v>#NAME?</v>
      </c>
      <c r="I109" s="3" t="s">
        <v>43</v>
      </c>
      <c r="J109" s="3" t="s">
        <v>44</v>
      </c>
      <c r="K109" s="3" t="s">
        <v>43</v>
      </c>
      <c r="L109" s="3" t="s">
        <v>44</v>
      </c>
      <c r="M109" s="3" t="str">
        <f t="shared" si="4"/>
        <v/>
      </c>
      <c r="N109" s="3" t="e">
        <f ca="1">IF(_xludf.TEXTJOIN("; ",TRUE,J109,L109)="","",_xludf.TEXTJOIN("; ",TRUE,J109,L109))</f>
        <v>#NAME?</v>
      </c>
      <c r="O109" s="3" t="s">
        <v>43</v>
      </c>
      <c r="P109" s="3" t="s">
        <v>44</v>
      </c>
      <c r="Q109" s="3" t="s">
        <v>43</v>
      </c>
      <c r="R109" s="3" t="s">
        <v>44</v>
      </c>
      <c r="S109" s="3" t="str">
        <f t="shared" si="5"/>
        <v/>
      </c>
      <c r="T109" s="3" t="e">
        <f ca="1">IF(_xludf.TEXTJOIN("; ",TRUE,P109,R109)="","",_xludf.TEXTJOIN("; ",TRUE,P109,R109))</f>
        <v>#NAME?</v>
      </c>
    </row>
    <row r="110" spans="1:20">
      <c r="A110" t="s">
        <v>237</v>
      </c>
      <c r="B110" t="s">
        <v>238</v>
      </c>
      <c r="C110" s="3" t="s">
        <v>43</v>
      </c>
      <c r="D110" s="3" t="s">
        <v>44</v>
      </c>
      <c r="E110" s="3" t="s">
        <v>43</v>
      </c>
      <c r="F110" s="3" t="s">
        <v>44</v>
      </c>
      <c r="G110" s="3" t="str">
        <f t="shared" si="3"/>
        <v/>
      </c>
      <c r="H110" s="3" t="e">
        <f ca="1">IF(_xludf.TEXTJOIN("; ",TRUE,D110,F110)="","",_xludf.TEXTJOIN("; ",TRUE,D110,F110))</f>
        <v>#NAME?</v>
      </c>
      <c r="I110" s="3">
        <v>14</v>
      </c>
      <c r="J110" s="3"/>
      <c r="K110" s="3">
        <v>25</v>
      </c>
      <c r="L110" s="3"/>
      <c r="M110" s="3">
        <f t="shared" si="4"/>
        <v>350</v>
      </c>
      <c r="N110" s="3" t="e">
        <f ca="1">IF(_xludf.TEXTJOIN("; ",TRUE,J110,L110)="","",_xludf.TEXTJOIN("; ",TRUE,J110,L110))</f>
        <v>#NAME?</v>
      </c>
      <c r="O110" s="3">
        <v>14</v>
      </c>
      <c r="P110" s="3"/>
      <c r="Q110" s="3">
        <v>27</v>
      </c>
      <c r="R110" s="3"/>
      <c r="S110" s="3">
        <f t="shared" si="5"/>
        <v>378</v>
      </c>
      <c r="T110" s="3" t="e">
        <f ca="1">IF(_xludf.TEXTJOIN("; ",TRUE,P110,R110)="","",_xludf.TEXTJOIN("; ",TRUE,P110,R110))</f>
        <v>#NAME?</v>
      </c>
    </row>
    <row r="111" spans="1:20">
      <c r="A111" t="s">
        <v>239</v>
      </c>
      <c r="B111" t="s">
        <v>240</v>
      </c>
      <c r="C111" s="3" t="s">
        <v>43</v>
      </c>
      <c r="D111" s="3" t="s">
        <v>44</v>
      </c>
      <c r="E111" s="3" t="s">
        <v>43</v>
      </c>
      <c r="F111" s="3" t="s">
        <v>44</v>
      </c>
      <c r="G111" s="3" t="str">
        <f t="shared" si="3"/>
        <v/>
      </c>
      <c r="H111" s="3" t="e">
        <f ca="1">IF(_xludf.TEXTJOIN("; ",TRUE,D111,F111)="","",_xludf.TEXTJOIN("; ",TRUE,D111,F111))</f>
        <v>#NAME?</v>
      </c>
      <c r="I111" s="3">
        <v>33</v>
      </c>
      <c r="J111" s="3"/>
      <c r="K111" s="3">
        <v>47</v>
      </c>
      <c r="L111" s="3"/>
      <c r="M111" s="3">
        <f t="shared" si="4"/>
        <v>1551</v>
      </c>
      <c r="N111" s="3" t="e">
        <f ca="1">IF(_xludf.TEXTJOIN("; ",TRUE,J111,L111)="","",_xludf.TEXTJOIN("; ",TRUE,J111,L111))</f>
        <v>#NAME?</v>
      </c>
      <c r="O111" s="3">
        <v>32</v>
      </c>
      <c r="P111" s="3"/>
      <c r="Q111" s="3">
        <v>46</v>
      </c>
      <c r="R111" s="3"/>
      <c r="S111" s="3">
        <f t="shared" si="5"/>
        <v>1472</v>
      </c>
      <c r="T111" s="3" t="e">
        <f ca="1">IF(_xludf.TEXTJOIN("; ",TRUE,P111,R111)="","",_xludf.TEXTJOIN("; ",TRUE,P111,R111))</f>
        <v>#NAME?</v>
      </c>
    </row>
    <row r="112" spans="1:20">
      <c r="A112" t="s">
        <v>241</v>
      </c>
      <c r="B112" t="s">
        <v>242</v>
      </c>
      <c r="C112" s="3">
        <v>11</v>
      </c>
      <c r="D112" s="3"/>
      <c r="E112" s="3">
        <v>82</v>
      </c>
      <c r="F112" s="3"/>
      <c r="G112" s="3">
        <f t="shared" si="3"/>
        <v>902</v>
      </c>
      <c r="H112" s="3" t="e">
        <f ca="1">IF(_xludf.TEXTJOIN("; ",TRUE,D112,F112)="","",_xludf.TEXTJOIN("; ",TRUE,D112,F112))</f>
        <v>#NAME?</v>
      </c>
      <c r="I112" s="3">
        <v>12</v>
      </c>
      <c r="J112" s="3"/>
      <c r="K112" s="3">
        <v>94</v>
      </c>
      <c r="L112" s="3"/>
      <c r="M112" s="3">
        <f t="shared" si="4"/>
        <v>1128</v>
      </c>
      <c r="N112" s="3" t="e">
        <f ca="1">IF(_xludf.TEXTJOIN("; ",TRUE,J112,L112)="","",_xludf.TEXTJOIN("; ",TRUE,J112,L112))</f>
        <v>#NAME?</v>
      </c>
      <c r="O112" s="3">
        <v>14</v>
      </c>
      <c r="P112" s="3"/>
      <c r="Q112" s="3">
        <v>94</v>
      </c>
      <c r="R112" s="3"/>
      <c r="S112" s="3">
        <f t="shared" si="5"/>
        <v>1316</v>
      </c>
      <c r="T112" s="3" t="e">
        <f ca="1">IF(_xludf.TEXTJOIN("; ",TRUE,P112,R112)="","",_xludf.TEXTJOIN("; ",TRUE,P112,R112))</f>
        <v>#NAME?</v>
      </c>
    </row>
    <row r="113" spans="1:20">
      <c r="A113" t="s">
        <v>243</v>
      </c>
      <c r="B113" t="s">
        <v>244</v>
      </c>
      <c r="C113" s="3">
        <v>4</v>
      </c>
      <c r="D113" s="3"/>
      <c r="E113" s="3">
        <v>463</v>
      </c>
      <c r="F113" s="3"/>
      <c r="G113" s="3">
        <f t="shared" si="3"/>
        <v>1852</v>
      </c>
      <c r="H113" s="3" t="e">
        <f ca="1">IF(_xludf.TEXTJOIN("; ",TRUE,D113,F113)="","",_xludf.TEXTJOIN("; ",TRUE,D113,F113))</f>
        <v>#NAME?</v>
      </c>
      <c r="I113" s="3">
        <v>3</v>
      </c>
      <c r="J113" s="3"/>
      <c r="K113" s="3">
        <v>475</v>
      </c>
      <c r="L113" s="3"/>
      <c r="M113" s="3">
        <f t="shared" si="4"/>
        <v>1425</v>
      </c>
      <c r="N113" s="3" t="e">
        <f ca="1">IF(_xludf.TEXTJOIN("; ",TRUE,J113,L113)="","",_xludf.TEXTJOIN("; ",TRUE,J113,L113))</f>
        <v>#NAME?</v>
      </c>
      <c r="O113" s="3">
        <v>3</v>
      </c>
      <c r="P113" s="3"/>
      <c r="Q113" s="3">
        <v>492</v>
      </c>
      <c r="R113" s="3"/>
      <c r="S113" s="3">
        <f t="shared" si="5"/>
        <v>1476</v>
      </c>
      <c r="T113" s="3" t="e">
        <f ca="1">IF(_xludf.TEXTJOIN("; ",TRUE,P113,R113)="","",_xludf.TEXTJOIN("; ",TRUE,P113,R113))</f>
        <v>#NAME?</v>
      </c>
    </row>
    <row r="114" spans="1:20">
      <c r="A114" t="s">
        <v>245</v>
      </c>
      <c r="B114" t="s">
        <v>246</v>
      </c>
      <c r="C114" s="3">
        <v>5</v>
      </c>
      <c r="D114" s="3"/>
      <c r="E114" s="3">
        <v>158</v>
      </c>
      <c r="F114" s="3"/>
      <c r="G114" s="3">
        <f t="shared" si="3"/>
        <v>790</v>
      </c>
      <c r="H114" s="3" t="e">
        <f ca="1">IF(_xludf.TEXTJOIN("; ",TRUE,D114,F114)="","",_xludf.TEXTJOIN("; ",TRUE,D114,F114))</f>
        <v>#NAME?</v>
      </c>
      <c r="I114" s="3">
        <v>4</v>
      </c>
      <c r="J114" s="3"/>
      <c r="K114" s="3">
        <v>167</v>
      </c>
      <c r="L114" s="3"/>
      <c r="M114" s="3">
        <f t="shared" si="4"/>
        <v>668</v>
      </c>
      <c r="N114" s="3" t="e">
        <f ca="1">IF(_xludf.TEXTJOIN("; ",TRUE,J114,L114)="","",_xludf.TEXTJOIN("; ",TRUE,J114,L114))</f>
        <v>#NAME?</v>
      </c>
      <c r="O114" s="3">
        <v>4</v>
      </c>
      <c r="P114" s="3"/>
      <c r="Q114" s="3">
        <v>176</v>
      </c>
      <c r="R114" s="3"/>
      <c r="S114" s="3">
        <f t="shared" si="5"/>
        <v>704</v>
      </c>
      <c r="T114" s="3" t="e">
        <f ca="1">IF(_xludf.TEXTJOIN("; ",TRUE,P114,R114)="","",_xludf.TEXTJOIN("; ",TRUE,P114,R114))</f>
        <v>#NAME?</v>
      </c>
    </row>
    <row r="115" spans="1:20">
      <c r="A115" t="s">
        <v>247</v>
      </c>
      <c r="B115" t="s">
        <v>246</v>
      </c>
      <c r="C115" s="3">
        <v>5</v>
      </c>
      <c r="D115" s="3"/>
      <c r="E115" s="3">
        <v>158</v>
      </c>
      <c r="F115" s="3"/>
      <c r="G115" s="3">
        <f t="shared" si="3"/>
        <v>790</v>
      </c>
      <c r="H115" s="3" t="e">
        <f ca="1">IF(_xludf.TEXTJOIN("; ",TRUE,D115,F115)="","",_xludf.TEXTJOIN("; ",TRUE,D115,F115))</f>
        <v>#NAME?</v>
      </c>
      <c r="I115" s="3">
        <v>4</v>
      </c>
      <c r="J115" s="3"/>
      <c r="K115" s="3">
        <v>167</v>
      </c>
      <c r="L115" s="3"/>
      <c r="M115" s="3">
        <f t="shared" si="4"/>
        <v>668</v>
      </c>
      <c r="N115" s="3" t="e">
        <f ca="1">IF(_xludf.TEXTJOIN("; ",TRUE,J115,L115)="","",_xludf.TEXTJOIN("; ",TRUE,J115,L115))</f>
        <v>#NAME?</v>
      </c>
      <c r="O115" s="3">
        <v>4</v>
      </c>
      <c r="P115" s="3"/>
      <c r="Q115" s="3">
        <v>176</v>
      </c>
      <c r="R115" s="3"/>
      <c r="S115" s="3">
        <f t="shared" si="5"/>
        <v>704</v>
      </c>
      <c r="T115" s="3" t="e">
        <f ca="1">IF(_xludf.TEXTJOIN("; ",TRUE,P115,R115)="","",_xludf.TEXTJOIN("; ",TRUE,P115,R115))</f>
        <v>#NAME?</v>
      </c>
    </row>
    <row r="116" spans="1:20">
      <c r="A116" t="s">
        <v>248</v>
      </c>
      <c r="B116" t="s">
        <v>249</v>
      </c>
      <c r="C116" s="3">
        <v>1</v>
      </c>
      <c r="D116" s="3"/>
      <c r="E116" s="3">
        <v>41</v>
      </c>
      <c r="F116" s="3"/>
      <c r="G116" s="3">
        <f t="shared" si="3"/>
        <v>41</v>
      </c>
      <c r="H116" s="3" t="e">
        <f ca="1">IF(_xludf.TEXTJOIN("; ",TRUE,D116,F116)="","",_xludf.TEXTJOIN("; ",TRUE,D116,F116))</f>
        <v>#NAME?</v>
      </c>
      <c r="I116" s="3">
        <v>1</v>
      </c>
      <c r="J116" s="3"/>
      <c r="K116" s="3">
        <v>43</v>
      </c>
      <c r="L116" s="3"/>
      <c r="M116" s="3">
        <f t="shared" si="4"/>
        <v>43</v>
      </c>
      <c r="N116" s="3" t="e">
        <f ca="1">IF(_xludf.TEXTJOIN("; ",TRUE,J116,L116)="","",_xludf.TEXTJOIN("; ",TRUE,J116,L116))</f>
        <v>#NAME?</v>
      </c>
      <c r="O116" s="3">
        <v>2</v>
      </c>
      <c r="P116" s="3"/>
      <c r="Q116" s="3">
        <v>45</v>
      </c>
      <c r="R116" s="3"/>
      <c r="S116" s="3">
        <f t="shared" si="5"/>
        <v>90</v>
      </c>
      <c r="T116" s="3" t="e">
        <f ca="1">IF(_xludf.TEXTJOIN("; ",TRUE,P116,R116)="","",_xludf.TEXTJOIN("; ",TRUE,P116,R116))</f>
        <v>#NAME?</v>
      </c>
    </row>
    <row r="117" spans="1:20">
      <c r="A117" t="s">
        <v>250</v>
      </c>
      <c r="B117" t="s">
        <v>251</v>
      </c>
      <c r="C117" s="3">
        <v>2</v>
      </c>
      <c r="D117" s="3"/>
      <c r="E117" s="3">
        <v>5</v>
      </c>
      <c r="F117" s="3"/>
      <c r="G117" s="3">
        <f t="shared" si="3"/>
        <v>10</v>
      </c>
      <c r="H117" s="3" t="e">
        <f ca="1">IF(_xludf.TEXTJOIN("; ",TRUE,D117,F117)="","",_xludf.TEXTJOIN("; ",TRUE,D117,F117))</f>
        <v>#NAME?</v>
      </c>
      <c r="I117" s="3">
        <v>2</v>
      </c>
      <c r="J117" s="3"/>
      <c r="K117" s="3">
        <v>5</v>
      </c>
      <c r="L117" s="3"/>
      <c r="M117" s="3">
        <f t="shared" si="4"/>
        <v>10</v>
      </c>
      <c r="N117" s="3" t="e">
        <f ca="1">IF(_xludf.TEXTJOIN("; ",TRUE,J117,L117)="","",_xludf.TEXTJOIN("; ",TRUE,J117,L117))</f>
        <v>#NAME?</v>
      </c>
      <c r="O117" s="3">
        <v>2</v>
      </c>
      <c r="P117" s="3"/>
      <c r="Q117" s="3">
        <v>5</v>
      </c>
      <c r="R117" s="3"/>
      <c r="S117" s="3">
        <f t="shared" si="5"/>
        <v>10</v>
      </c>
      <c r="T117" s="3" t="e">
        <f ca="1">IF(_xludf.TEXTJOIN("; ",TRUE,P117,R117)="","",_xludf.TEXTJOIN("; ",TRUE,P117,R117))</f>
        <v>#NAME?</v>
      </c>
    </row>
    <row r="118" spans="1:20">
      <c r="A118" t="s">
        <v>252</v>
      </c>
      <c r="B118" t="s">
        <v>253</v>
      </c>
      <c r="C118" s="3">
        <v>1</v>
      </c>
      <c r="D118" s="3"/>
      <c r="E118" s="3">
        <v>5</v>
      </c>
      <c r="F118" s="3"/>
      <c r="G118" s="3">
        <f t="shared" si="3"/>
        <v>5</v>
      </c>
      <c r="H118" s="3" t="e">
        <f ca="1">IF(_xludf.TEXTJOIN("; ",TRUE,D118,F118)="","",_xludf.TEXTJOIN("; ",TRUE,D118,F118))</f>
        <v>#NAME?</v>
      </c>
      <c r="I118" s="3">
        <v>1</v>
      </c>
      <c r="J118" s="3"/>
      <c r="K118" s="3">
        <v>6</v>
      </c>
      <c r="L118" s="3"/>
      <c r="M118" s="3">
        <f t="shared" si="4"/>
        <v>6</v>
      </c>
      <c r="N118" s="3" t="e">
        <f ca="1">IF(_xludf.TEXTJOIN("; ",TRUE,J118,L118)="","",_xludf.TEXTJOIN("; ",TRUE,J118,L118))</f>
        <v>#NAME?</v>
      </c>
      <c r="O118" s="3">
        <v>1</v>
      </c>
      <c r="P118" s="3"/>
      <c r="Q118" s="3">
        <v>5</v>
      </c>
      <c r="R118" s="3"/>
      <c r="S118" s="3">
        <f t="shared" si="5"/>
        <v>5</v>
      </c>
      <c r="T118" s="3" t="e">
        <f ca="1">IF(_xludf.TEXTJOIN("; ",TRUE,P118,R118)="","",_xludf.TEXTJOIN("; ",TRUE,P118,R118))</f>
        <v>#NAME?</v>
      </c>
    </row>
    <row r="119" spans="1:20">
      <c r="A119" t="s">
        <v>254</v>
      </c>
      <c r="B119" t="s">
        <v>255</v>
      </c>
      <c r="C119" s="3">
        <v>1</v>
      </c>
      <c r="D119" s="3"/>
      <c r="E119" s="3">
        <v>31</v>
      </c>
      <c r="F119" s="3"/>
      <c r="G119" s="3">
        <f t="shared" si="3"/>
        <v>31</v>
      </c>
      <c r="H119" s="3" t="e">
        <f ca="1">IF(_xludf.TEXTJOIN("; ",TRUE,D119,F119)="","",_xludf.TEXTJOIN("; ",TRUE,D119,F119))</f>
        <v>#NAME?</v>
      </c>
      <c r="I119" s="3">
        <v>2</v>
      </c>
      <c r="J119" s="3"/>
      <c r="K119" s="3">
        <v>32</v>
      </c>
      <c r="L119" s="3"/>
      <c r="M119" s="3">
        <f t="shared" si="4"/>
        <v>64</v>
      </c>
      <c r="N119" s="3" t="e">
        <f ca="1">IF(_xludf.TEXTJOIN("; ",TRUE,J119,L119)="","",_xludf.TEXTJOIN("; ",TRUE,J119,L119))</f>
        <v>#NAME?</v>
      </c>
      <c r="O119" s="3">
        <v>2</v>
      </c>
      <c r="P119" s="3"/>
      <c r="Q119" s="3">
        <v>35</v>
      </c>
      <c r="R119" s="3"/>
      <c r="S119" s="3">
        <f t="shared" si="5"/>
        <v>70</v>
      </c>
      <c r="T119" s="3" t="e">
        <f ca="1">IF(_xludf.TEXTJOIN("; ",TRUE,P119,R119)="","",_xludf.TEXTJOIN("; ",TRUE,P119,R119))</f>
        <v>#NAME?</v>
      </c>
    </row>
    <row r="120" spans="1:20">
      <c r="A120" t="s">
        <v>256</v>
      </c>
      <c r="B120" t="s">
        <v>257</v>
      </c>
      <c r="C120" s="3">
        <v>4</v>
      </c>
      <c r="D120" s="3"/>
      <c r="E120" s="3">
        <v>148</v>
      </c>
      <c r="F120" s="3"/>
      <c r="G120" s="3">
        <f t="shared" si="3"/>
        <v>592</v>
      </c>
      <c r="H120" s="3" t="e">
        <f ca="1">IF(_xludf.TEXTJOIN("; ",TRUE,D120,F120)="","",_xludf.TEXTJOIN("; ",TRUE,D120,F120))</f>
        <v>#NAME?</v>
      </c>
      <c r="I120" s="3">
        <v>4</v>
      </c>
      <c r="J120" s="3"/>
      <c r="K120" s="3">
        <v>148</v>
      </c>
      <c r="L120" s="3"/>
      <c r="M120" s="3">
        <f t="shared" si="4"/>
        <v>592</v>
      </c>
      <c r="N120" s="3" t="e">
        <f ca="1">IF(_xludf.TEXTJOIN("; ",TRUE,J120,L120)="","",_xludf.TEXTJOIN("; ",TRUE,J120,L120))</f>
        <v>#NAME?</v>
      </c>
      <c r="O120" s="3">
        <v>4</v>
      </c>
      <c r="P120" s="3"/>
      <c r="Q120" s="3">
        <v>143</v>
      </c>
      <c r="R120" s="3"/>
      <c r="S120" s="3">
        <f t="shared" si="5"/>
        <v>572</v>
      </c>
      <c r="T120" s="3" t="e">
        <f ca="1">IF(_xludf.TEXTJOIN("; ",TRUE,P120,R120)="","",_xludf.TEXTJOIN("; ",TRUE,P120,R120))</f>
        <v>#NAME?</v>
      </c>
    </row>
    <row r="121" spans="1:20">
      <c r="A121" t="s">
        <v>258</v>
      </c>
      <c r="B121" t="s">
        <v>259</v>
      </c>
      <c r="C121" s="3">
        <v>4</v>
      </c>
      <c r="D121" s="3"/>
      <c r="E121" s="3">
        <v>25</v>
      </c>
      <c r="F121" s="3"/>
      <c r="G121" s="3">
        <f t="shared" si="3"/>
        <v>100</v>
      </c>
      <c r="H121" s="3" t="e">
        <f ca="1">IF(_xludf.TEXTJOIN("; ",TRUE,D121,F121)="","",_xludf.TEXTJOIN("; ",TRUE,D121,F121))</f>
        <v>#NAME?</v>
      </c>
      <c r="I121" s="3">
        <v>4</v>
      </c>
      <c r="J121" s="3"/>
      <c r="K121" s="3">
        <v>23</v>
      </c>
      <c r="L121" s="3"/>
      <c r="M121" s="3">
        <f t="shared" si="4"/>
        <v>92</v>
      </c>
      <c r="N121" s="3" t="e">
        <f ca="1">IF(_xludf.TEXTJOIN("; ",TRUE,J121,L121)="","",_xludf.TEXTJOIN("; ",TRUE,J121,L121))</f>
        <v>#NAME?</v>
      </c>
      <c r="O121" s="3">
        <v>3</v>
      </c>
      <c r="P121" s="3"/>
      <c r="Q121" s="3">
        <v>26</v>
      </c>
      <c r="R121" s="3"/>
      <c r="S121" s="3">
        <f t="shared" si="5"/>
        <v>78</v>
      </c>
      <c r="T121" s="3" t="e">
        <f ca="1">IF(_xludf.TEXTJOIN("; ",TRUE,P121,R121)="","",_xludf.TEXTJOIN("; ",TRUE,P121,R121))</f>
        <v>#NAME?</v>
      </c>
    </row>
    <row r="122" spans="1:20">
      <c r="A122" t="s">
        <v>260</v>
      </c>
      <c r="B122" t="s">
        <v>261</v>
      </c>
      <c r="C122" s="3">
        <v>4</v>
      </c>
      <c r="D122" s="3"/>
      <c r="E122" s="3">
        <v>108</v>
      </c>
      <c r="F122" s="3"/>
      <c r="G122" s="3">
        <f t="shared" si="3"/>
        <v>432</v>
      </c>
      <c r="H122" s="3" t="e">
        <f ca="1">IF(_xludf.TEXTJOIN("; ",TRUE,D122,F122)="","",_xludf.TEXTJOIN("; ",TRUE,D122,F122))</f>
        <v>#NAME?</v>
      </c>
      <c r="I122" s="3">
        <v>4</v>
      </c>
      <c r="J122" s="3"/>
      <c r="K122" s="3">
        <v>110</v>
      </c>
      <c r="L122" s="3"/>
      <c r="M122" s="3">
        <f t="shared" si="4"/>
        <v>440</v>
      </c>
      <c r="N122" s="3" t="e">
        <f ca="1">IF(_xludf.TEXTJOIN("; ",TRUE,J122,L122)="","",_xludf.TEXTJOIN("; ",TRUE,J122,L122))</f>
        <v>#NAME?</v>
      </c>
      <c r="O122" s="3">
        <v>4</v>
      </c>
      <c r="P122" s="3"/>
      <c r="Q122" s="3">
        <v>104</v>
      </c>
      <c r="R122" s="3"/>
      <c r="S122" s="3">
        <f t="shared" si="5"/>
        <v>416</v>
      </c>
      <c r="T122" s="3" t="e">
        <f ca="1">IF(_xludf.TEXTJOIN("; ",TRUE,P122,R122)="","",_xludf.TEXTJOIN("; ",TRUE,P122,R122))</f>
        <v>#NAME?</v>
      </c>
    </row>
    <row r="123" spans="1:20">
      <c r="A123" t="s">
        <v>262</v>
      </c>
      <c r="B123" t="s">
        <v>263</v>
      </c>
      <c r="C123" s="3">
        <v>2</v>
      </c>
      <c r="D123" s="3"/>
      <c r="E123" s="3">
        <v>9</v>
      </c>
      <c r="F123" s="3"/>
      <c r="G123" s="3">
        <f t="shared" si="3"/>
        <v>18</v>
      </c>
      <c r="H123" s="3" t="e">
        <f ca="1">IF(_xludf.TEXTJOIN("; ",TRUE,D123,F123)="","",_xludf.TEXTJOIN("; ",TRUE,D123,F123))</f>
        <v>#NAME?</v>
      </c>
      <c r="I123" s="3">
        <v>2</v>
      </c>
      <c r="J123" s="3"/>
      <c r="K123" s="3">
        <v>9</v>
      </c>
      <c r="L123" s="3"/>
      <c r="M123" s="3">
        <f t="shared" si="4"/>
        <v>18</v>
      </c>
      <c r="N123" s="3" t="e">
        <f ca="1">IF(_xludf.TEXTJOIN("; ",TRUE,J123,L123)="","",_xludf.TEXTJOIN("; ",TRUE,J123,L123))</f>
        <v>#NAME?</v>
      </c>
      <c r="O123" s="3">
        <v>2</v>
      </c>
      <c r="P123" s="3"/>
      <c r="Q123" s="3">
        <v>7</v>
      </c>
      <c r="R123" s="3"/>
      <c r="S123" s="3">
        <f t="shared" si="5"/>
        <v>14</v>
      </c>
      <c r="T123" s="3" t="e">
        <f ca="1">IF(_xludf.TEXTJOIN("; ",TRUE,P123,R123)="","",_xludf.TEXTJOIN("; ",TRUE,P123,R123))</f>
        <v>#NAME?</v>
      </c>
    </row>
    <row r="124" spans="1:20">
      <c r="A124" t="s">
        <v>264</v>
      </c>
      <c r="B124" t="s">
        <v>265</v>
      </c>
      <c r="C124" s="3">
        <v>3</v>
      </c>
      <c r="D124" s="3"/>
      <c r="E124" s="3">
        <v>6</v>
      </c>
      <c r="F124" s="3"/>
      <c r="G124" s="3">
        <f t="shared" si="3"/>
        <v>18</v>
      </c>
      <c r="H124" s="3" t="e">
        <f ca="1">IF(_xludf.TEXTJOIN("; ",TRUE,D124,F124)="","",_xludf.TEXTJOIN("; ",TRUE,D124,F124))</f>
        <v>#NAME?</v>
      </c>
      <c r="I124" s="3">
        <v>3</v>
      </c>
      <c r="J124" s="3"/>
      <c r="K124" s="3">
        <v>6</v>
      </c>
      <c r="L124" s="3"/>
      <c r="M124" s="3">
        <f t="shared" si="4"/>
        <v>18</v>
      </c>
      <c r="N124" s="3" t="e">
        <f ca="1">IF(_xludf.TEXTJOIN("; ",TRUE,J124,L124)="","",_xludf.TEXTJOIN("; ",TRUE,J124,L124))</f>
        <v>#NAME?</v>
      </c>
      <c r="O124" s="3">
        <v>3</v>
      </c>
      <c r="P124" s="3"/>
      <c r="Q124" s="3">
        <v>6</v>
      </c>
      <c r="R124" s="3"/>
      <c r="S124" s="3">
        <f t="shared" si="5"/>
        <v>18</v>
      </c>
      <c r="T124" s="3" t="e">
        <f ca="1">IF(_xludf.TEXTJOIN("; ",TRUE,P124,R124)="","",_xludf.TEXTJOIN("; ",TRUE,P124,R124))</f>
        <v>#NAME?</v>
      </c>
    </row>
    <row r="125" spans="1:20">
      <c r="A125" t="s">
        <v>266</v>
      </c>
      <c r="B125" t="s">
        <v>267</v>
      </c>
      <c r="C125" s="3">
        <v>2</v>
      </c>
      <c r="D125" s="3"/>
      <c r="E125" s="3">
        <v>116</v>
      </c>
      <c r="F125" s="3"/>
      <c r="G125" s="3">
        <f t="shared" si="3"/>
        <v>232</v>
      </c>
      <c r="H125" s="3" t="e">
        <f ca="1">IF(_xludf.TEXTJOIN("; ",TRUE,D125,F125)="","",_xludf.TEXTJOIN("; ",TRUE,D125,F125))</f>
        <v>#NAME?</v>
      </c>
      <c r="I125" s="3">
        <v>2</v>
      </c>
      <c r="J125" s="3"/>
      <c r="K125" s="3">
        <v>117</v>
      </c>
      <c r="L125" s="3"/>
      <c r="M125" s="3">
        <f t="shared" si="4"/>
        <v>234</v>
      </c>
      <c r="N125" s="3" t="e">
        <f ca="1">IF(_xludf.TEXTJOIN("; ",TRUE,J125,L125)="","",_xludf.TEXTJOIN("; ",TRUE,J125,L125))</f>
        <v>#NAME?</v>
      </c>
      <c r="O125" s="3">
        <v>2</v>
      </c>
      <c r="P125" s="3"/>
      <c r="Q125" s="3">
        <v>128</v>
      </c>
      <c r="R125" s="3"/>
      <c r="S125" s="3">
        <f t="shared" si="5"/>
        <v>256</v>
      </c>
      <c r="T125" s="3" t="e">
        <f ca="1">IF(_xludf.TEXTJOIN("; ",TRUE,P125,R125)="","",_xludf.TEXTJOIN("; ",TRUE,P125,R125))</f>
        <v>#NAME?</v>
      </c>
    </row>
    <row r="126" spans="1:20">
      <c r="A126" t="s">
        <v>268</v>
      </c>
      <c r="B126" t="s">
        <v>269</v>
      </c>
      <c r="C126" s="3">
        <v>2</v>
      </c>
      <c r="D126" s="3"/>
      <c r="E126" s="3">
        <v>35</v>
      </c>
      <c r="F126" s="3"/>
      <c r="G126" s="3">
        <f t="shared" si="3"/>
        <v>70</v>
      </c>
      <c r="H126" s="3" t="e">
        <f ca="1">IF(_xludf.TEXTJOIN("; ",TRUE,D126,F126)="","",_xludf.TEXTJOIN("; ",TRUE,D126,F126))</f>
        <v>#NAME?</v>
      </c>
      <c r="I126" s="3">
        <v>3</v>
      </c>
      <c r="J126" s="3"/>
      <c r="K126" s="3">
        <v>37</v>
      </c>
      <c r="L126" s="3"/>
      <c r="M126" s="3">
        <f t="shared" si="4"/>
        <v>111</v>
      </c>
      <c r="N126" s="3" t="e">
        <f ca="1">IF(_xludf.TEXTJOIN("; ",TRUE,J126,L126)="","",_xludf.TEXTJOIN("; ",TRUE,J126,L126))</f>
        <v>#NAME?</v>
      </c>
      <c r="O126" s="3">
        <v>3</v>
      </c>
      <c r="P126" s="3"/>
      <c r="Q126" s="3">
        <v>40</v>
      </c>
      <c r="R126" s="3"/>
      <c r="S126" s="3">
        <f t="shared" si="5"/>
        <v>120</v>
      </c>
      <c r="T126" s="3" t="e">
        <f ca="1">IF(_xludf.TEXTJOIN("; ",TRUE,P126,R126)="","",_xludf.TEXTJOIN("; ",TRUE,P126,R126))</f>
        <v>#NAME?</v>
      </c>
    </row>
    <row r="127" spans="1:20">
      <c r="A127" t="s">
        <v>270</v>
      </c>
      <c r="B127" t="s">
        <v>271</v>
      </c>
      <c r="C127" s="3">
        <v>2</v>
      </c>
      <c r="D127" s="3"/>
      <c r="E127" s="3">
        <v>5</v>
      </c>
      <c r="F127" s="3"/>
      <c r="G127" s="3">
        <f t="shared" si="3"/>
        <v>10</v>
      </c>
      <c r="H127" s="3" t="e">
        <f ca="1">IF(_xludf.TEXTJOIN("; ",TRUE,D127,F127)="","",_xludf.TEXTJOIN("; ",TRUE,D127,F127))</f>
        <v>#NAME?</v>
      </c>
      <c r="I127" s="3">
        <v>2</v>
      </c>
      <c r="J127" s="3"/>
      <c r="K127" s="3">
        <v>5</v>
      </c>
      <c r="L127" s="3"/>
      <c r="M127" s="3">
        <f t="shared" si="4"/>
        <v>10</v>
      </c>
      <c r="N127" s="3" t="e">
        <f ca="1">IF(_xludf.TEXTJOIN("; ",TRUE,J127,L127)="","",_xludf.TEXTJOIN("; ",TRUE,J127,L127))</f>
        <v>#NAME?</v>
      </c>
      <c r="O127" s="3">
        <v>2</v>
      </c>
      <c r="P127" s="3"/>
      <c r="Q127" s="3">
        <v>5</v>
      </c>
      <c r="R127" s="3"/>
      <c r="S127" s="3">
        <f t="shared" si="5"/>
        <v>10</v>
      </c>
      <c r="T127" s="3" t="e">
        <f ca="1">IF(_xludf.TEXTJOIN("; ",TRUE,P127,R127)="","",_xludf.TEXTJOIN("; ",TRUE,P127,R127))</f>
        <v>#NAME?</v>
      </c>
    </row>
    <row r="128" spans="1:20">
      <c r="A128" t="s">
        <v>272</v>
      </c>
      <c r="B128" t="s">
        <v>273</v>
      </c>
      <c r="C128" s="3">
        <v>2</v>
      </c>
      <c r="D128" s="3"/>
      <c r="E128" s="3">
        <v>27</v>
      </c>
      <c r="F128" s="3"/>
      <c r="G128" s="3">
        <f t="shared" si="3"/>
        <v>54</v>
      </c>
      <c r="H128" s="3" t="e">
        <f ca="1">IF(_xludf.TEXTJOIN("; ",TRUE,D128,F128)="","",_xludf.TEXTJOIN("; ",TRUE,D128,F128))</f>
        <v>#NAME?</v>
      </c>
      <c r="I128" s="3">
        <v>2</v>
      </c>
      <c r="J128" s="3"/>
      <c r="K128" s="3">
        <v>26</v>
      </c>
      <c r="L128" s="3"/>
      <c r="M128" s="3">
        <f t="shared" si="4"/>
        <v>52</v>
      </c>
      <c r="N128" s="3" t="e">
        <f ca="1">IF(_xludf.TEXTJOIN("; ",TRUE,J128,L128)="","",_xludf.TEXTJOIN("; ",TRUE,J128,L128))</f>
        <v>#NAME?</v>
      </c>
      <c r="O128" s="3">
        <v>2</v>
      </c>
      <c r="P128" s="3"/>
      <c r="Q128" s="3">
        <v>32</v>
      </c>
      <c r="R128" s="3"/>
      <c r="S128" s="3">
        <f t="shared" si="5"/>
        <v>64</v>
      </c>
      <c r="T128" s="3" t="e">
        <f ca="1">IF(_xludf.TEXTJOIN("; ",TRUE,P128,R128)="","",_xludf.TEXTJOIN("; ",TRUE,P128,R128))</f>
        <v>#NAME?</v>
      </c>
    </row>
    <row r="129" spans="1:20">
      <c r="A129" t="s">
        <v>274</v>
      </c>
      <c r="B129" t="s">
        <v>275</v>
      </c>
      <c r="C129" s="3">
        <v>2</v>
      </c>
      <c r="D129" s="3"/>
      <c r="E129" s="3">
        <v>17</v>
      </c>
      <c r="F129" s="3"/>
      <c r="G129" s="3">
        <f t="shared" si="3"/>
        <v>34</v>
      </c>
      <c r="H129" s="3" t="e">
        <f ca="1">IF(_xludf.TEXTJOIN("; ",TRUE,D129,F129)="","",_xludf.TEXTJOIN("; ",TRUE,D129,F129))</f>
        <v>#NAME?</v>
      </c>
      <c r="I129" s="3">
        <v>2</v>
      </c>
      <c r="J129" s="3"/>
      <c r="K129" s="3">
        <v>17</v>
      </c>
      <c r="L129" s="3"/>
      <c r="M129" s="3">
        <f t="shared" si="4"/>
        <v>34</v>
      </c>
      <c r="N129" s="3" t="e">
        <f ca="1">IF(_xludf.TEXTJOIN("; ",TRUE,J129,L129)="","",_xludf.TEXTJOIN("; ",TRUE,J129,L129))</f>
        <v>#NAME?</v>
      </c>
      <c r="O129" s="3">
        <v>2</v>
      </c>
      <c r="P129" s="3"/>
      <c r="Q129" s="3">
        <v>20</v>
      </c>
      <c r="R129" s="3"/>
      <c r="S129" s="3">
        <f t="shared" si="5"/>
        <v>40</v>
      </c>
      <c r="T129" s="3" t="e">
        <f ca="1">IF(_xludf.TEXTJOIN("; ",TRUE,P129,R129)="","",_xludf.TEXTJOIN("; ",TRUE,P129,R129))</f>
        <v>#NAME?</v>
      </c>
    </row>
    <row r="130" spans="1:20">
      <c r="A130" t="s">
        <v>276</v>
      </c>
      <c r="B130" t="s">
        <v>277</v>
      </c>
      <c r="C130" s="3">
        <v>2</v>
      </c>
      <c r="D130" s="3"/>
      <c r="E130" s="3">
        <v>32</v>
      </c>
      <c r="F130" s="3"/>
      <c r="G130" s="3">
        <f t="shared" ref="G130:G193" si="6">IF(OR(C130="",C130=":",E130="",E130=":"),"",C130*E130)</f>
        <v>64</v>
      </c>
      <c r="H130" s="3" t="e">
        <f ca="1">IF(_xludf.TEXTJOIN("; ",TRUE,D130,F130)="","",_xludf.TEXTJOIN("; ",TRUE,D130,F130))</f>
        <v>#NAME?</v>
      </c>
      <c r="I130" s="3">
        <v>2</v>
      </c>
      <c r="J130" s="3"/>
      <c r="K130" s="3">
        <v>32</v>
      </c>
      <c r="L130" s="3"/>
      <c r="M130" s="3">
        <f t="shared" ref="M130:M193" si="7">IF(OR(I130="",I130=":",K130="",K130=":"),"",I130*K130)</f>
        <v>64</v>
      </c>
      <c r="N130" s="3" t="e">
        <f ca="1">IF(_xludf.TEXTJOIN("; ",TRUE,J130,L130)="","",_xludf.TEXTJOIN("; ",TRUE,J130,L130))</f>
        <v>#NAME?</v>
      </c>
      <c r="O130" s="3">
        <v>2</v>
      </c>
      <c r="P130" s="3"/>
      <c r="Q130" s="3">
        <v>31</v>
      </c>
      <c r="R130" s="3"/>
      <c r="S130" s="3">
        <f t="shared" ref="S130:S193" si="8">IF(OR(O130="",O130=":",Q130="",Q130=":"),"",O130*Q130)</f>
        <v>62</v>
      </c>
      <c r="T130" s="3" t="e">
        <f ca="1">IF(_xludf.TEXTJOIN("; ",TRUE,P130,R130)="","",_xludf.TEXTJOIN("; ",TRUE,P130,R130))</f>
        <v>#NAME?</v>
      </c>
    </row>
    <row r="131" spans="1:20">
      <c r="A131" t="s">
        <v>278</v>
      </c>
      <c r="B131" t="s">
        <v>68</v>
      </c>
      <c r="C131" s="3" t="s">
        <v>43</v>
      </c>
      <c r="D131" s="3"/>
      <c r="E131" s="3">
        <v>0</v>
      </c>
      <c r="F131" s="3"/>
      <c r="G131" s="3" t="str">
        <f t="shared" si="6"/>
        <v/>
      </c>
      <c r="H131" s="3" t="e">
        <f ca="1">IF(_xludf.TEXTJOIN("; ",TRUE,D131,F131)="","",_xludf.TEXTJOIN("; ",TRUE,D131,F131))</f>
        <v>#NAME?</v>
      </c>
      <c r="I131" s="3" t="s">
        <v>43</v>
      </c>
      <c r="J131" s="3"/>
      <c r="K131" s="3">
        <v>0</v>
      </c>
      <c r="L131" s="3"/>
      <c r="M131" s="3" t="str">
        <f t="shared" si="7"/>
        <v/>
      </c>
      <c r="N131" s="3" t="e">
        <f ca="1">IF(_xludf.TEXTJOIN("; ",TRUE,J131,L131)="","",_xludf.TEXTJOIN("; ",TRUE,J131,L131))</f>
        <v>#NAME?</v>
      </c>
      <c r="O131" s="3" t="s">
        <v>43</v>
      </c>
      <c r="P131" s="3"/>
      <c r="Q131" s="3">
        <v>0</v>
      </c>
      <c r="R131" s="3"/>
      <c r="S131" s="3" t="str">
        <f t="shared" si="8"/>
        <v/>
      </c>
      <c r="T131" s="3" t="e">
        <f ca="1">IF(_xludf.TEXTJOIN("; ",TRUE,P131,R131)="","",_xludf.TEXTJOIN("; ",TRUE,P131,R131))</f>
        <v>#NAME?</v>
      </c>
    </row>
    <row r="132" spans="1:20">
      <c r="A132" t="s">
        <v>279</v>
      </c>
      <c r="B132" t="s">
        <v>70</v>
      </c>
      <c r="C132" s="3" t="s">
        <v>43</v>
      </c>
      <c r="D132" s="3"/>
      <c r="E132" s="3">
        <v>0</v>
      </c>
      <c r="F132" s="3"/>
      <c r="G132" s="3" t="str">
        <f t="shared" si="6"/>
        <v/>
      </c>
      <c r="H132" s="3" t="e">
        <f ca="1">IF(_xludf.TEXTJOIN("; ",TRUE,D132,F132)="","",_xludf.TEXTJOIN("; ",TRUE,D132,F132))</f>
        <v>#NAME?</v>
      </c>
      <c r="I132" s="3" t="s">
        <v>43</v>
      </c>
      <c r="J132" s="3"/>
      <c r="K132" s="3">
        <v>0</v>
      </c>
      <c r="L132" s="3"/>
      <c r="M132" s="3" t="str">
        <f t="shared" si="7"/>
        <v/>
      </c>
      <c r="N132" s="3" t="e">
        <f ca="1">IF(_xludf.TEXTJOIN("; ",TRUE,J132,L132)="","",_xludf.TEXTJOIN("; ",TRUE,J132,L132))</f>
        <v>#NAME?</v>
      </c>
      <c r="O132" s="3" t="s">
        <v>43</v>
      </c>
      <c r="P132" s="3"/>
      <c r="Q132" s="3">
        <v>0</v>
      </c>
      <c r="R132" s="3"/>
      <c r="S132" s="3" t="str">
        <f t="shared" si="8"/>
        <v/>
      </c>
      <c r="T132" s="3" t="e">
        <f ca="1">IF(_xludf.TEXTJOIN("; ",TRUE,P132,R132)="","",_xludf.TEXTJOIN("; ",TRUE,P132,R132))</f>
        <v>#NAME?</v>
      </c>
    </row>
    <row r="133" spans="1:20">
      <c r="A133" t="s">
        <v>280</v>
      </c>
      <c r="B133" t="s">
        <v>281</v>
      </c>
      <c r="C133" s="3">
        <v>75</v>
      </c>
      <c r="D133" s="3"/>
      <c r="E133" s="3">
        <v>2037</v>
      </c>
      <c r="F133" s="3"/>
      <c r="G133" s="3">
        <f t="shared" si="6"/>
        <v>152775</v>
      </c>
      <c r="H133" s="3" t="e">
        <f ca="1">IF(_xludf.TEXTJOIN("; ",TRUE,D133,F133)="","",_xludf.TEXTJOIN("; ",TRUE,D133,F133))</f>
        <v>#NAME?</v>
      </c>
      <c r="I133" s="3">
        <v>73</v>
      </c>
      <c r="J133" s="3"/>
      <c r="K133" s="3">
        <v>2054</v>
      </c>
      <c r="L133" s="3"/>
      <c r="M133" s="3">
        <f t="shared" si="7"/>
        <v>149942</v>
      </c>
      <c r="N133" s="3" t="e">
        <f ca="1">IF(_xludf.TEXTJOIN("; ",TRUE,J133,L133)="","",_xludf.TEXTJOIN("; ",TRUE,J133,L133))</f>
        <v>#NAME?</v>
      </c>
      <c r="O133" s="3">
        <v>74</v>
      </c>
      <c r="P133" s="3"/>
      <c r="Q133" s="3">
        <v>1998</v>
      </c>
      <c r="R133" s="3"/>
      <c r="S133" s="3">
        <f t="shared" si="8"/>
        <v>147852</v>
      </c>
      <c r="T133" s="3" t="e">
        <f ca="1">IF(_xludf.TEXTJOIN("; ",TRUE,P133,R133)="","",_xludf.TEXTJOIN("; ",TRUE,P133,R133))</f>
        <v>#NAME?</v>
      </c>
    </row>
    <row r="134" spans="1:20">
      <c r="A134" t="s">
        <v>282</v>
      </c>
      <c r="B134" t="s">
        <v>283</v>
      </c>
      <c r="C134" s="3">
        <v>120</v>
      </c>
      <c r="D134" s="3"/>
      <c r="E134" s="3">
        <v>168</v>
      </c>
      <c r="F134" s="3"/>
      <c r="G134" s="3">
        <f t="shared" si="6"/>
        <v>20160</v>
      </c>
      <c r="H134" s="3" t="e">
        <f ca="1">IF(_xludf.TEXTJOIN("; ",TRUE,D134,F134)="","",_xludf.TEXTJOIN("; ",TRUE,D134,F134))</f>
        <v>#NAME?</v>
      </c>
      <c r="I134" s="3">
        <v>92</v>
      </c>
      <c r="J134" s="3"/>
      <c r="K134" s="3">
        <v>209</v>
      </c>
      <c r="L134" s="3"/>
      <c r="M134" s="3">
        <f t="shared" si="7"/>
        <v>19228</v>
      </c>
      <c r="N134" s="3" t="e">
        <f ca="1">IF(_xludf.TEXTJOIN("; ",TRUE,J134,L134)="","",_xludf.TEXTJOIN("; ",TRUE,J134,L134))</f>
        <v>#NAME?</v>
      </c>
      <c r="O134" s="3">
        <v>97</v>
      </c>
      <c r="P134" s="3"/>
      <c r="Q134" s="3">
        <v>201</v>
      </c>
      <c r="R134" s="3"/>
      <c r="S134" s="3">
        <f t="shared" si="8"/>
        <v>19497</v>
      </c>
      <c r="T134" s="3" t="e">
        <f ca="1">IF(_xludf.TEXTJOIN("; ",TRUE,P134,R134)="","",_xludf.TEXTJOIN("; ",TRUE,P134,R134))</f>
        <v>#NAME?</v>
      </c>
    </row>
    <row r="135" spans="1:20">
      <c r="A135" t="s">
        <v>284</v>
      </c>
      <c r="B135" t="s">
        <v>285</v>
      </c>
      <c r="C135" s="3">
        <v>135</v>
      </c>
      <c r="D135" s="3"/>
      <c r="E135" s="3">
        <v>121</v>
      </c>
      <c r="F135" s="3"/>
      <c r="G135" s="3">
        <f t="shared" si="6"/>
        <v>16335</v>
      </c>
      <c r="H135" s="3" t="e">
        <f ca="1">IF(_xludf.TEXTJOIN("; ",TRUE,D135,F135)="","",_xludf.TEXTJOIN("; ",TRUE,D135,F135))</f>
        <v>#NAME?</v>
      </c>
      <c r="I135" s="3">
        <v>100</v>
      </c>
      <c r="J135" s="3"/>
      <c r="K135" s="3">
        <v>156</v>
      </c>
      <c r="L135" s="3"/>
      <c r="M135" s="3">
        <f t="shared" si="7"/>
        <v>15600</v>
      </c>
      <c r="N135" s="3" t="e">
        <f ca="1">IF(_xludf.TEXTJOIN("; ",TRUE,J135,L135)="","",_xludf.TEXTJOIN("; ",TRUE,J135,L135))</f>
        <v>#NAME?</v>
      </c>
      <c r="O135" s="3">
        <v>110</v>
      </c>
      <c r="P135" s="3"/>
      <c r="Q135" s="3">
        <v>143</v>
      </c>
      <c r="R135" s="3"/>
      <c r="S135" s="3">
        <f t="shared" si="8"/>
        <v>15730</v>
      </c>
      <c r="T135" s="3" t="e">
        <f ca="1">IF(_xludf.TEXTJOIN("; ",TRUE,P135,R135)="","",_xludf.TEXTJOIN("; ",TRUE,P135,R135))</f>
        <v>#NAME?</v>
      </c>
    </row>
    <row r="136" spans="1:20">
      <c r="A136" t="s">
        <v>286</v>
      </c>
      <c r="B136" t="s">
        <v>287</v>
      </c>
      <c r="C136" s="3">
        <v>23</v>
      </c>
      <c r="D136" s="3"/>
      <c r="E136" s="3">
        <v>27</v>
      </c>
      <c r="F136" s="3"/>
      <c r="G136" s="3">
        <f t="shared" si="6"/>
        <v>621</v>
      </c>
      <c r="H136" s="3" t="e">
        <f ca="1">IF(_xludf.TEXTJOIN("; ",TRUE,D136,F136)="","",_xludf.TEXTJOIN("; ",TRUE,D136,F136))</f>
        <v>#NAME?</v>
      </c>
      <c r="I136" s="3">
        <v>18</v>
      </c>
      <c r="J136" s="3"/>
      <c r="K136" s="3">
        <v>35</v>
      </c>
      <c r="L136" s="3"/>
      <c r="M136" s="3">
        <f t="shared" si="7"/>
        <v>630</v>
      </c>
      <c r="N136" s="3" t="e">
        <f ca="1">IF(_xludf.TEXTJOIN("; ",TRUE,J136,L136)="","",_xludf.TEXTJOIN("; ",TRUE,J136,L136))</f>
        <v>#NAME?</v>
      </c>
      <c r="O136" s="3">
        <v>17</v>
      </c>
      <c r="P136" s="3"/>
      <c r="Q136" s="3">
        <v>38</v>
      </c>
      <c r="R136" s="3"/>
      <c r="S136" s="3">
        <f t="shared" si="8"/>
        <v>646</v>
      </c>
      <c r="T136" s="3" t="e">
        <f ca="1">IF(_xludf.TEXTJOIN("; ",TRUE,P136,R136)="","",_xludf.TEXTJOIN("; ",TRUE,P136,R136))</f>
        <v>#NAME?</v>
      </c>
    </row>
    <row r="137" spans="1:20">
      <c r="A137" t="s">
        <v>288</v>
      </c>
      <c r="B137" t="s">
        <v>289</v>
      </c>
      <c r="C137" s="3">
        <v>156</v>
      </c>
      <c r="D137" s="3"/>
      <c r="E137" s="3">
        <v>20</v>
      </c>
      <c r="F137" s="3"/>
      <c r="G137" s="3">
        <f t="shared" si="6"/>
        <v>3120</v>
      </c>
      <c r="H137" s="3" t="e">
        <f ca="1">IF(_xludf.TEXTJOIN("; ",TRUE,D137,F137)="","",_xludf.TEXTJOIN("; ",TRUE,D137,F137))</f>
        <v>#NAME?</v>
      </c>
      <c r="I137" s="3">
        <v>174</v>
      </c>
      <c r="J137" s="3"/>
      <c r="K137" s="3">
        <v>18</v>
      </c>
      <c r="L137" s="3"/>
      <c r="M137" s="3">
        <f t="shared" si="7"/>
        <v>3132</v>
      </c>
      <c r="N137" s="3" t="e">
        <f ca="1">IF(_xludf.TEXTJOIN("; ",TRUE,J137,L137)="","",_xludf.TEXTJOIN("; ",TRUE,J137,L137))</f>
        <v>#NAME?</v>
      </c>
      <c r="O137" s="3">
        <v>155</v>
      </c>
      <c r="P137" s="3"/>
      <c r="Q137" s="3">
        <v>20</v>
      </c>
      <c r="R137" s="3"/>
      <c r="S137" s="3">
        <f t="shared" si="8"/>
        <v>3100</v>
      </c>
      <c r="T137" s="3" t="e">
        <f ca="1">IF(_xludf.TEXTJOIN("; ",TRUE,P137,R137)="","",_xludf.TEXTJOIN("; ",TRUE,P137,R137))</f>
        <v>#NAME?</v>
      </c>
    </row>
    <row r="138" spans="1:20">
      <c r="A138" t="s">
        <v>290</v>
      </c>
      <c r="B138" t="s">
        <v>291</v>
      </c>
      <c r="C138" s="3">
        <v>101</v>
      </c>
      <c r="D138" s="3"/>
      <c r="E138" s="3">
        <v>436</v>
      </c>
      <c r="F138" s="3"/>
      <c r="G138" s="3">
        <f t="shared" si="6"/>
        <v>44036</v>
      </c>
      <c r="H138" s="3" t="e">
        <f ca="1">IF(_xludf.TEXTJOIN("; ",TRUE,D138,F138)="","",_xludf.TEXTJOIN("; ",TRUE,D138,F138))</f>
        <v>#NAME?</v>
      </c>
      <c r="I138" s="3">
        <v>104</v>
      </c>
      <c r="J138" s="3"/>
      <c r="K138" s="3">
        <v>426</v>
      </c>
      <c r="L138" s="3"/>
      <c r="M138" s="3">
        <f t="shared" si="7"/>
        <v>44304</v>
      </c>
      <c r="N138" s="3" t="e">
        <f ca="1">IF(_xludf.TEXTJOIN("; ",TRUE,J138,L138)="","",_xludf.TEXTJOIN("; ",TRUE,J138,L138))</f>
        <v>#NAME?</v>
      </c>
      <c r="O138" s="3">
        <v>96</v>
      </c>
      <c r="P138" s="3"/>
      <c r="Q138" s="3">
        <v>457</v>
      </c>
      <c r="R138" s="3"/>
      <c r="S138" s="3">
        <f t="shared" si="8"/>
        <v>43872</v>
      </c>
      <c r="T138" s="3" t="e">
        <f ca="1">IF(_xludf.TEXTJOIN("; ",TRUE,P138,R138)="","",_xludf.TEXTJOIN("; ",TRUE,P138,R138))</f>
        <v>#NAME?</v>
      </c>
    </row>
    <row r="139" spans="1:20">
      <c r="A139" t="s">
        <v>292</v>
      </c>
      <c r="B139" t="s">
        <v>293</v>
      </c>
      <c r="C139" s="3">
        <v>96</v>
      </c>
      <c r="D139" s="3"/>
      <c r="E139" s="3">
        <v>138</v>
      </c>
      <c r="F139" s="3"/>
      <c r="G139" s="3">
        <f t="shared" si="6"/>
        <v>13248</v>
      </c>
      <c r="H139" s="3" t="e">
        <f ca="1">IF(_xludf.TEXTJOIN("; ",TRUE,D139,F139)="","",_xludf.TEXTJOIN("; ",TRUE,D139,F139))</f>
        <v>#NAME?</v>
      </c>
      <c r="I139" s="3">
        <v>95</v>
      </c>
      <c r="J139" s="3"/>
      <c r="K139" s="3">
        <v>143</v>
      </c>
      <c r="L139" s="3"/>
      <c r="M139" s="3">
        <f t="shared" si="7"/>
        <v>13585</v>
      </c>
      <c r="N139" s="3" t="e">
        <f ca="1">IF(_xludf.TEXTJOIN("; ",TRUE,J139,L139)="","",_xludf.TEXTJOIN("; ",TRUE,J139,L139))</f>
        <v>#NAME?</v>
      </c>
      <c r="O139" s="3">
        <v>89</v>
      </c>
      <c r="P139" s="3"/>
      <c r="Q139" s="3">
        <v>156</v>
      </c>
      <c r="R139" s="3"/>
      <c r="S139" s="3">
        <f t="shared" si="8"/>
        <v>13884</v>
      </c>
      <c r="T139" s="3" t="e">
        <f ca="1">IF(_xludf.TEXTJOIN("; ",TRUE,P139,R139)="","",_xludf.TEXTJOIN("; ",TRUE,P139,R139))</f>
        <v>#NAME?</v>
      </c>
    </row>
    <row r="140" spans="1:20">
      <c r="A140" t="s">
        <v>294</v>
      </c>
      <c r="B140" t="s">
        <v>295</v>
      </c>
      <c r="C140" s="3">
        <v>120</v>
      </c>
      <c r="D140" s="3"/>
      <c r="E140" s="3">
        <v>103</v>
      </c>
      <c r="F140" s="3"/>
      <c r="G140" s="3">
        <f t="shared" si="6"/>
        <v>12360</v>
      </c>
      <c r="H140" s="3" t="e">
        <f ca="1">IF(_xludf.TEXTJOIN("; ",TRUE,D140,F140)="","",_xludf.TEXTJOIN("; ",TRUE,D140,F140))</f>
        <v>#NAME?</v>
      </c>
      <c r="I140" s="3">
        <v>114</v>
      </c>
      <c r="J140" s="3"/>
      <c r="K140" s="3">
        <v>106</v>
      </c>
      <c r="L140" s="3"/>
      <c r="M140" s="3">
        <f t="shared" si="7"/>
        <v>12084</v>
      </c>
      <c r="N140" s="3" t="e">
        <f ca="1">IF(_xludf.TEXTJOIN("; ",TRUE,J140,L140)="","",_xludf.TEXTJOIN("; ",TRUE,J140,L140))</f>
        <v>#NAME?</v>
      </c>
      <c r="O140" s="3">
        <v>107</v>
      </c>
      <c r="P140" s="3"/>
      <c r="Q140" s="3">
        <v>113</v>
      </c>
      <c r="R140" s="3"/>
      <c r="S140" s="3">
        <f t="shared" si="8"/>
        <v>12091</v>
      </c>
      <c r="T140" s="3" t="e">
        <f ca="1">IF(_xludf.TEXTJOIN("; ",TRUE,P140,R140)="","",_xludf.TEXTJOIN("; ",TRUE,P140,R140))</f>
        <v>#NAME?</v>
      </c>
    </row>
    <row r="141" spans="1:20">
      <c r="A141" t="s">
        <v>296</v>
      </c>
      <c r="B141" t="s">
        <v>297</v>
      </c>
      <c r="C141" s="3">
        <v>59</v>
      </c>
      <c r="D141" s="3"/>
      <c r="E141" s="3">
        <v>19</v>
      </c>
      <c r="F141" s="3"/>
      <c r="G141" s="3">
        <f t="shared" si="6"/>
        <v>1121</v>
      </c>
      <c r="H141" s="3" t="e">
        <f ca="1">IF(_xludf.TEXTJOIN("; ",TRUE,D141,F141)="","",_xludf.TEXTJOIN("; ",TRUE,D141,F141))</f>
        <v>#NAME?</v>
      </c>
      <c r="I141" s="3">
        <v>49</v>
      </c>
      <c r="J141" s="3"/>
      <c r="K141" s="3">
        <v>23</v>
      </c>
      <c r="L141" s="3"/>
      <c r="M141" s="3">
        <f t="shared" si="7"/>
        <v>1127</v>
      </c>
      <c r="N141" s="3" t="e">
        <f ca="1">IF(_xludf.TEXTJOIN("; ",TRUE,J141,L141)="","",_xludf.TEXTJOIN("; ",TRUE,J141,L141))</f>
        <v>#NAME?</v>
      </c>
      <c r="O141" s="3">
        <v>52</v>
      </c>
      <c r="P141" s="3"/>
      <c r="Q141" s="3">
        <v>21</v>
      </c>
      <c r="R141" s="3"/>
      <c r="S141" s="3">
        <f t="shared" si="8"/>
        <v>1092</v>
      </c>
      <c r="T141" s="3" t="e">
        <f ca="1">IF(_xludf.TEXTJOIN("; ",TRUE,P141,R141)="","",_xludf.TEXTJOIN("; ",TRUE,P141,R141))</f>
        <v>#NAME?</v>
      </c>
    </row>
    <row r="142" spans="1:20">
      <c r="A142" t="s">
        <v>298</v>
      </c>
      <c r="B142" t="s">
        <v>299</v>
      </c>
      <c r="C142" s="3">
        <v>98</v>
      </c>
      <c r="D142" s="3"/>
      <c r="E142" s="3">
        <v>176</v>
      </c>
      <c r="F142" s="3"/>
      <c r="G142" s="3">
        <f t="shared" si="6"/>
        <v>17248</v>
      </c>
      <c r="H142" s="3" t="e">
        <f ca="1">IF(_xludf.TEXTJOIN("; ",TRUE,D142,F142)="","",_xludf.TEXTJOIN("; ",TRUE,D142,F142))</f>
        <v>#NAME?</v>
      </c>
      <c r="I142" s="3">
        <v>114</v>
      </c>
      <c r="J142" s="3"/>
      <c r="K142" s="3">
        <v>154</v>
      </c>
      <c r="L142" s="3"/>
      <c r="M142" s="3">
        <f t="shared" si="7"/>
        <v>17556</v>
      </c>
      <c r="N142" s="3" t="e">
        <f ca="1">IF(_xludf.TEXTJOIN("; ",TRUE,J142,L142)="","",_xludf.TEXTJOIN("; ",TRUE,J142,L142))</f>
        <v>#NAME?</v>
      </c>
      <c r="O142" s="3">
        <v>100</v>
      </c>
      <c r="P142" s="3"/>
      <c r="Q142" s="3">
        <v>166</v>
      </c>
      <c r="R142" s="3"/>
      <c r="S142" s="3">
        <f t="shared" si="8"/>
        <v>16600</v>
      </c>
      <c r="T142" s="3" t="e">
        <f ca="1">IF(_xludf.TEXTJOIN("; ",TRUE,P142,R142)="","",_xludf.TEXTJOIN("; ",TRUE,P142,R142))</f>
        <v>#NAME?</v>
      </c>
    </row>
    <row r="143" spans="1:20">
      <c r="A143" t="s">
        <v>300</v>
      </c>
      <c r="B143" t="s">
        <v>301</v>
      </c>
      <c r="C143" s="3">
        <v>57</v>
      </c>
      <c r="D143" s="3"/>
      <c r="E143" s="3">
        <v>190</v>
      </c>
      <c r="F143" s="3"/>
      <c r="G143" s="3">
        <f t="shared" si="6"/>
        <v>10830</v>
      </c>
      <c r="H143" s="3" t="e">
        <f ca="1">IF(_xludf.TEXTJOIN("; ",TRUE,D143,F143)="","",_xludf.TEXTJOIN("; ",TRUE,D143,F143))</f>
        <v>#NAME?</v>
      </c>
      <c r="I143" s="3">
        <v>48</v>
      </c>
      <c r="J143" s="3"/>
      <c r="K143" s="3">
        <v>205</v>
      </c>
      <c r="L143" s="3"/>
      <c r="M143" s="3">
        <f t="shared" si="7"/>
        <v>9840</v>
      </c>
      <c r="N143" s="3" t="e">
        <f ca="1">IF(_xludf.TEXTJOIN("; ",TRUE,J143,L143)="","",_xludf.TEXTJOIN("; ",TRUE,J143,L143))</f>
        <v>#NAME?</v>
      </c>
      <c r="O143" s="3">
        <v>71</v>
      </c>
      <c r="P143" s="3"/>
      <c r="Q143" s="3">
        <v>170</v>
      </c>
      <c r="R143" s="3"/>
      <c r="S143" s="3">
        <f t="shared" si="8"/>
        <v>12070</v>
      </c>
      <c r="T143" s="3" t="e">
        <f ca="1">IF(_xludf.TEXTJOIN("; ",TRUE,P143,R143)="","",_xludf.TEXTJOIN("; ",TRUE,P143,R143))</f>
        <v>#NAME?</v>
      </c>
    </row>
    <row r="144" spans="1:20">
      <c r="A144" t="s">
        <v>302</v>
      </c>
      <c r="B144" t="s">
        <v>301</v>
      </c>
      <c r="C144" s="3">
        <v>57</v>
      </c>
      <c r="D144" s="3"/>
      <c r="E144" s="3">
        <v>190</v>
      </c>
      <c r="F144" s="3"/>
      <c r="G144" s="3">
        <f t="shared" si="6"/>
        <v>10830</v>
      </c>
      <c r="H144" s="3" t="e">
        <f ca="1">IF(_xludf.TEXTJOIN("; ",TRUE,D144,F144)="","",_xludf.TEXTJOIN("; ",TRUE,D144,F144))</f>
        <v>#NAME?</v>
      </c>
      <c r="I144" s="3">
        <v>48</v>
      </c>
      <c r="J144" s="3"/>
      <c r="K144" s="3">
        <v>205</v>
      </c>
      <c r="L144" s="3"/>
      <c r="M144" s="3">
        <f t="shared" si="7"/>
        <v>9840</v>
      </c>
      <c r="N144" s="3" t="e">
        <f ca="1">IF(_xludf.TEXTJOIN("; ",TRUE,J144,L144)="","",_xludf.TEXTJOIN("; ",TRUE,J144,L144))</f>
        <v>#NAME?</v>
      </c>
      <c r="O144" s="3">
        <v>71</v>
      </c>
      <c r="P144" s="3"/>
      <c r="Q144" s="3">
        <v>170</v>
      </c>
      <c r="R144" s="3"/>
      <c r="S144" s="3">
        <f t="shared" si="8"/>
        <v>12070</v>
      </c>
      <c r="T144" s="3" t="e">
        <f ca="1">IF(_xludf.TEXTJOIN("; ",TRUE,P144,R144)="","",_xludf.TEXTJOIN("; ",TRUE,P144,R144))</f>
        <v>#NAME?</v>
      </c>
    </row>
    <row r="145" spans="1:20">
      <c r="A145" t="s">
        <v>303</v>
      </c>
      <c r="B145" t="s">
        <v>304</v>
      </c>
      <c r="C145" s="3">
        <v>74</v>
      </c>
      <c r="D145" s="3"/>
      <c r="E145" s="3">
        <v>287</v>
      </c>
      <c r="F145" s="3"/>
      <c r="G145" s="3">
        <f t="shared" si="6"/>
        <v>21238</v>
      </c>
      <c r="H145" s="3" t="e">
        <f ca="1">IF(_xludf.TEXTJOIN("; ",TRUE,D145,F145)="","",_xludf.TEXTJOIN("; ",TRUE,D145,F145))</f>
        <v>#NAME?</v>
      </c>
      <c r="I145" s="3">
        <v>71</v>
      </c>
      <c r="J145" s="3"/>
      <c r="K145" s="3">
        <v>314</v>
      </c>
      <c r="L145" s="3"/>
      <c r="M145" s="3">
        <f t="shared" si="7"/>
        <v>22294</v>
      </c>
      <c r="N145" s="3" t="e">
        <f ca="1">IF(_xludf.TEXTJOIN("; ",TRUE,J145,L145)="","",_xludf.TEXTJOIN("; ",TRUE,J145,L145))</f>
        <v>#NAME?</v>
      </c>
      <c r="O145" s="3">
        <v>78</v>
      </c>
      <c r="P145" s="3"/>
      <c r="Q145" s="3">
        <v>285</v>
      </c>
      <c r="R145" s="3"/>
      <c r="S145" s="3">
        <f t="shared" si="8"/>
        <v>22230</v>
      </c>
      <c r="T145" s="3" t="e">
        <f ca="1">IF(_xludf.TEXTJOIN("; ",TRUE,P145,R145)="","",_xludf.TEXTJOIN("; ",TRUE,P145,R145))</f>
        <v>#NAME?</v>
      </c>
    </row>
    <row r="146" spans="1:20">
      <c r="A146" t="s">
        <v>305</v>
      </c>
      <c r="B146" t="s">
        <v>306</v>
      </c>
      <c r="C146" s="3">
        <v>116</v>
      </c>
      <c r="D146" s="3"/>
      <c r="E146" s="3">
        <v>144</v>
      </c>
      <c r="F146" s="3"/>
      <c r="G146" s="3">
        <f t="shared" si="6"/>
        <v>16704</v>
      </c>
      <c r="H146" s="3" t="e">
        <f ca="1">IF(_xludf.TEXTJOIN("; ",TRUE,D146,F146)="","",_xludf.TEXTJOIN("; ",TRUE,D146,F146))</f>
        <v>#NAME?</v>
      </c>
      <c r="I146" s="3">
        <v>111</v>
      </c>
      <c r="J146" s="3"/>
      <c r="K146" s="3">
        <v>160</v>
      </c>
      <c r="L146" s="3"/>
      <c r="M146" s="3">
        <f t="shared" si="7"/>
        <v>17760</v>
      </c>
      <c r="N146" s="3" t="e">
        <f ca="1">IF(_xludf.TEXTJOIN("; ",TRUE,J146,L146)="","",_xludf.TEXTJOIN("; ",TRUE,J146,L146))</f>
        <v>#NAME?</v>
      </c>
      <c r="O146" s="3">
        <v>115</v>
      </c>
      <c r="P146" s="3"/>
      <c r="Q146" s="3">
        <v>151</v>
      </c>
      <c r="R146" s="3"/>
      <c r="S146" s="3">
        <f t="shared" si="8"/>
        <v>17365</v>
      </c>
      <c r="T146" s="3" t="e">
        <f ca="1">IF(_xludf.TEXTJOIN("; ",TRUE,P146,R146)="","",_xludf.TEXTJOIN("; ",TRUE,P146,R146))</f>
        <v>#NAME?</v>
      </c>
    </row>
    <row r="147" spans="1:20">
      <c r="A147" t="s">
        <v>307</v>
      </c>
      <c r="B147" t="s">
        <v>308</v>
      </c>
      <c r="C147" s="3">
        <v>37</v>
      </c>
      <c r="D147" s="3"/>
      <c r="E147" s="3">
        <v>117</v>
      </c>
      <c r="F147" s="3"/>
      <c r="G147" s="3">
        <f t="shared" si="6"/>
        <v>4329</v>
      </c>
      <c r="H147" s="3" t="e">
        <f ca="1">IF(_xludf.TEXTJOIN("; ",TRUE,D147,F147)="","",_xludf.TEXTJOIN("; ",TRUE,D147,F147))</f>
        <v>#NAME?</v>
      </c>
      <c r="I147" s="3">
        <v>43</v>
      </c>
      <c r="J147" s="3"/>
      <c r="K147" s="3">
        <v>104</v>
      </c>
      <c r="L147" s="3"/>
      <c r="M147" s="3">
        <f t="shared" si="7"/>
        <v>4472</v>
      </c>
      <c r="N147" s="3" t="e">
        <f ca="1">IF(_xludf.TEXTJOIN("; ",TRUE,J147,L147)="","",_xludf.TEXTJOIN("; ",TRUE,J147,L147))</f>
        <v>#NAME?</v>
      </c>
      <c r="O147" s="3">
        <v>45</v>
      </c>
      <c r="P147" s="3"/>
      <c r="Q147" s="3">
        <v>104</v>
      </c>
      <c r="R147" s="3"/>
      <c r="S147" s="3">
        <f t="shared" si="8"/>
        <v>4680</v>
      </c>
      <c r="T147" s="3" t="e">
        <f ca="1">IF(_xludf.TEXTJOIN("; ",TRUE,P147,R147)="","",_xludf.TEXTJOIN("; ",TRUE,P147,R147))</f>
        <v>#NAME?</v>
      </c>
    </row>
    <row r="148" spans="1:20">
      <c r="A148" t="s">
        <v>309</v>
      </c>
      <c r="B148" t="s">
        <v>310</v>
      </c>
      <c r="C148" s="3">
        <v>4</v>
      </c>
      <c r="D148" s="3"/>
      <c r="E148" s="3">
        <v>26</v>
      </c>
      <c r="F148" s="3"/>
      <c r="G148" s="3">
        <f t="shared" si="6"/>
        <v>104</v>
      </c>
      <c r="H148" s="3" t="e">
        <f ca="1">IF(_xludf.TEXTJOIN("; ",TRUE,D148,F148)="","",_xludf.TEXTJOIN("; ",TRUE,D148,F148))</f>
        <v>#NAME?</v>
      </c>
      <c r="I148" s="3">
        <v>3</v>
      </c>
      <c r="J148" s="3"/>
      <c r="K148" s="3">
        <v>50</v>
      </c>
      <c r="L148" s="3"/>
      <c r="M148" s="3">
        <f t="shared" si="7"/>
        <v>150</v>
      </c>
      <c r="N148" s="3" t="e">
        <f ca="1">IF(_xludf.TEXTJOIN("; ",TRUE,J148,L148)="","",_xludf.TEXTJOIN("; ",TRUE,J148,L148))</f>
        <v>#NAME?</v>
      </c>
      <c r="O148" s="3">
        <v>4</v>
      </c>
      <c r="P148" s="3"/>
      <c r="Q148" s="3">
        <v>29</v>
      </c>
      <c r="R148" s="3"/>
      <c r="S148" s="3">
        <f t="shared" si="8"/>
        <v>116</v>
      </c>
      <c r="T148" s="3" t="e">
        <f ca="1">IF(_xludf.TEXTJOIN("; ",TRUE,P148,R148)="","",_xludf.TEXTJOIN("; ",TRUE,P148,R148))</f>
        <v>#NAME?</v>
      </c>
    </row>
    <row r="149" spans="1:20">
      <c r="A149" t="s">
        <v>311</v>
      </c>
      <c r="B149" t="s">
        <v>312</v>
      </c>
      <c r="C149" s="3">
        <v>78</v>
      </c>
      <c r="D149" s="3"/>
      <c r="E149" s="3">
        <v>652</v>
      </c>
      <c r="F149" s="3"/>
      <c r="G149" s="3">
        <f t="shared" si="6"/>
        <v>50856</v>
      </c>
      <c r="H149" s="3" t="e">
        <f ca="1">IF(_xludf.TEXTJOIN("; ",TRUE,D149,F149)="","",_xludf.TEXTJOIN("; ",TRUE,D149,F149))</f>
        <v>#NAME?</v>
      </c>
      <c r="I149" s="3">
        <v>77</v>
      </c>
      <c r="J149" s="3"/>
      <c r="K149" s="3">
        <v>622</v>
      </c>
      <c r="L149" s="3"/>
      <c r="M149" s="3">
        <f t="shared" si="7"/>
        <v>47894</v>
      </c>
      <c r="N149" s="3" t="e">
        <f ca="1">IF(_xludf.TEXTJOIN("; ",TRUE,J149,L149)="","",_xludf.TEXTJOIN("; ",TRUE,J149,L149))</f>
        <v>#NAME?</v>
      </c>
      <c r="O149" s="3">
        <v>76</v>
      </c>
      <c r="P149" s="3"/>
      <c r="Q149" s="3">
        <v>600</v>
      </c>
      <c r="R149" s="3"/>
      <c r="S149" s="3">
        <f t="shared" si="8"/>
        <v>45600</v>
      </c>
      <c r="T149" s="3" t="e">
        <f ca="1">IF(_xludf.TEXTJOIN("; ",TRUE,P149,R149)="","",_xludf.TEXTJOIN("; ",TRUE,P149,R149))</f>
        <v>#NAME?</v>
      </c>
    </row>
    <row r="150" spans="1:20">
      <c r="A150" t="s">
        <v>313</v>
      </c>
      <c r="B150" t="s">
        <v>314</v>
      </c>
      <c r="C150" s="3">
        <v>78</v>
      </c>
      <c r="D150" s="3"/>
      <c r="E150" s="3">
        <v>461</v>
      </c>
      <c r="F150" s="3"/>
      <c r="G150" s="3">
        <f t="shared" si="6"/>
        <v>35958</v>
      </c>
      <c r="H150" s="3" t="e">
        <f ca="1">IF(_xludf.TEXTJOIN("; ",TRUE,D150,F150)="","",_xludf.TEXTJOIN("; ",TRUE,D150,F150))</f>
        <v>#NAME?</v>
      </c>
      <c r="I150" s="3">
        <v>73</v>
      </c>
      <c r="J150" s="3"/>
      <c r="K150" s="3">
        <v>447</v>
      </c>
      <c r="L150" s="3"/>
      <c r="M150" s="3">
        <f t="shared" si="7"/>
        <v>32631</v>
      </c>
      <c r="N150" s="3" t="e">
        <f ca="1">IF(_xludf.TEXTJOIN("; ",TRUE,J150,L150)="","",_xludf.TEXTJOIN("; ",TRUE,J150,L150))</f>
        <v>#NAME?</v>
      </c>
      <c r="O150" s="3">
        <v>73</v>
      </c>
      <c r="P150" s="3"/>
      <c r="Q150" s="3">
        <v>428</v>
      </c>
      <c r="R150" s="3"/>
      <c r="S150" s="3">
        <f t="shared" si="8"/>
        <v>31244</v>
      </c>
      <c r="T150" s="3" t="e">
        <f ca="1">IF(_xludf.TEXTJOIN("; ",TRUE,P150,R150)="","",_xludf.TEXTJOIN("; ",TRUE,P150,R150))</f>
        <v>#NAME?</v>
      </c>
    </row>
    <row r="151" spans="1:20">
      <c r="A151" t="s">
        <v>315</v>
      </c>
      <c r="B151" t="s">
        <v>316</v>
      </c>
      <c r="C151" s="3" t="s">
        <v>43</v>
      </c>
      <c r="D151" s="3" t="s">
        <v>44</v>
      </c>
      <c r="E151" s="3" t="s">
        <v>43</v>
      </c>
      <c r="F151" s="3" t="s">
        <v>44</v>
      </c>
      <c r="G151" s="3" t="str">
        <f t="shared" si="6"/>
        <v/>
      </c>
      <c r="H151" s="3" t="e">
        <f ca="1">IF(_xludf.TEXTJOIN("; ",TRUE,D151,F151)="","",_xludf.TEXTJOIN("; ",TRUE,D151,F151))</f>
        <v>#NAME?</v>
      </c>
      <c r="I151" s="3">
        <v>92</v>
      </c>
      <c r="J151" s="3"/>
      <c r="K151" s="3">
        <v>165</v>
      </c>
      <c r="L151" s="3"/>
      <c r="M151" s="3">
        <f t="shared" si="7"/>
        <v>15180</v>
      </c>
      <c r="N151" s="3" t="e">
        <f ca="1">IF(_xludf.TEXTJOIN("; ",TRUE,J151,L151)="","",_xludf.TEXTJOIN("; ",TRUE,J151,L151))</f>
        <v>#NAME?</v>
      </c>
      <c r="O151" s="3">
        <v>89</v>
      </c>
      <c r="P151" s="3"/>
      <c r="Q151" s="3">
        <v>166</v>
      </c>
      <c r="R151" s="3"/>
      <c r="S151" s="3">
        <f t="shared" si="8"/>
        <v>14774</v>
      </c>
      <c r="T151" s="3" t="e">
        <f ca="1">IF(_xludf.TEXTJOIN("; ",TRUE,P151,R151)="","",_xludf.TEXTJOIN("; ",TRUE,P151,R151))</f>
        <v>#NAME?</v>
      </c>
    </row>
    <row r="152" spans="1:20">
      <c r="A152" t="s">
        <v>317</v>
      </c>
      <c r="B152" t="s">
        <v>318</v>
      </c>
      <c r="C152" s="3" t="s">
        <v>43</v>
      </c>
      <c r="D152" s="3" t="s">
        <v>44</v>
      </c>
      <c r="E152" s="3" t="s">
        <v>43</v>
      </c>
      <c r="F152" s="3" t="s">
        <v>44</v>
      </c>
      <c r="G152" s="3" t="str">
        <f t="shared" si="6"/>
        <v/>
      </c>
      <c r="H152" s="3" t="e">
        <f ca="1">IF(_xludf.TEXTJOIN("; ",TRUE,D152,F152)="","",_xludf.TEXTJOIN("; ",TRUE,D152,F152))</f>
        <v>#NAME?</v>
      </c>
      <c r="I152" s="3">
        <v>12</v>
      </c>
      <c r="J152" s="3"/>
      <c r="K152" s="3">
        <v>9</v>
      </c>
      <c r="L152" s="3"/>
      <c r="M152" s="3">
        <f t="shared" si="7"/>
        <v>108</v>
      </c>
      <c r="N152" s="3" t="e">
        <f ca="1">IF(_xludf.TEXTJOIN("; ",TRUE,J152,L152)="","",_xludf.TEXTJOIN("; ",TRUE,J152,L152))</f>
        <v>#NAME?</v>
      </c>
      <c r="O152" s="3">
        <v>4</v>
      </c>
      <c r="P152" s="3"/>
      <c r="Q152" s="3">
        <v>7</v>
      </c>
      <c r="R152" s="3"/>
      <c r="S152" s="3">
        <f t="shared" si="8"/>
        <v>28</v>
      </c>
      <c r="T152" s="3" t="e">
        <f ca="1">IF(_xludf.TEXTJOIN("; ",TRUE,P152,R152)="","",_xludf.TEXTJOIN("; ",TRUE,P152,R152))</f>
        <v>#NAME?</v>
      </c>
    </row>
    <row r="153" spans="1:20">
      <c r="A153" t="s">
        <v>319</v>
      </c>
      <c r="B153" t="s">
        <v>320</v>
      </c>
      <c r="C153" s="3">
        <v>20</v>
      </c>
      <c r="D153" s="3"/>
      <c r="E153" s="3">
        <v>284</v>
      </c>
      <c r="F153" s="3"/>
      <c r="G153" s="3">
        <f t="shared" si="6"/>
        <v>5680</v>
      </c>
      <c r="H153" s="3" t="e">
        <f ca="1">IF(_xludf.TEXTJOIN("; ",TRUE,D153,F153)="","",_xludf.TEXTJOIN("; ",TRUE,D153,F153))</f>
        <v>#NAME?</v>
      </c>
      <c r="I153" s="3">
        <v>20</v>
      </c>
      <c r="J153" s="3"/>
      <c r="K153" s="3">
        <v>256</v>
      </c>
      <c r="L153" s="3"/>
      <c r="M153" s="3">
        <f t="shared" si="7"/>
        <v>5120</v>
      </c>
      <c r="N153" s="3" t="e">
        <f ca="1">IF(_xludf.TEXTJOIN("; ",TRUE,J153,L153)="","",_xludf.TEXTJOIN("; ",TRUE,J153,L153))</f>
        <v>#NAME?</v>
      </c>
      <c r="O153" s="3">
        <v>20</v>
      </c>
      <c r="P153" s="3"/>
      <c r="Q153" s="3">
        <v>260</v>
      </c>
      <c r="R153" s="3"/>
      <c r="S153" s="3">
        <f t="shared" si="8"/>
        <v>5200</v>
      </c>
      <c r="T153" s="3" t="e">
        <f ca="1">IF(_xludf.TEXTJOIN("; ",TRUE,P153,R153)="","",_xludf.TEXTJOIN("; ",TRUE,P153,R153))</f>
        <v>#NAME?</v>
      </c>
    </row>
    <row r="154" spans="1:20">
      <c r="A154" t="s">
        <v>321</v>
      </c>
      <c r="B154" t="s">
        <v>322</v>
      </c>
      <c r="C154" s="3">
        <v>22</v>
      </c>
      <c r="D154" s="3"/>
      <c r="E154" s="3">
        <v>231</v>
      </c>
      <c r="F154" s="3"/>
      <c r="G154" s="3">
        <f t="shared" si="6"/>
        <v>5082</v>
      </c>
      <c r="H154" s="3" t="e">
        <f ca="1">IF(_xludf.TEXTJOIN("; ",TRUE,D154,F154)="","",_xludf.TEXTJOIN("; ",TRUE,D154,F154))</f>
        <v>#NAME?</v>
      </c>
      <c r="I154" s="3">
        <v>24</v>
      </c>
      <c r="J154" s="3"/>
      <c r="K154" s="3">
        <v>193</v>
      </c>
      <c r="L154" s="3"/>
      <c r="M154" s="3">
        <f t="shared" si="7"/>
        <v>4632</v>
      </c>
      <c r="N154" s="3" t="e">
        <f ca="1">IF(_xludf.TEXTJOIN("; ",TRUE,J154,L154)="","",_xludf.TEXTJOIN("; ",TRUE,J154,L154))</f>
        <v>#NAME?</v>
      </c>
      <c r="O154" s="3">
        <v>23</v>
      </c>
      <c r="P154" s="3"/>
      <c r="Q154" s="3">
        <v>207</v>
      </c>
      <c r="R154" s="3"/>
      <c r="S154" s="3">
        <f t="shared" si="8"/>
        <v>4761</v>
      </c>
      <c r="T154" s="3" t="e">
        <f ca="1">IF(_xludf.TEXTJOIN("; ",TRUE,P154,R154)="","",_xludf.TEXTJOIN("; ",TRUE,P154,R154))</f>
        <v>#NAME?</v>
      </c>
    </row>
    <row r="155" spans="1:20">
      <c r="A155" t="s">
        <v>323</v>
      </c>
      <c r="B155" t="s">
        <v>324</v>
      </c>
      <c r="C155" s="3">
        <v>9</v>
      </c>
      <c r="D155" s="3"/>
      <c r="E155" s="3">
        <v>53</v>
      </c>
      <c r="F155" s="3"/>
      <c r="G155" s="3">
        <f t="shared" si="6"/>
        <v>477</v>
      </c>
      <c r="H155" s="3" t="e">
        <f ca="1">IF(_xludf.TEXTJOIN("; ",TRUE,D155,F155)="","",_xludf.TEXTJOIN("; ",TRUE,D155,F155))</f>
        <v>#NAME?</v>
      </c>
      <c r="I155" s="3">
        <v>9</v>
      </c>
      <c r="J155" s="3"/>
      <c r="K155" s="3">
        <v>63</v>
      </c>
      <c r="L155" s="3"/>
      <c r="M155" s="3">
        <f t="shared" si="7"/>
        <v>567</v>
      </c>
      <c r="N155" s="3" t="e">
        <f ca="1">IF(_xludf.TEXTJOIN("; ",TRUE,J155,L155)="","",_xludf.TEXTJOIN("; ",TRUE,J155,L155))</f>
        <v>#NAME?</v>
      </c>
      <c r="O155" s="3">
        <v>10</v>
      </c>
      <c r="P155" s="3"/>
      <c r="Q155" s="3">
        <v>53</v>
      </c>
      <c r="R155" s="3"/>
      <c r="S155" s="3">
        <f t="shared" si="8"/>
        <v>530</v>
      </c>
      <c r="T155" s="3" t="e">
        <f ca="1">IF(_xludf.TEXTJOIN("; ",TRUE,P155,R155)="","",_xludf.TEXTJOIN("; ",TRUE,P155,R155))</f>
        <v>#NAME?</v>
      </c>
    </row>
    <row r="156" spans="1:20">
      <c r="A156" t="s">
        <v>325</v>
      </c>
      <c r="B156" t="s">
        <v>326</v>
      </c>
      <c r="C156" s="3" t="s">
        <v>43</v>
      </c>
      <c r="D156" s="3"/>
      <c r="E156" s="3">
        <v>0</v>
      </c>
      <c r="F156" s="3"/>
      <c r="G156" s="3" t="str">
        <f t="shared" si="6"/>
        <v/>
      </c>
      <c r="H156" s="3" t="e">
        <f ca="1">IF(_xludf.TEXTJOIN("; ",TRUE,D156,F156)="","",_xludf.TEXTJOIN("; ",TRUE,D156,F156))</f>
        <v>#NAME?</v>
      </c>
      <c r="I156" s="3" t="s">
        <v>43</v>
      </c>
      <c r="J156" s="3"/>
      <c r="K156" s="3">
        <v>0</v>
      </c>
      <c r="L156" s="3"/>
      <c r="M156" s="3" t="str">
        <f t="shared" si="7"/>
        <v/>
      </c>
      <c r="N156" s="3" t="e">
        <f ca="1">IF(_xludf.TEXTJOIN("; ",TRUE,J156,L156)="","",_xludf.TEXTJOIN("; ",TRUE,J156,L156))</f>
        <v>#NAME?</v>
      </c>
      <c r="O156" s="3" t="s">
        <v>43</v>
      </c>
      <c r="P156" s="3"/>
      <c r="Q156" s="3">
        <v>0</v>
      </c>
      <c r="R156" s="3"/>
      <c r="S156" s="3" t="str">
        <f t="shared" si="8"/>
        <v/>
      </c>
      <c r="T156" s="3" t="e">
        <f ca="1">IF(_xludf.TEXTJOIN("; ",TRUE,P156,R156)="","",_xludf.TEXTJOIN("; ",TRUE,P156,R156))</f>
        <v>#NAME?</v>
      </c>
    </row>
    <row r="157" spans="1:20">
      <c r="A157" t="s">
        <v>327</v>
      </c>
      <c r="B157" t="s">
        <v>328</v>
      </c>
      <c r="C157" s="3" t="s">
        <v>43</v>
      </c>
      <c r="D157" s="3"/>
      <c r="E157" s="3">
        <v>0</v>
      </c>
      <c r="F157" s="3"/>
      <c r="G157" s="3" t="str">
        <f t="shared" si="6"/>
        <v/>
      </c>
      <c r="H157" s="3" t="e">
        <f ca="1">IF(_xludf.TEXTJOIN("; ",TRUE,D157,F157)="","",_xludf.TEXTJOIN("; ",TRUE,D157,F157))</f>
        <v>#NAME?</v>
      </c>
      <c r="I157" s="3" t="s">
        <v>43</v>
      </c>
      <c r="J157" s="3"/>
      <c r="K157" s="3">
        <v>0</v>
      </c>
      <c r="L157" s="3"/>
      <c r="M157" s="3" t="str">
        <f t="shared" si="7"/>
        <v/>
      </c>
      <c r="N157" s="3" t="e">
        <f ca="1">IF(_xludf.TEXTJOIN("; ",TRUE,J157,L157)="","",_xludf.TEXTJOIN("; ",TRUE,J157,L157))</f>
        <v>#NAME?</v>
      </c>
      <c r="O157" s="3" t="s">
        <v>43</v>
      </c>
      <c r="P157" s="3"/>
      <c r="Q157" s="3">
        <v>0</v>
      </c>
      <c r="R157" s="3"/>
      <c r="S157" s="3" t="str">
        <f t="shared" si="8"/>
        <v/>
      </c>
      <c r="T157" s="3" t="e">
        <f ca="1">IF(_xludf.TEXTJOIN("; ",TRUE,P157,R157)="","",_xludf.TEXTJOIN("; ",TRUE,P157,R157))</f>
        <v>#NAME?</v>
      </c>
    </row>
    <row r="158" spans="1:20">
      <c r="A158" t="s">
        <v>329</v>
      </c>
      <c r="B158" t="s">
        <v>330</v>
      </c>
      <c r="C158" s="3">
        <v>4</v>
      </c>
      <c r="D158" s="3"/>
      <c r="E158" s="3">
        <v>21</v>
      </c>
      <c r="F158" s="3"/>
      <c r="G158" s="3">
        <f t="shared" si="6"/>
        <v>84</v>
      </c>
      <c r="H158" s="3" t="e">
        <f ca="1">IF(_xludf.TEXTJOIN("; ",TRUE,D158,F158)="","",_xludf.TEXTJOIN("; ",TRUE,D158,F158))</f>
        <v>#NAME?</v>
      </c>
      <c r="I158" s="3">
        <v>5</v>
      </c>
      <c r="J158" s="3"/>
      <c r="K158" s="3">
        <v>23</v>
      </c>
      <c r="L158" s="3"/>
      <c r="M158" s="3">
        <f t="shared" si="7"/>
        <v>115</v>
      </c>
      <c r="N158" s="3" t="e">
        <f ca="1">IF(_xludf.TEXTJOIN("; ",TRUE,J158,L158)="","",_xludf.TEXTJOIN("; ",TRUE,J158,L158))</f>
        <v>#NAME?</v>
      </c>
      <c r="O158" s="3">
        <v>4</v>
      </c>
      <c r="P158" s="3"/>
      <c r="Q158" s="3">
        <v>26</v>
      </c>
      <c r="R158" s="3"/>
      <c r="S158" s="3">
        <f t="shared" si="8"/>
        <v>104</v>
      </c>
      <c r="T158" s="3" t="e">
        <f ca="1">IF(_xludf.TEXTJOIN("; ",TRUE,P158,R158)="","",_xludf.TEXTJOIN("; ",TRUE,P158,R158))</f>
        <v>#NAME?</v>
      </c>
    </row>
    <row r="159" spans="1:20">
      <c r="A159" t="s">
        <v>331</v>
      </c>
      <c r="B159" t="s">
        <v>330</v>
      </c>
      <c r="C159" s="3">
        <v>4</v>
      </c>
      <c r="D159" s="3"/>
      <c r="E159" s="3">
        <v>21</v>
      </c>
      <c r="F159" s="3"/>
      <c r="G159" s="3">
        <f t="shared" si="6"/>
        <v>84</v>
      </c>
      <c r="H159" s="3" t="e">
        <f ca="1">IF(_xludf.TEXTJOIN("; ",TRUE,D159,F159)="","",_xludf.TEXTJOIN("; ",TRUE,D159,F159))</f>
        <v>#NAME?</v>
      </c>
      <c r="I159" s="3">
        <v>5</v>
      </c>
      <c r="J159" s="3"/>
      <c r="K159" s="3">
        <v>23</v>
      </c>
      <c r="L159" s="3"/>
      <c r="M159" s="3">
        <f t="shared" si="7"/>
        <v>115</v>
      </c>
      <c r="N159" s="3" t="e">
        <f ca="1">IF(_xludf.TEXTJOIN("; ",TRUE,J159,L159)="","",_xludf.TEXTJOIN("; ",TRUE,J159,L159))</f>
        <v>#NAME?</v>
      </c>
      <c r="O159" s="3">
        <v>4</v>
      </c>
      <c r="P159" s="3"/>
      <c r="Q159" s="3">
        <v>26</v>
      </c>
      <c r="R159" s="3"/>
      <c r="S159" s="3">
        <f t="shared" si="8"/>
        <v>104</v>
      </c>
      <c r="T159" s="3" t="e">
        <f ca="1">IF(_xludf.TEXTJOIN("; ",TRUE,P159,R159)="","",_xludf.TEXTJOIN("; ",TRUE,P159,R159))</f>
        <v>#NAME?</v>
      </c>
    </row>
    <row r="160" spans="1:20">
      <c r="A160" t="s">
        <v>332</v>
      </c>
      <c r="B160" t="s">
        <v>333</v>
      </c>
      <c r="C160" s="3">
        <v>68</v>
      </c>
      <c r="D160" s="3" t="s">
        <v>334</v>
      </c>
      <c r="E160" s="3">
        <v>2679</v>
      </c>
      <c r="F160" s="3" t="s">
        <v>334</v>
      </c>
      <c r="G160" s="3">
        <f t="shared" si="6"/>
        <v>182172</v>
      </c>
      <c r="H160" s="3" t="e">
        <f ca="1">IF(_xludf.TEXTJOIN("; ",TRUE,D160,F160)="","",_xludf.TEXTJOIN("; ",TRUE,D160,F160))</f>
        <v>#NAME?</v>
      </c>
      <c r="I160" s="3">
        <v>61</v>
      </c>
      <c r="J160" s="3"/>
      <c r="K160" s="3">
        <v>2895</v>
      </c>
      <c r="L160" s="3"/>
      <c r="M160" s="3">
        <f t="shared" si="7"/>
        <v>176595</v>
      </c>
      <c r="N160" s="3" t="e">
        <f ca="1">IF(_xludf.TEXTJOIN("; ",TRUE,J160,L160)="","",_xludf.TEXTJOIN("; ",TRUE,J160,L160))</f>
        <v>#NAME?</v>
      </c>
      <c r="O160" s="3">
        <v>58</v>
      </c>
      <c r="P160" s="3"/>
      <c r="Q160" s="3">
        <v>3054</v>
      </c>
      <c r="R160" s="3"/>
      <c r="S160" s="3">
        <f t="shared" si="8"/>
        <v>177132</v>
      </c>
      <c r="T160" s="3" t="e">
        <f ca="1">IF(_xludf.TEXTJOIN("; ",TRUE,P160,R160)="","",_xludf.TEXTJOIN("; ",TRUE,P160,R160))</f>
        <v>#NAME?</v>
      </c>
    </row>
    <row r="161" spans="1:20">
      <c r="A161" t="s">
        <v>335</v>
      </c>
      <c r="B161" t="s">
        <v>336</v>
      </c>
      <c r="C161" s="3">
        <v>133</v>
      </c>
      <c r="D161" s="3" t="s">
        <v>334</v>
      </c>
      <c r="E161" s="3">
        <v>282</v>
      </c>
      <c r="F161" s="3" t="s">
        <v>334</v>
      </c>
      <c r="G161" s="3">
        <f t="shared" si="6"/>
        <v>37506</v>
      </c>
      <c r="H161" s="3" t="e">
        <f ca="1">IF(_xludf.TEXTJOIN("; ",TRUE,D161,F161)="","",_xludf.TEXTJOIN("; ",TRUE,D161,F161))</f>
        <v>#NAME?</v>
      </c>
      <c r="I161" s="3">
        <v>121</v>
      </c>
      <c r="J161" s="3"/>
      <c r="K161" s="3">
        <v>295</v>
      </c>
      <c r="L161" s="3"/>
      <c r="M161" s="3">
        <f t="shared" si="7"/>
        <v>35695</v>
      </c>
      <c r="N161" s="3" t="e">
        <f ca="1">IF(_xludf.TEXTJOIN("; ",TRUE,J161,L161)="","",_xludf.TEXTJOIN("; ",TRUE,J161,L161))</f>
        <v>#NAME?</v>
      </c>
      <c r="O161" s="3">
        <v>118</v>
      </c>
      <c r="P161" s="3"/>
      <c r="Q161" s="3">
        <v>293</v>
      </c>
      <c r="R161" s="3"/>
      <c r="S161" s="3">
        <f t="shared" si="8"/>
        <v>34574</v>
      </c>
      <c r="T161" s="3" t="e">
        <f ca="1">IF(_xludf.TEXTJOIN("; ",TRUE,P161,R161)="","",_xludf.TEXTJOIN("; ",TRUE,P161,R161))</f>
        <v>#NAME?</v>
      </c>
    </row>
    <row r="162" spans="1:20">
      <c r="A162" t="s">
        <v>337</v>
      </c>
      <c r="B162" t="s">
        <v>336</v>
      </c>
      <c r="C162" s="3">
        <v>133</v>
      </c>
      <c r="D162" s="3" t="s">
        <v>334</v>
      </c>
      <c r="E162" s="3">
        <v>282</v>
      </c>
      <c r="F162" s="3" t="s">
        <v>334</v>
      </c>
      <c r="G162" s="3">
        <f t="shared" si="6"/>
        <v>37506</v>
      </c>
      <c r="H162" s="3" t="e">
        <f ca="1">IF(_xludf.TEXTJOIN("; ",TRUE,D162,F162)="","",_xludf.TEXTJOIN("; ",TRUE,D162,F162))</f>
        <v>#NAME?</v>
      </c>
      <c r="I162" s="3">
        <v>121</v>
      </c>
      <c r="J162" s="3"/>
      <c r="K162" s="3">
        <v>295</v>
      </c>
      <c r="L162" s="3"/>
      <c r="M162" s="3">
        <f t="shared" si="7"/>
        <v>35695</v>
      </c>
      <c r="N162" s="3" t="e">
        <f ca="1">IF(_xludf.TEXTJOIN("; ",TRUE,J162,L162)="","",_xludf.TEXTJOIN("; ",TRUE,J162,L162))</f>
        <v>#NAME?</v>
      </c>
      <c r="O162" s="3">
        <v>118</v>
      </c>
      <c r="P162" s="3"/>
      <c r="Q162" s="3">
        <v>293</v>
      </c>
      <c r="R162" s="3"/>
      <c r="S162" s="3">
        <f t="shared" si="8"/>
        <v>34574</v>
      </c>
      <c r="T162" s="3" t="e">
        <f ca="1">IF(_xludf.TEXTJOIN("; ",TRUE,P162,R162)="","",_xludf.TEXTJOIN("; ",TRUE,P162,R162))</f>
        <v>#NAME?</v>
      </c>
    </row>
    <row r="163" spans="1:20">
      <c r="A163" t="s">
        <v>338</v>
      </c>
      <c r="B163" t="s">
        <v>339</v>
      </c>
      <c r="C163" s="3">
        <v>46</v>
      </c>
      <c r="D163" s="3" t="s">
        <v>334</v>
      </c>
      <c r="E163" s="3">
        <v>114</v>
      </c>
      <c r="F163" s="3" t="s">
        <v>334</v>
      </c>
      <c r="G163" s="3">
        <f t="shared" si="6"/>
        <v>5244</v>
      </c>
      <c r="H163" s="3" t="e">
        <f ca="1">IF(_xludf.TEXTJOIN("; ",TRUE,D163,F163)="","",_xludf.TEXTJOIN("; ",TRUE,D163,F163))</f>
        <v>#NAME?</v>
      </c>
      <c r="I163" s="3">
        <v>36</v>
      </c>
      <c r="J163" s="3"/>
      <c r="K163" s="3">
        <v>119</v>
      </c>
      <c r="L163" s="3"/>
      <c r="M163" s="3">
        <f t="shared" si="7"/>
        <v>4284</v>
      </c>
      <c r="N163" s="3" t="e">
        <f ca="1">IF(_xludf.TEXTJOIN("; ",TRUE,J163,L163)="","",_xludf.TEXTJOIN("; ",TRUE,J163,L163))</f>
        <v>#NAME?</v>
      </c>
      <c r="O163" s="3">
        <v>34</v>
      </c>
      <c r="P163" s="3"/>
      <c r="Q163" s="3">
        <v>129</v>
      </c>
      <c r="R163" s="3"/>
      <c r="S163" s="3">
        <f t="shared" si="8"/>
        <v>4386</v>
      </c>
      <c r="T163" s="3" t="e">
        <f ca="1">IF(_xludf.TEXTJOIN("; ",TRUE,P163,R163)="","",_xludf.TEXTJOIN("; ",TRUE,P163,R163))</f>
        <v>#NAME?</v>
      </c>
    </row>
    <row r="164" spans="1:20">
      <c r="A164" t="s">
        <v>340</v>
      </c>
      <c r="B164" t="s">
        <v>339</v>
      </c>
      <c r="C164" s="3">
        <v>46</v>
      </c>
      <c r="D164" s="3" t="s">
        <v>334</v>
      </c>
      <c r="E164" s="3">
        <v>114</v>
      </c>
      <c r="F164" s="3" t="s">
        <v>334</v>
      </c>
      <c r="G164" s="3">
        <f t="shared" si="6"/>
        <v>5244</v>
      </c>
      <c r="H164" s="3" t="e">
        <f ca="1">IF(_xludf.TEXTJOIN("; ",TRUE,D164,F164)="","",_xludf.TEXTJOIN("; ",TRUE,D164,F164))</f>
        <v>#NAME?</v>
      </c>
      <c r="I164" s="3">
        <v>36</v>
      </c>
      <c r="J164" s="3"/>
      <c r="K164" s="3">
        <v>119</v>
      </c>
      <c r="L164" s="3"/>
      <c r="M164" s="3">
        <f t="shared" si="7"/>
        <v>4284</v>
      </c>
      <c r="N164" s="3" t="e">
        <f ca="1">IF(_xludf.TEXTJOIN("; ",TRUE,J164,L164)="","",_xludf.TEXTJOIN("; ",TRUE,J164,L164))</f>
        <v>#NAME?</v>
      </c>
      <c r="O164" s="3">
        <v>34</v>
      </c>
      <c r="P164" s="3"/>
      <c r="Q164" s="3">
        <v>129</v>
      </c>
      <c r="R164" s="3"/>
      <c r="S164" s="3">
        <f t="shared" si="8"/>
        <v>4386</v>
      </c>
      <c r="T164" s="3" t="e">
        <f ca="1">IF(_xludf.TEXTJOIN("; ",TRUE,P164,R164)="","",_xludf.TEXTJOIN("; ",TRUE,P164,R164))</f>
        <v>#NAME?</v>
      </c>
    </row>
    <row r="165" spans="1:20">
      <c r="A165" t="s">
        <v>341</v>
      </c>
      <c r="B165" t="s">
        <v>342</v>
      </c>
      <c r="C165" s="3">
        <v>125</v>
      </c>
      <c r="D165" s="3" t="s">
        <v>334</v>
      </c>
      <c r="E165" s="3">
        <v>149</v>
      </c>
      <c r="F165" s="3" t="s">
        <v>334</v>
      </c>
      <c r="G165" s="3">
        <f t="shared" si="6"/>
        <v>18625</v>
      </c>
      <c r="H165" s="3" t="e">
        <f ca="1">IF(_xludf.TEXTJOIN("; ",TRUE,D165,F165)="","",_xludf.TEXTJOIN("; ",TRUE,D165,F165))</f>
        <v>#NAME?</v>
      </c>
      <c r="I165" s="3">
        <v>118</v>
      </c>
      <c r="J165" s="3"/>
      <c r="K165" s="3">
        <v>156</v>
      </c>
      <c r="L165" s="3"/>
      <c r="M165" s="3">
        <f t="shared" si="7"/>
        <v>18408</v>
      </c>
      <c r="N165" s="3" t="e">
        <f ca="1">IF(_xludf.TEXTJOIN("; ",TRUE,J165,L165)="","",_xludf.TEXTJOIN("; ",TRUE,J165,L165))</f>
        <v>#NAME?</v>
      </c>
      <c r="O165" s="3">
        <v>104</v>
      </c>
      <c r="P165" s="3"/>
      <c r="Q165" s="3">
        <v>171</v>
      </c>
      <c r="R165" s="3"/>
      <c r="S165" s="3">
        <f t="shared" si="8"/>
        <v>17784</v>
      </c>
      <c r="T165" s="3" t="e">
        <f ca="1">IF(_xludf.TEXTJOIN("; ",TRUE,P165,R165)="","",_xludf.TEXTJOIN("; ",TRUE,P165,R165))</f>
        <v>#NAME?</v>
      </c>
    </row>
    <row r="166" spans="1:20">
      <c r="A166" t="s">
        <v>343</v>
      </c>
      <c r="B166" t="s">
        <v>344</v>
      </c>
      <c r="C166" s="3">
        <v>54</v>
      </c>
      <c r="D166" s="3" t="s">
        <v>334</v>
      </c>
      <c r="E166" s="3">
        <v>82</v>
      </c>
      <c r="F166" s="3" t="s">
        <v>334</v>
      </c>
      <c r="G166" s="3">
        <f t="shared" si="6"/>
        <v>4428</v>
      </c>
      <c r="H166" s="3" t="e">
        <f ca="1">IF(_xludf.TEXTJOIN("; ",TRUE,D166,F166)="","",_xludf.TEXTJOIN("; ",TRUE,D166,F166))</f>
        <v>#NAME?</v>
      </c>
      <c r="I166" s="3">
        <v>56</v>
      </c>
      <c r="J166" s="3"/>
      <c r="K166" s="3">
        <v>83</v>
      </c>
      <c r="L166" s="3"/>
      <c r="M166" s="3">
        <f t="shared" si="7"/>
        <v>4648</v>
      </c>
      <c r="N166" s="3" t="e">
        <f ca="1">IF(_xludf.TEXTJOIN("; ",TRUE,J166,L166)="","",_xludf.TEXTJOIN("; ",TRUE,J166,L166))</f>
        <v>#NAME?</v>
      </c>
      <c r="O166" s="3">
        <v>48</v>
      </c>
      <c r="P166" s="3"/>
      <c r="Q166" s="3">
        <v>97</v>
      </c>
      <c r="R166" s="3"/>
      <c r="S166" s="3">
        <f t="shared" si="8"/>
        <v>4656</v>
      </c>
      <c r="T166" s="3" t="e">
        <f ca="1">IF(_xludf.TEXTJOIN("; ",TRUE,P166,R166)="","",_xludf.TEXTJOIN("; ",TRUE,P166,R166))</f>
        <v>#NAME?</v>
      </c>
    </row>
    <row r="167" spans="1:20">
      <c r="A167" t="s">
        <v>345</v>
      </c>
      <c r="B167" t="s">
        <v>346</v>
      </c>
      <c r="C167" s="3">
        <v>213</v>
      </c>
      <c r="D167" s="3" t="s">
        <v>334</v>
      </c>
      <c r="E167" s="3">
        <v>67</v>
      </c>
      <c r="F167" s="3" t="s">
        <v>334</v>
      </c>
      <c r="G167" s="3">
        <f t="shared" si="6"/>
        <v>14271</v>
      </c>
      <c r="H167" s="3" t="e">
        <f ca="1">IF(_xludf.TEXTJOIN("; ",TRUE,D167,F167)="","",_xludf.TEXTJOIN("; ",TRUE,D167,F167))</f>
        <v>#NAME?</v>
      </c>
      <c r="I167" s="3">
        <v>188</v>
      </c>
      <c r="J167" s="3"/>
      <c r="K167" s="3">
        <v>73</v>
      </c>
      <c r="L167" s="3"/>
      <c r="M167" s="3">
        <f t="shared" si="7"/>
        <v>13724</v>
      </c>
      <c r="N167" s="3" t="e">
        <f ca="1">IF(_xludf.TEXTJOIN("; ",TRUE,J167,L167)="","",_xludf.TEXTJOIN("; ",TRUE,J167,L167))</f>
        <v>#NAME?</v>
      </c>
      <c r="O167" s="3">
        <v>177</v>
      </c>
      <c r="P167" s="3"/>
      <c r="Q167" s="3">
        <v>74</v>
      </c>
      <c r="R167" s="3"/>
      <c r="S167" s="3">
        <f t="shared" si="8"/>
        <v>13098</v>
      </c>
      <c r="T167" s="3" t="e">
        <f ca="1">IF(_xludf.TEXTJOIN("; ",TRUE,P167,R167)="","",_xludf.TEXTJOIN("; ",TRUE,P167,R167))</f>
        <v>#NAME?</v>
      </c>
    </row>
    <row r="168" spans="1:20">
      <c r="A168" t="s">
        <v>347</v>
      </c>
      <c r="B168" t="s">
        <v>348</v>
      </c>
      <c r="C168" s="3">
        <v>112</v>
      </c>
      <c r="D168" s="3" t="s">
        <v>334</v>
      </c>
      <c r="E168" s="3">
        <v>153</v>
      </c>
      <c r="F168" s="3" t="s">
        <v>334</v>
      </c>
      <c r="G168" s="3">
        <f t="shared" si="6"/>
        <v>17136</v>
      </c>
      <c r="H168" s="3" t="e">
        <f ca="1">IF(_xludf.TEXTJOIN("; ",TRUE,D168,F168)="","",_xludf.TEXTJOIN("; ",TRUE,D168,F168))</f>
        <v>#NAME?</v>
      </c>
      <c r="I168" s="3">
        <v>103</v>
      </c>
      <c r="J168" s="3"/>
      <c r="K168" s="3">
        <v>158</v>
      </c>
      <c r="L168" s="3"/>
      <c r="M168" s="3">
        <f t="shared" si="7"/>
        <v>16274</v>
      </c>
      <c r="N168" s="3" t="e">
        <f ca="1">IF(_xludf.TEXTJOIN("; ",TRUE,J168,L168)="","",_xludf.TEXTJOIN("; ",TRUE,J168,L168))</f>
        <v>#NAME?</v>
      </c>
      <c r="O168" s="3">
        <v>97</v>
      </c>
      <c r="P168" s="3"/>
      <c r="Q168" s="3">
        <v>169</v>
      </c>
      <c r="R168" s="3"/>
      <c r="S168" s="3">
        <f t="shared" si="8"/>
        <v>16393</v>
      </c>
      <c r="T168" s="3" t="e">
        <f ca="1">IF(_xludf.TEXTJOIN("; ",TRUE,P168,R168)="","",_xludf.TEXTJOIN("; ",TRUE,P168,R168))</f>
        <v>#NAME?</v>
      </c>
    </row>
    <row r="169" spans="1:20">
      <c r="A169" t="s">
        <v>349</v>
      </c>
      <c r="B169" t="s">
        <v>350</v>
      </c>
      <c r="C169" s="3">
        <v>93</v>
      </c>
      <c r="D169" s="3" t="s">
        <v>334</v>
      </c>
      <c r="E169" s="3">
        <v>99</v>
      </c>
      <c r="F169" s="3" t="s">
        <v>334</v>
      </c>
      <c r="G169" s="3">
        <f t="shared" si="6"/>
        <v>9207</v>
      </c>
      <c r="H169" s="3" t="e">
        <f ca="1">IF(_xludf.TEXTJOIN("; ",TRUE,D169,F169)="","",_xludf.TEXTJOIN("; ",TRUE,D169,F169))</f>
        <v>#NAME?</v>
      </c>
      <c r="I169" s="3">
        <v>87</v>
      </c>
      <c r="J169" s="3"/>
      <c r="K169" s="3">
        <v>103</v>
      </c>
      <c r="L169" s="3"/>
      <c r="M169" s="3">
        <f t="shared" si="7"/>
        <v>8961</v>
      </c>
      <c r="N169" s="3" t="e">
        <f ca="1">IF(_xludf.TEXTJOIN("; ",TRUE,J169,L169)="","",_xludf.TEXTJOIN("; ",TRUE,J169,L169))</f>
        <v>#NAME?</v>
      </c>
      <c r="O169" s="3">
        <v>84</v>
      </c>
      <c r="P169" s="3"/>
      <c r="Q169" s="3">
        <v>109</v>
      </c>
      <c r="R169" s="3"/>
      <c r="S169" s="3">
        <f t="shared" si="8"/>
        <v>9156</v>
      </c>
      <c r="T169" s="3" t="e">
        <f ca="1">IF(_xludf.TEXTJOIN("; ",TRUE,P169,R169)="","",_xludf.TEXTJOIN("; ",TRUE,P169,R169))</f>
        <v>#NAME?</v>
      </c>
    </row>
    <row r="170" spans="1:20">
      <c r="A170" t="s">
        <v>351</v>
      </c>
      <c r="B170" t="s">
        <v>352</v>
      </c>
      <c r="C170" s="3">
        <v>148</v>
      </c>
      <c r="D170" s="3" t="s">
        <v>334</v>
      </c>
      <c r="E170" s="3">
        <v>54</v>
      </c>
      <c r="F170" s="3" t="s">
        <v>334</v>
      </c>
      <c r="G170" s="3">
        <f t="shared" si="6"/>
        <v>7992</v>
      </c>
      <c r="H170" s="3" t="e">
        <f ca="1">IF(_xludf.TEXTJOIN("; ",TRUE,D170,F170)="","",_xludf.TEXTJOIN("; ",TRUE,D170,F170))</f>
        <v>#NAME?</v>
      </c>
      <c r="I170" s="3">
        <v>135</v>
      </c>
      <c r="J170" s="3"/>
      <c r="K170" s="3">
        <v>55</v>
      </c>
      <c r="L170" s="3"/>
      <c r="M170" s="3">
        <f t="shared" si="7"/>
        <v>7425</v>
      </c>
      <c r="N170" s="3" t="e">
        <f ca="1">IF(_xludf.TEXTJOIN("; ",TRUE,J170,L170)="","",_xludf.TEXTJOIN("; ",TRUE,J170,L170))</f>
        <v>#NAME?</v>
      </c>
      <c r="O170" s="3">
        <v>121</v>
      </c>
      <c r="P170" s="3"/>
      <c r="Q170" s="3">
        <v>60</v>
      </c>
      <c r="R170" s="3"/>
      <c r="S170" s="3">
        <f t="shared" si="8"/>
        <v>7260</v>
      </c>
      <c r="T170" s="3" t="e">
        <f ca="1">IF(_xludf.TEXTJOIN("; ",TRUE,P170,R170)="","",_xludf.TEXTJOIN("; ",TRUE,P170,R170))</f>
        <v>#NAME?</v>
      </c>
    </row>
    <row r="171" spans="1:20">
      <c r="A171" t="s">
        <v>353</v>
      </c>
      <c r="B171" t="s">
        <v>354</v>
      </c>
      <c r="C171" s="3">
        <v>125</v>
      </c>
      <c r="D171" s="3" t="s">
        <v>334</v>
      </c>
      <c r="E171" s="3">
        <v>216</v>
      </c>
      <c r="F171" s="3" t="s">
        <v>334</v>
      </c>
      <c r="G171" s="3">
        <f t="shared" si="6"/>
        <v>27000</v>
      </c>
      <c r="H171" s="3" t="e">
        <f ca="1">IF(_xludf.TEXTJOIN("; ",TRUE,D171,F171)="","",_xludf.TEXTJOIN("; ",TRUE,D171,F171))</f>
        <v>#NAME?</v>
      </c>
      <c r="I171" s="3">
        <v>118</v>
      </c>
      <c r="J171" s="3"/>
      <c r="K171" s="3">
        <v>226</v>
      </c>
      <c r="L171" s="3"/>
      <c r="M171" s="3">
        <f t="shared" si="7"/>
        <v>26668</v>
      </c>
      <c r="N171" s="3" t="e">
        <f ca="1">IF(_xludf.TEXTJOIN("; ",TRUE,J171,L171)="","",_xludf.TEXTJOIN("; ",TRUE,J171,L171))</f>
        <v>#NAME?</v>
      </c>
      <c r="O171" s="3">
        <v>116</v>
      </c>
      <c r="P171" s="3"/>
      <c r="Q171" s="3">
        <v>228</v>
      </c>
      <c r="R171" s="3"/>
      <c r="S171" s="3">
        <f t="shared" si="8"/>
        <v>26448</v>
      </c>
      <c r="T171" s="3" t="e">
        <f ca="1">IF(_xludf.TEXTJOIN("; ",TRUE,P171,R171)="","",_xludf.TEXTJOIN("; ",TRUE,P171,R171))</f>
        <v>#NAME?</v>
      </c>
    </row>
    <row r="172" spans="1:20">
      <c r="A172" t="s">
        <v>355</v>
      </c>
      <c r="B172" t="s">
        <v>356</v>
      </c>
      <c r="C172" s="3">
        <v>143</v>
      </c>
      <c r="D172" s="3" t="s">
        <v>334</v>
      </c>
      <c r="E172" s="3">
        <v>150</v>
      </c>
      <c r="F172" s="3" t="s">
        <v>334</v>
      </c>
      <c r="G172" s="3">
        <f t="shared" si="6"/>
        <v>21450</v>
      </c>
      <c r="H172" s="3" t="e">
        <f ca="1">IF(_xludf.TEXTJOIN("; ",TRUE,D172,F172)="","",_xludf.TEXTJOIN("; ",TRUE,D172,F172))</f>
        <v>#NAME?</v>
      </c>
      <c r="I172" s="3">
        <v>132</v>
      </c>
      <c r="J172" s="3"/>
      <c r="K172" s="3">
        <v>161</v>
      </c>
      <c r="L172" s="3"/>
      <c r="M172" s="3">
        <f t="shared" si="7"/>
        <v>21252</v>
      </c>
      <c r="N172" s="3" t="e">
        <f ca="1">IF(_xludf.TEXTJOIN("; ",TRUE,J172,L172)="","",_xludf.TEXTJOIN("; ",TRUE,J172,L172))</f>
        <v>#NAME?</v>
      </c>
      <c r="O172" s="3">
        <v>128</v>
      </c>
      <c r="P172" s="3"/>
      <c r="Q172" s="3">
        <v>164</v>
      </c>
      <c r="R172" s="3"/>
      <c r="S172" s="3">
        <f t="shared" si="8"/>
        <v>20992</v>
      </c>
      <c r="T172" s="3" t="e">
        <f ca="1">IF(_xludf.TEXTJOIN("; ",TRUE,P172,R172)="","",_xludf.TEXTJOIN("; ",TRUE,P172,R172))</f>
        <v>#NAME?</v>
      </c>
    </row>
    <row r="173" spans="1:20">
      <c r="A173" t="s">
        <v>357</v>
      </c>
      <c r="B173" t="s">
        <v>358</v>
      </c>
      <c r="C173" s="3">
        <v>83</v>
      </c>
      <c r="D173" s="3" t="s">
        <v>334</v>
      </c>
      <c r="E173" s="3">
        <v>66</v>
      </c>
      <c r="F173" s="3" t="s">
        <v>334</v>
      </c>
      <c r="G173" s="3">
        <f t="shared" si="6"/>
        <v>5478</v>
      </c>
      <c r="H173" s="3" t="e">
        <f ca="1">IF(_xludf.TEXTJOIN("; ",TRUE,D173,F173)="","",_xludf.TEXTJOIN("; ",TRUE,D173,F173))</f>
        <v>#NAME?</v>
      </c>
      <c r="I173" s="3">
        <v>83</v>
      </c>
      <c r="J173" s="3"/>
      <c r="K173" s="3">
        <v>65</v>
      </c>
      <c r="L173" s="3"/>
      <c r="M173" s="3">
        <f t="shared" si="7"/>
        <v>5395</v>
      </c>
      <c r="N173" s="3" t="e">
        <f ca="1">IF(_xludf.TEXTJOIN("; ",TRUE,J173,L173)="","",_xludf.TEXTJOIN("; ",TRUE,J173,L173))</f>
        <v>#NAME?</v>
      </c>
      <c r="O173" s="3">
        <v>83</v>
      </c>
      <c r="P173" s="3"/>
      <c r="Q173" s="3">
        <v>64</v>
      </c>
      <c r="R173" s="3"/>
      <c r="S173" s="3">
        <f t="shared" si="8"/>
        <v>5312</v>
      </c>
      <c r="T173" s="3" t="e">
        <f ca="1">IF(_xludf.TEXTJOIN("; ",TRUE,P173,R173)="","",_xludf.TEXTJOIN("; ",TRUE,P173,R173))</f>
        <v>#NAME?</v>
      </c>
    </row>
    <row r="174" spans="1:20">
      <c r="A174" t="s">
        <v>359</v>
      </c>
      <c r="B174" t="s">
        <v>360</v>
      </c>
      <c r="C174" s="3">
        <v>119</v>
      </c>
      <c r="D174" s="3" t="s">
        <v>334</v>
      </c>
      <c r="E174" s="3">
        <v>202</v>
      </c>
      <c r="F174" s="3" t="s">
        <v>334</v>
      </c>
      <c r="G174" s="3">
        <f t="shared" si="6"/>
        <v>24038</v>
      </c>
      <c r="H174" s="3" t="e">
        <f ca="1">IF(_xludf.TEXTJOIN("; ",TRUE,D174,F174)="","",_xludf.TEXTJOIN("; ",TRUE,D174,F174))</f>
        <v>#NAME?</v>
      </c>
      <c r="I174" s="3">
        <v>108</v>
      </c>
      <c r="J174" s="3"/>
      <c r="K174" s="3">
        <v>214</v>
      </c>
      <c r="L174" s="3"/>
      <c r="M174" s="3">
        <f t="shared" si="7"/>
        <v>23112</v>
      </c>
      <c r="N174" s="3" t="e">
        <f ca="1">IF(_xludf.TEXTJOIN("; ",TRUE,J174,L174)="","",_xludf.TEXTJOIN("; ",TRUE,J174,L174))</f>
        <v>#NAME?</v>
      </c>
      <c r="O174" s="3">
        <v>103</v>
      </c>
      <c r="P174" s="3"/>
      <c r="Q174" s="3">
        <v>227</v>
      </c>
      <c r="R174" s="3"/>
      <c r="S174" s="3">
        <f t="shared" si="8"/>
        <v>23381</v>
      </c>
      <c r="T174" s="3" t="e">
        <f ca="1">IF(_xludf.TEXTJOIN("; ",TRUE,P174,R174)="","",_xludf.TEXTJOIN("; ",TRUE,P174,R174))</f>
        <v>#NAME?</v>
      </c>
    </row>
    <row r="175" spans="1:20">
      <c r="A175" t="s">
        <v>361</v>
      </c>
      <c r="B175" t="s">
        <v>362</v>
      </c>
      <c r="C175" s="3">
        <v>159</v>
      </c>
      <c r="D175" s="3" t="s">
        <v>334</v>
      </c>
      <c r="E175" s="3">
        <v>70</v>
      </c>
      <c r="F175" s="3" t="s">
        <v>334</v>
      </c>
      <c r="G175" s="3">
        <f t="shared" si="6"/>
        <v>11130</v>
      </c>
      <c r="H175" s="3" t="e">
        <f ca="1">IF(_xludf.TEXTJOIN("; ",TRUE,D175,F175)="","",_xludf.TEXTJOIN("; ",TRUE,D175,F175))</f>
        <v>#NAME?</v>
      </c>
      <c r="I175" s="3">
        <v>136</v>
      </c>
      <c r="J175" s="3"/>
      <c r="K175" s="3">
        <v>78</v>
      </c>
      <c r="L175" s="3"/>
      <c r="M175" s="3">
        <f t="shared" si="7"/>
        <v>10608</v>
      </c>
      <c r="N175" s="3" t="e">
        <f ca="1">IF(_xludf.TEXTJOIN("; ",TRUE,J175,L175)="","",_xludf.TEXTJOIN("; ",TRUE,J175,L175))</f>
        <v>#NAME?</v>
      </c>
      <c r="O175" s="3">
        <v>122</v>
      </c>
      <c r="P175" s="3"/>
      <c r="Q175" s="3">
        <v>84</v>
      </c>
      <c r="R175" s="3"/>
      <c r="S175" s="3">
        <f t="shared" si="8"/>
        <v>10248</v>
      </c>
      <c r="T175" s="3" t="e">
        <f ca="1">IF(_xludf.TEXTJOIN("; ",TRUE,P175,R175)="","",_xludf.TEXTJOIN("; ",TRUE,P175,R175))</f>
        <v>#NAME?</v>
      </c>
    </row>
    <row r="176" spans="1:20">
      <c r="A176" t="s">
        <v>363</v>
      </c>
      <c r="B176" t="s">
        <v>364</v>
      </c>
      <c r="C176" s="3">
        <v>54</v>
      </c>
      <c r="D176" s="3" t="s">
        <v>334</v>
      </c>
      <c r="E176" s="3">
        <v>43</v>
      </c>
      <c r="F176" s="3" t="s">
        <v>334</v>
      </c>
      <c r="G176" s="3">
        <f t="shared" si="6"/>
        <v>2322</v>
      </c>
      <c r="H176" s="3" t="e">
        <f ca="1">IF(_xludf.TEXTJOIN("; ",TRUE,D176,F176)="","",_xludf.TEXTJOIN("; ",TRUE,D176,F176))</f>
        <v>#NAME?</v>
      </c>
      <c r="I176" s="3">
        <v>55</v>
      </c>
      <c r="J176" s="3"/>
      <c r="K176" s="3">
        <v>41</v>
      </c>
      <c r="L176" s="3"/>
      <c r="M176" s="3">
        <f t="shared" si="7"/>
        <v>2255</v>
      </c>
      <c r="N176" s="3" t="e">
        <f ca="1">IF(_xludf.TEXTJOIN("; ",TRUE,J176,L176)="","",_xludf.TEXTJOIN("; ",TRUE,J176,L176))</f>
        <v>#NAME?</v>
      </c>
      <c r="O176" s="3">
        <v>52</v>
      </c>
      <c r="P176" s="3"/>
      <c r="Q176" s="3">
        <v>43</v>
      </c>
      <c r="R176" s="3"/>
      <c r="S176" s="3">
        <f t="shared" si="8"/>
        <v>2236</v>
      </c>
      <c r="T176" s="3" t="e">
        <f ca="1">IF(_xludf.TEXTJOIN("; ",TRUE,P176,R176)="","",_xludf.TEXTJOIN("; ",TRUE,P176,R176))</f>
        <v>#NAME?</v>
      </c>
    </row>
    <row r="177" spans="1:20">
      <c r="A177" t="s">
        <v>365</v>
      </c>
      <c r="B177" t="s">
        <v>366</v>
      </c>
      <c r="C177" s="3">
        <v>120</v>
      </c>
      <c r="D177" s="3" t="s">
        <v>334</v>
      </c>
      <c r="E177" s="3">
        <v>89</v>
      </c>
      <c r="F177" s="3" t="s">
        <v>334</v>
      </c>
      <c r="G177" s="3">
        <f t="shared" si="6"/>
        <v>10680</v>
      </c>
      <c r="H177" s="3" t="e">
        <f ca="1">IF(_xludf.TEXTJOIN("; ",TRUE,D177,F177)="","",_xludf.TEXTJOIN("; ",TRUE,D177,F177))</f>
        <v>#NAME?</v>
      </c>
      <c r="I177" s="3">
        <v>107</v>
      </c>
      <c r="J177" s="3"/>
      <c r="K177" s="3">
        <v>95</v>
      </c>
      <c r="L177" s="3"/>
      <c r="M177" s="3">
        <f t="shared" si="7"/>
        <v>10165</v>
      </c>
      <c r="N177" s="3" t="e">
        <f ca="1">IF(_xludf.TEXTJOIN("; ",TRUE,J177,L177)="","",_xludf.TEXTJOIN("; ",TRUE,J177,L177))</f>
        <v>#NAME?</v>
      </c>
      <c r="O177" s="3">
        <v>108</v>
      </c>
      <c r="P177" s="3"/>
      <c r="Q177" s="3">
        <v>100</v>
      </c>
      <c r="R177" s="3"/>
      <c r="S177" s="3">
        <f t="shared" si="8"/>
        <v>10800</v>
      </c>
      <c r="T177" s="3" t="e">
        <f ca="1">IF(_xludf.TEXTJOIN("; ",TRUE,P177,R177)="","",_xludf.TEXTJOIN("; ",TRUE,P177,R177))</f>
        <v>#NAME?</v>
      </c>
    </row>
    <row r="178" spans="1:20">
      <c r="A178" t="s">
        <v>367</v>
      </c>
      <c r="B178" t="s">
        <v>368</v>
      </c>
      <c r="C178" s="3">
        <v>58</v>
      </c>
      <c r="D178" s="3" t="s">
        <v>334</v>
      </c>
      <c r="E178" s="3">
        <v>227</v>
      </c>
      <c r="F178" s="3" t="s">
        <v>334</v>
      </c>
      <c r="G178" s="3">
        <f t="shared" si="6"/>
        <v>13166</v>
      </c>
      <c r="H178" s="3" t="e">
        <f ca="1">IF(_xludf.TEXTJOIN("; ",TRUE,D178,F178)="","",_xludf.TEXTJOIN("; ",TRUE,D178,F178))</f>
        <v>#NAME?</v>
      </c>
      <c r="I178" s="3">
        <v>50</v>
      </c>
      <c r="J178" s="3"/>
      <c r="K178" s="3">
        <v>262</v>
      </c>
      <c r="L178" s="3"/>
      <c r="M178" s="3">
        <f t="shared" si="7"/>
        <v>13100</v>
      </c>
      <c r="N178" s="3" t="e">
        <f ca="1">IF(_xludf.TEXTJOIN("; ",TRUE,J178,L178)="","",_xludf.TEXTJOIN("; ",TRUE,J178,L178))</f>
        <v>#NAME?</v>
      </c>
      <c r="O178" s="3">
        <v>48</v>
      </c>
      <c r="P178" s="3"/>
      <c r="Q178" s="3">
        <v>274</v>
      </c>
      <c r="R178" s="3"/>
      <c r="S178" s="3">
        <f t="shared" si="8"/>
        <v>13152</v>
      </c>
      <c r="T178" s="3" t="e">
        <f ca="1">IF(_xludf.TEXTJOIN("; ",TRUE,P178,R178)="","",_xludf.TEXTJOIN("; ",TRUE,P178,R178))</f>
        <v>#NAME?</v>
      </c>
    </row>
    <row r="179" spans="1:20">
      <c r="A179" t="s">
        <v>369</v>
      </c>
      <c r="B179" t="s">
        <v>368</v>
      </c>
      <c r="C179" s="3">
        <v>58</v>
      </c>
      <c r="D179" s="3" t="s">
        <v>334</v>
      </c>
      <c r="E179" s="3">
        <v>227</v>
      </c>
      <c r="F179" s="3" t="s">
        <v>334</v>
      </c>
      <c r="G179" s="3">
        <f t="shared" si="6"/>
        <v>13166</v>
      </c>
      <c r="H179" s="3" t="e">
        <f ca="1">IF(_xludf.TEXTJOIN("; ",TRUE,D179,F179)="","",_xludf.TEXTJOIN("; ",TRUE,D179,F179))</f>
        <v>#NAME?</v>
      </c>
      <c r="I179" s="3">
        <v>50</v>
      </c>
      <c r="J179" s="3"/>
      <c r="K179" s="3">
        <v>262</v>
      </c>
      <c r="L179" s="3"/>
      <c r="M179" s="3">
        <f t="shared" si="7"/>
        <v>13100</v>
      </c>
      <c r="N179" s="3" t="e">
        <f ca="1">IF(_xludf.TEXTJOIN("; ",TRUE,J179,L179)="","",_xludf.TEXTJOIN("; ",TRUE,J179,L179))</f>
        <v>#NAME?</v>
      </c>
      <c r="O179" s="3">
        <v>48</v>
      </c>
      <c r="P179" s="3"/>
      <c r="Q179" s="3">
        <v>274</v>
      </c>
      <c r="R179" s="3"/>
      <c r="S179" s="3">
        <f t="shared" si="8"/>
        <v>13152</v>
      </c>
      <c r="T179" s="3" t="e">
        <f ca="1">IF(_xludf.TEXTJOIN("; ",TRUE,P179,R179)="","",_xludf.TEXTJOIN("; ",TRUE,P179,R179))</f>
        <v>#NAME?</v>
      </c>
    </row>
    <row r="180" spans="1:20">
      <c r="A180" t="s">
        <v>370</v>
      </c>
      <c r="B180" t="s">
        <v>371</v>
      </c>
      <c r="C180" s="3">
        <v>40</v>
      </c>
      <c r="D180" s="3" t="s">
        <v>334</v>
      </c>
      <c r="E180" s="3">
        <v>145</v>
      </c>
      <c r="F180" s="3" t="s">
        <v>334</v>
      </c>
      <c r="G180" s="3">
        <f t="shared" si="6"/>
        <v>5800</v>
      </c>
      <c r="H180" s="3" t="e">
        <f ca="1">IF(_xludf.TEXTJOIN("; ",TRUE,D180,F180)="","",_xludf.TEXTJOIN("; ",TRUE,D180,F180))</f>
        <v>#NAME?</v>
      </c>
      <c r="I180" s="3">
        <v>37</v>
      </c>
      <c r="J180" s="3"/>
      <c r="K180" s="3">
        <v>158</v>
      </c>
      <c r="L180" s="3"/>
      <c r="M180" s="3">
        <f t="shared" si="7"/>
        <v>5846</v>
      </c>
      <c r="N180" s="3" t="e">
        <f ca="1">IF(_xludf.TEXTJOIN("; ",TRUE,J180,L180)="","",_xludf.TEXTJOIN("; ",TRUE,J180,L180))</f>
        <v>#NAME?</v>
      </c>
      <c r="O180" s="3">
        <v>33</v>
      </c>
      <c r="P180" s="3"/>
      <c r="Q180" s="3">
        <v>169</v>
      </c>
      <c r="R180" s="3"/>
      <c r="S180" s="3">
        <f t="shared" si="8"/>
        <v>5577</v>
      </c>
      <c r="T180" s="3" t="e">
        <f ca="1">IF(_xludf.TEXTJOIN("; ",TRUE,P180,R180)="","",_xludf.TEXTJOIN("; ",TRUE,P180,R180))</f>
        <v>#NAME?</v>
      </c>
    </row>
    <row r="181" spans="1:20">
      <c r="A181" t="s">
        <v>372</v>
      </c>
      <c r="B181" t="s">
        <v>371</v>
      </c>
      <c r="C181" s="3">
        <v>40</v>
      </c>
      <c r="D181" s="3" t="s">
        <v>334</v>
      </c>
      <c r="E181" s="3">
        <v>145</v>
      </c>
      <c r="F181" s="3" t="s">
        <v>334</v>
      </c>
      <c r="G181" s="3">
        <f t="shared" si="6"/>
        <v>5800</v>
      </c>
      <c r="H181" s="3" t="e">
        <f ca="1">IF(_xludf.TEXTJOIN("; ",TRUE,D181,F181)="","",_xludf.TEXTJOIN("; ",TRUE,D181,F181))</f>
        <v>#NAME?</v>
      </c>
      <c r="I181" s="3">
        <v>37</v>
      </c>
      <c r="J181" s="3"/>
      <c r="K181" s="3">
        <v>158</v>
      </c>
      <c r="L181" s="3"/>
      <c r="M181" s="3">
        <f t="shared" si="7"/>
        <v>5846</v>
      </c>
      <c r="N181" s="3" t="e">
        <f ca="1">IF(_xludf.TEXTJOIN("; ",TRUE,J181,L181)="","",_xludf.TEXTJOIN("; ",TRUE,J181,L181))</f>
        <v>#NAME?</v>
      </c>
      <c r="O181" s="3">
        <v>33</v>
      </c>
      <c r="P181" s="3"/>
      <c r="Q181" s="3">
        <v>169</v>
      </c>
      <c r="R181" s="3"/>
      <c r="S181" s="3">
        <f t="shared" si="8"/>
        <v>5577</v>
      </c>
      <c r="T181" s="3" t="e">
        <f ca="1">IF(_xludf.TEXTJOIN("; ",TRUE,P181,R181)="","",_xludf.TEXTJOIN("; ",TRUE,P181,R181))</f>
        <v>#NAME?</v>
      </c>
    </row>
    <row r="182" spans="1:20">
      <c r="A182" t="s">
        <v>373</v>
      </c>
      <c r="B182" t="s">
        <v>374</v>
      </c>
      <c r="C182" s="3">
        <v>24</v>
      </c>
      <c r="D182" s="3" t="s">
        <v>334</v>
      </c>
      <c r="E182" s="3">
        <v>274</v>
      </c>
      <c r="F182" s="3" t="s">
        <v>334</v>
      </c>
      <c r="G182" s="3">
        <f t="shared" si="6"/>
        <v>6576</v>
      </c>
      <c r="H182" s="3" t="e">
        <f ca="1">IF(_xludf.TEXTJOIN("; ",TRUE,D182,F182)="","",_xludf.TEXTJOIN("; ",TRUE,D182,F182))</f>
        <v>#NAME?</v>
      </c>
      <c r="I182" s="3">
        <v>23</v>
      </c>
      <c r="J182" s="3"/>
      <c r="K182" s="3">
        <v>299</v>
      </c>
      <c r="L182" s="3"/>
      <c r="M182" s="3">
        <f t="shared" si="7"/>
        <v>6877</v>
      </c>
      <c r="N182" s="3" t="e">
        <f ca="1">IF(_xludf.TEXTJOIN("; ",TRUE,J182,L182)="","",_xludf.TEXTJOIN("; ",TRUE,J182,L182))</f>
        <v>#NAME?</v>
      </c>
      <c r="O182" s="3">
        <v>20</v>
      </c>
      <c r="P182" s="3"/>
      <c r="Q182" s="3">
        <v>339</v>
      </c>
      <c r="R182" s="3"/>
      <c r="S182" s="3">
        <f t="shared" si="8"/>
        <v>6780</v>
      </c>
      <c r="T182" s="3" t="e">
        <f ca="1">IF(_xludf.TEXTJOIN("; ",TRUE,P182,R182)="","",_xludf.TEXTJOIN("; ",TRUE,P182,R182))</f>
        <v>#NAME?</v>
      </c>
    </row>
    <row r="183" spans="1:20">
      <c r="A183" t="s">
        <v>375</v>
      </c>
      <c r="B183" t="s">
        <v>376</v>
      </c>
      <c r="C183" s="3">
        <v>11</v>
      </c>
      <c r="D183" s="3" t="s">
        <v>334</v>
      </c>
      <c r="E183" s="3">
        <v>166</v>
      </c>
      <c r="F183" s="3" t="s">
        <v>334</v>
      </c>
      <c r="G183" s="3">
        <f t="shared" si="6"/>
        <v>1826</v>
      </c>
      <c r="H183" s="3" t="e">
        <f ca="1">IF(_xludf.TEXTJOIN("; ",TRUE,D183,F183)="","",_xludf.TEXTJOIN("; ",TRUE,D183,F183))</f>
        <v>#NAME?</v>
      </c>
      <c r="I183" s="3">
        <v>14</v>
      </c>
      <c r="J183" s="3"/>
      <c r="K183" s="3">
        <v>182</v>
      </c>
      <c r="L183" s="3"/>
      <c r="M183" s="3">
        <f t="shared" si="7"/>
        <v>2548</v>
      </c>
      <c r="N183" s="3" t="e">
        <f ca="1">IF(_xludf.TEXTJOIN("; ",TRUE,J183,L183)="","",_xludf.TEXTJOIN("; ",TRUE,J183,L183))</f>
        <v>#NAME?</v>
      </c>
      <c r="O183" s="3">
        <v>12</v>
      </c>
      <c r="P183" s="3"/>
      <c r="Q183" s="3">
        <v>208</v>
      </c>
      <c r="R183" s="3"/>
      <c r="S183" s="3">
        <f t="shared" si="8"/>
        <v>2496</v>
      </c>
      <c r="T183" s="3" t="e">
        <f ca="1">IF(_xludf.TEXTJOIN("; ",TRUE,P183,R183)="","",_xludf.TEXTJOIN("; ",TRUE,P183,R183))</f>
        <v>#NAME?</v>
      </c>
    </row>
    <row r="184" spans="1:20">
      <c r="A184" t="s">
        <v>377</v>
      </c>
      <c r="B184" t="s">
        <v>378</v>
      </c>
      <c r="C184" s="3">
        <v>56</v>
      </c>
      <c r="D184" s="3" t="s">
        <v>334</v>
      </c>
      <c r="E184" s="3">
        <v>25</v>
      </c>
      <c r="F184" s="3" t="s">
        <v>334</v>
      </c>
      <c r="G184" s="3">
        <f t="shared" si="6"/>
        <v>1400</v>
      </c>
      <c r="H184" s="3" t="e">
        <f ca="1">IF(_xludf.TEXTJOIN("; ",TRUE,D184,F184)="","",_xludf.TEXTJOIN("; ",TRUE,D184,F184))</f>
        <v>#NAME?</v>
      </c>
      <c r="I184" s="3">
        <v>38</v>
      </c>
      <c r="J184" s="3"/>
      <c r="K184" s="3">
        <v>29</v>
      </c>
      <c r="L184" s="3"/>
      <c r="M184" s="3">
        <f t="shared" si="7"/>
        <v>1102</v>
      </c>
      <c r="N184" s="3" t="e">
        <f ca="1">IF(_xludf.TEXTJOIN("; ",TRUE,J184,L184)="","",_xludf.TEXTJOIN("; ",TRUE,J184,L184))</f>
        <v>#NAME?</v>
      </c>
      <c r="O184" s="3">
        <v>37</v>
      </c>
      <c r="P184" s="3"/>
      <c r="Q184" s="3">
        <v>31</v>
      </c>
      <c r="R184" s="3"/>
      <c r="S184" s="3">
        <f t="shared" si="8"/>
        <v>1147</v>
      </c>
      <c r="T184" s="3" t="e">
        <f ca="1">IF(_xludf.TEXTJOIN("; ",TRUE,P184,R184)="","",_xludf.TEXTJOIN("; ",TRUE,P184,R184))</f>
        <v>#NAME?</v>
      </c>
    </row>
    <row r="185" spans="1:20">
      <c r="A185" t="s">
        <v>379</v>
      </c>
      <c r="B185" t="s">
        <v>380</v>
      </c>
      <c r="C185" s="3">
        <v>40</v>
      </c>
      <c r="D185" s="3" t="s">
        <v>334</v>
      </c>
      <c r="E185" s="3">
        <v>83</v>
      </c>
      <c r="F185" s="3" t="s">
        <v>334</v>
      </c>
      <c r="G185" s="3">
        <f t="shared" si="6"/>
        <v>3320</v>
      </c>
      <c r="H185" s="3" t="e">
        <f ca="1">IF(_xludf.TEXTJOIN("; ",TRUE,D185,F185)="","",_xludf.TEXTJOIN("; ",TRUE,D185,F185))</f>
        <v>#NAME?</v>
      </c>
      <c r="I185" s="3">
        <v>37</v>
      </c>
      <c r="J185" s="3"/>
      <c r="K185" s="3">
        <v>88</v>
      </c>
      <c r="L185" s="3"/>
      <c r="M185" s="3">
        <f t="shared" si="7"/>
        <v>3256</v>
      </c>
      <c r="N185" s="3" t="e">
        <f ca="1">IF(_xludf.TEXTJOIN("; ",TRUE,J185,L185)="","",_xludf.TEXTJOIN("; ",TRUE,J185,L185))</f>
        <v>#NAME?</v>
      </c>
      <c r="O185" s="3">
        <v>30</v>
      </c>
      <c r="P185" s="3"/>
      <c r="Q185" s="3">
        <v>100</v>
      </c>
      <c r="R185" s="3"/>
      <c r="S185" s="3">
        <f t="shared" si="8"/>
        <v>3000</v>
      </c>
      <c r="T185" s="3" t="e">
        <f ca="1">IF(_xludf.TEXTJOIN("; ",TRUE,P185,R185)="","",_xludf.TEXTJOIN("; ",TRUE,P185,R185))</f>
        <v>#NAME?</v>
      </c>
    </row>
    <row r="186" spans="1:20">
      <c r="A186" t="s">
        <v>381</v>
      </c>
      <c r="B186" t="s">
        <v>382</v>
      </c>
      <c r="C186" s="3">
        <v>18</v>
      </c>
      <c r="D186" s="3" t="s">
        <v>334</v>
      </c>
      <c r="E186" s="3">
        <v>237</v>
      </c>
      <c r="F186" s="3" t="s">
        <v>334</v>
      </c>
      <c r="G186" s="3">
        <f t="shared" si="6"/>
        <v>4266</v>
      </c>
      <c r="H186" s="3" t="e">
        <f ca="1">IF(_xludf.TEXTJOIN("; ",TRUE,D186,F186)="","",_xludf.TEXTJOIN("; ",TRUE,D186,F186))</f>
        <v>#NAME?</v>
      </c>
      <c r="I186" s="3">
        <v>17</v>
      </c>
      <c r="J186" s="3"/>
      <c r="K186" s="3">
        <v>264</v>
      </c>
      <c r="L186" s="3"/>
      <c r="M186" s="3">
        <f t="shared" si="7"/>
        <v>4488</v>
      </c>
      <c r="N186" s="3" t="e">
        <f ca="1">IF(_xludf.TEXTJOIN("; ",TRUE,J186,L186)="","",_xludf.TEXTJOIN("; ",TRUE,J186,L186))</f>
        <v>#NAME?</v>
      </c>
      <c r="O186" s="3">
        <v>16</v>
      </c>
      <c r="P186" s="3"/>
      <c r="Q186" s="3">
        <v>286</v>
      </c>
      <c r="R186" s="3"/>
      <c r="S186" s="3">
        <f t="shared" si="8"/>
        <v>4576</v>
      </c>
      <c r="T186" s="3" t="e">
        <f ca="1">IF(_xludf.TEXTJOIN("; ",TRUE,P186,R186)="","",_xludf.TEXTJOIN("; ",TRUE,P186,R186))</f>
        <v>#NAME?</v>
      </c>
    </row>
    <row r="187" spans="1:20">
      <c r="A187" t="s">
        <v>383</v>
      </c>
      <c r="B187" t="s">
        <v>384</v>
      </c>
      <c r="C187" s="3">
        <v>6</v>
      </c>
      <c r="D187" s="3" t="s">
        <v>334</v>
      </c>
      <c r="E187" s="3">
        <v>105</v>
      </c>
      <c r="F187" s="3" t="s">
        <v>334</v>
      </c>
      <c r="G187" s="3">
        <f t="shared" si="6"/>
        <v>630</v>
      </c>
      <c r="H187" s="3" t="e">
        <f ca="1">IF(_xludf.TEXTJOIN("; ",TRUE,D187,F187)="","",_xludf.TEXTJOIN("; ",TRUE,D187,F187))</f>
        <v>#NAME?</v>
      </c>
      <c r="I187" s="3">
        <v>6</v>
      </c>
      <c r="J187" s="3"/>
      <c r="K187" s="3">
        <v>113</v>
      </c>
      <c r="L187" s="3"/>
      <c r="M187" s="3">
        <f t="shared" si="7"/>
        <v>678</v>
      </c>
      <c r="N187" s="3" t="e">
        <f ca="1">IF(_xludf.TEXTJOIN("; ",TRUE,J187,L187)="","",_xludf.TEXTJOIN("; ",TRUE,J187,L187))</f>
        <v>#NAME?</v>
      </c>
      <c r="O187" s="3">
        <v>6</v>
      </c>
      <c r="P187" s="3"/>
      <c r="Q187" s="3">
        <v>122</v>
      </c>
      <c r="R187" s="3"/>
      <c r="S187" s="3">
        <f t="shared" si="8"/>
        <v>732</v>
      </c>
      <c r="T187" s="3" t="e">
        <f ca="1">IF(_xludf.TEXTJOIN("; ",TRUE,P187,R187)="","",_xludf.TEXTJOIN("; ",TRUE,P187,R187))</f>
        <v>#NAME?</v>
      </c>
    </row>
    <row r="188" spans="1:20">
      <c r="A188" t="s">
        <v>385</v>
      </c>
      <c r="B188" t="s">
        <v>386</v>
      </c>
      <c r="C188" s="3">
        <v>28</v>
      </c>
      <c r="D188" s="3" t="s">
        <v>334</v>
      </c>
      <c r="E188" s="3">
        <v>132</v>
      </c>
      <c r="F188" s="3" t="s">
        <v>334</v>
      </c>
      <c r="G188" s="3">
        <f t="shared" si="6"/>
        <v>3696</v>
      </c>
      <c r="H188" s="3" t="e">
        <f ca="1">IF(_xludf.TEXTJOIN("; ",TRUE,D188,F188)="","",_xludf.TEXTJOIN("; ",TRUE,D188,F188))</f>
        <v>#NAME?</v>
      </c>
      <c r="I188" s="3">
        <v>26</v>
      </c>
      <c r="J188" s="3"/>
      <c r="K188" s="3">
        <v>151</v>
      </c>
      <c r="L188" s="3"/>
      <c r="M188" s="3">
        <f t="shared" si="7"/>
        <v>3926</v>
      </c>
      <c r="N188" s="3" t="e">
        <f ca="1">IF(_xludf.TEXTJOIN("; ",TRUE,J188,L188)="","",_xludf.TEXTJOIN("; ",TRUE,J188,L188))</f>
        <v>#NAME?</v>
      </c>
      <c r="O188" s="3">
        <v>24</v>
      </c>
      <c r="P188" s="3"/>
      <c r="Q188" s="3">
        <v>164</v>
      </c>
      <c r="R188" s="3"/>
      <c r="S188" s="3">
        <f t="shared" si="8"/>
        <v>3936</v>
      </c>
      <c r="T188" s="3" t="e">
        <f ca="1">IF(_xludf.TEXTJOIN("; ",TRUE,P188,R188)="","",_xludf.TEXTJOIN("; ",TRUE,P188,R188))</f>
        <v>#NAME?</v>
      </c>
    </row>
    <row r="189" spans="1:20">
      <c r="A189" t="s">
        <v>387</v>
      </c>
      <c r="B189" t="s">
        <v>388</v>
      </c>
      <c r="C189" s="3">
        <v>45</v>
      </c>
      <c r="D189" s="3" t="s">
        <v>334</v>
      </c>
      <c r="E189" s="3">
        <v>482</v>
      </c>
      <c r="F189" s="3" t="s">
        <v>334</v>
      </c>
      <c r="G189" s="3">
        <f t="shared" si="6"/>
        <v>21690</v>
      </c>
      <c r="H189" s="3" t="e">
        <f ca="1">IF(_xludf.TEXTJOIN("; ",TRUE,D189,F189)="","",_xludf.TEXTJOIN("; ",TRUE,D189,F189))</f>
        <v>#NAME?</v>
      </c>
      <c r="I189" s="3">
        <v>39</v>
      </c>
      <c r="J189" s="3"/>
      <c r="K189" s="3">
        <v>530</v>
      </c>
      <c r="L189" s="3"/>
      <c r="M189" s="3">
        <f t="shared" si="7"/>
        <v>20670</v>
      </c>
      <c r="N189" s="3" t="e">
        <f ca="1">IF(_xludf.TEXTJOIN("; ",TRUE,J189,L189)="","",_xludf.TEXTJOIN("; ",TRUE,J189,L189))</f>
        <v>#NAME?</v>
      </c>
      <c r="O189" s="3">
        <v>40</v>
      </c>
      <c r="P189" s="3"/>
      <c r="Q189" s="3">
        <v>550</v>
      </c>
      <c r="R189" s="3"/>
      <c r="S189" s="3">
        <f t="shared" si="8"/>
        <v>22000</v>
      </c>
      <c r="T189" s="3" t="e">
        <f ca="1">IF(_xludf.TEXTJOIN("; ",TRUE,P189,R189)="","",_xludf.TEXTJOIN("; ",TRUE,P189,R189))</f>
        <v>#NAME?</v>
      </c>
    </row>
    <row r="190" spans="1:20">
      <c r="A190" t="s">
        <v>389</v>
      </c>
      <c r="B190" t="s">
        <v>390</v>
      </c>
      <c r="C190" s="3">
        <v>33</v>
      </c>
      <c r="D190" s="3" t="s">
        <v>334</v>
      </c>
      <c r="E190" s="3">
        <v>68</v>
      </c>
      <c r="F190" s="3" t="s">
        <v>334</v>
      </c>
      <c r="G190" s="3">
        <f t="shared" si="6"/>
        <v>2244</v>
      </c>
      <c r="H190" s="3" t="e">
        <f ca="1">IF(_xludf.TEXTJOIN("; ",TRUE,D190,F190)="","",_xludf.TEXTJOIN("; ",TRUE,D190,F190))</f>
        <v>#NAME?</v>
      </c>
      <c r="I190" s="3">
        <v>32</v>
      </c>
      <c r="J190" s="3"/>
      <c r="K190" s="3">
        <v>71</v>
      </c>
      <c r="L190" s="3"/>
      <c r="M190" s="3">
        <f t="shared" si="7"/>
        <v>2272</v>
      </c>
      <c r="N190" s="3" t="e">
        <f ca="1">IF(_xludf.TEXTJOIN("; ",TRUE,J190,L190)="","",_xludf.TEXTJOIN("; ",TRUE,J190,L190))</f>
        <v>#NAME?</v>
      </c>
      <c r="O190" s="3">
        <v>30</v>
      </c>
      <c r="P190" s="3"/>
      <c r="Q190" s="3">
        <v>76</v>
      </c>
      <c r="R190" s="3"/>
      <c r="S190" s="3">
        <f t="shared" si="8"/>
        <v>2280</v>
      </c>
      <c r="T190" s="3" t="e">
        <f ca="1">IF(_xludf.TEXTJOIN("; ",TRUE,P190,R190)="","",_xludf.TEXTJOIN("; ",TRUE,P190,R190))</f>
        <v>#NAME?</v>
      </c>
    </row>
    <row r="191" spans="1:20">
      <c r="A191" t="s">
        <v>391</v>
      </c>
      <c r="B191" t="s">
        <v>392</v>
      </c>
      <c r="C191" s="3">
        <v>47</v>
      </c>
      <c r="D191" s="3" t="s">
        <v>334</v>
      </c>
      <c r="E191" s="3">
        <v>414</v>
      </c>
      <c r="F191" s="3" t="s">
        <v>334</v>
      </c>
      <c r="G191" s="3">
        <f t="shared" si="6"/>
        <v>19458</v>
      </c>
      <c r="H191" s="3" t="e">
        <f ca="1">IF(_xludf.TEXTJOIN("; ",TRUE,D191,F191)="","",_xludf.TEXTJOIN("; ",TRUE,D191,F191))</f>
        <v>#NAME?</v>
      </c>
      <c r="I191" s="3">
        <v>40</v>
      </c>
      <c r="J191" s="3"/>
      <c r="K191" s="3">
        <v>459</v>
      </c>
      <c r="L191" s="3"/>
      <c r="M191" s="3">
        <f t="shared" si="7"/>
        <v>18360</v>
      </c>
      <c r="N191" s="3" t="e">
        <f ca="1">IF(_xludf.TEXTJOIN("; ",TRUE,J191,L191)="","",_xludf.TEXTJOIN("; ",TRUE,J191,L191))</f>
        <v>#NAME?</v>
      </c>
      <c r="O191" s="3">
        <v>42</v>
      </c>
      <c r="P191" s="3"/>
      <c r="Q191" s="3">
        <v>474</v>
      </c>
      <c r="R191" s="3"/>
      <c r="S191" s="3">
        <f t="shared" si="8"/>
        <v>19908</v>
      </c>
      <c r="T191" s="3" t="e">
        <f ca="1">IF(_xludf.TEXTJOIN("; ",TRUE,P191,R191)="","",_xludf.TEXTJOIN("; ",TRUE,P191,R191))</f>
        <v>#NAME?</v>
      </c>
    </row>
    <row r="192" spans="1:20">
      <c r="A192" t="s">
        <v>393</v>
      </c>
      <c r="B192" t="s">
        <v>394</v>
      </c>
      <c r="C192" s="3">
        <v>9</v>
      </c>
      <c r="D192" s="3" t="s">
        <v>334</v>
      </c>
      <c r="E192" s="3">
        <v>146</v>
      </c>
      <c r="F192" s="3" t="s">
        <v>334</v>
      </c>
      <c r="G192" s="3">
        <f t="shared" si="6"/>
        <v>1314</v>
      </c>
      <c r="H192" s="3" t="e">
        <f ca="1">IF(_xludf.TEXTJOIN("; ",TRUE,D192,F192)="","",_xludf.TEXTJOIN("; ",TRUE,D192,F192))</f>
        <v>#NAME?</v>
      </c>
      <c r="I192" s="3">
        <v>8</v>
      </c>
      <c r="J192" s="3"/>
      <c r="K192" s="3">
        <v>159</v>
      </c>
      <c r="L192" s="3"/>
      <c r="M192" s="3">
        <f t="shared" si="7"/>
        <v>1272</v>
      </c>
      <c r="N192" s="3" t="e">
        <f ca="1">IF(_xludf.TEXTJOIN("; ",TRUE,J192,L192)="","",_xludf.TEXTJOIN("; ",TRUE,J192,L192))</f>
        <v>#NAME?</v>
      </c>
      <c r="O192" s="3">
        <v>7</v>
      </c>
      <c r="P192" s="3"/>
      <c r="Q192" s="3">
        <v>163</v>
      </c>
      <c r="R192" s="3"/>
      <c r="S192" s="3">
        <f t="shared" si="8"/>
        <v>1141</v>
      </c>
      <c r="T192" s="3" t="e">
        <f ca="1">IF(_xludf.TEXTJOIN("; ",TRUE,P192,R192)="","",_xludf.TEXTJOIN("; ",TRUE,P192,R192))</f>
        <v>#NAME?</v>
      </c>
    </row>
    <row r="193" spans="1:20">
      <c r="A193" t="s">
        <v>395</v>
      </c>
      <c r="B193" t="s">
        <v>394</v>
      </c>
      <c r="C193" s="3">
        <v>9</v>
      </c>
      <c r="D193" s="3" t="s">
        <v>334</v>
      </c>
      <c r="E193" s="3">
        <v>146</v>
      </c>
      <c r="F193" s="3" t="s">
        <v>334</v>
      </c>
      <c r="G193" s="3">
        <f t="shared" si="6"/>
        <v>1314</v>
      </c>
      <c r="H193" s="3" t="e">
        <f ca="1">IF(_xludf.TEXTJOIN("; ",TRUE,D193,F193)="","",_xludf.TEXTJOIN("; ",TRUE,D193,F193))</f>
        <v>#NAME?</v>
      </c>
      <c r="I193" s="3">
        <v>8</v>
      </c>
      <c r="J193" s="3"/>
      <c r="K193" s="3">
        <v>159</v>
      </c>
      <c r="L193" s="3"/>
      <c r="M193" s="3">
        <f t="shared" si="7"/>
        <v>1272</v>
      </c>
      <c r="N193" s="3" t="e">
        <f ca="1">IF(_xludf.TEXTJOIN("; ",TRUE,J193,L193)="","",_xludf.TEXTJOIN("; ",TRUE,J193,L193))</f>
        <v>#NAME?</v>
      </c>
      <c r="O193" s="3">
        <v>7</v>
      </c>
      <c r="P193" s="3"/>
      <c r="Q193" s="3">
        <v>163</v>
      </c>
      <c r="R193" s="3"/>
      <c r="S193" s="3">
        <f t="shared" si="8"/>
        <v>1141</v>
      </c>
      <c r="T193" s="3" t="e">
        <f ca="1">IF(_xludf.TEXTJOIN("; ",TRUE,P193,R193)="","",_xludf.TEXTJOIN("; ",TRUE,P193,R193))</f>
        <v>#NAME?</v>
      </c>
    </row>
    <row r="194" spans="1:20">
      <c r="A194" t="s">
        <v>396</v>
      </c>
      <c r="B194" t="s">
        <v>397</v>
      </c>
      <c r="C194" s="3">
        <v>3</v>
      </c>
      <c r="D194" s="3" t="s">
        <v>334</v>
      </c>
      <c r="E194" s="3">
        <v>5</v>
      </c>
      <c r="F194" s="3" t="s">
        <v>334</v>
      </c>
      <c r="G194" s="3">
        <f t="shared" ref="G194:G257" si="9">IF(OR(C194="",C194=":",E194="",E194=":"),"",C194*E194)</f>
        <v>15</v>
      </c>
      <c r="H194" s="3" t="e">
        <f ca="1">IF(_xludf.TEXTJOIN("; ",TRUE,D194,F194)="","",_xludf.TEXTJOIN("; ",TRUE,D194,F194))</f>
        <v>#NAME?</v>
      </c>
      <c r="I194" s="3">
        <v>3</v>
      </c>
      <c r="J194" s="3"/>
      <c r="K194" s="3">
        <v>5</v>
      </c>
      <c r="L194" s="3"/>
      <c r="M194" s="3">
        <f t="shared" ref="M194:M257" si="10">IF(OR(I194="",I194=":",K194="",K194=":"),"",I194*K194)</f>
        <v>15</v>
      </c>
      <c r="N194" s="3" t="e">
        <f ca="1">IF(_xludf.TEXTJOIN("; ",TRUE,J194,L194)="","",_xludf.TEXTJOIN("; ",TRUE,J194,L194))</f>
        <v>#NAME?</v>
      </c>
      <c r="O194" s="3">
        <v>2</v>
      </c>
      <c r="P194" s="3"/>
      <c r="Q194" s="3">
        <v>5</v>
      </c>
      <c r="R194" s="3"/>
      <c r="S194" s="3">
        <f t="shared" ref="S194:S257" si="11">IF(OR(O194="",O194=":",Q194="",Q194=":"),"",O194*Q194)</f>
        <v>10</v>
      </c>
      <c r="T194" s="3" t="e">
        <f ca="1">IF(_xludf.TEXTJOIN("; ",TRUE,P194,R194)="","",_xludf.TEXTJOIN("; ",TRUE,P194,R194))</f>
        <v>#NAME?</v>
      </c>
    </row>
    <row r="195" spans="1:20">
      <c r="A195" t="s">
        <v>398</v>
      </c>
      <c r="B195" t="s">
        <v>397</v>
      </c>
      <c r="C195" s="3">
        <v>3</v>
      </c>
      <c r="D195" s="3" t="s">
        <v>334</v>
      </c>
      <c r="E195" s="3">
        <v>5</v>
      </c>
      <c r="F195" s="3" t="s">
        <v>334</v>
      </c>
      <c r="G195" s="3">
        <f t="shared" si="9"/>
        <v>15</v>
      </c>
      <c r="H195" s="3" t="e">
        <f ca="1">IF(_xludf.TEXTJOIN("; ",TRUE,D195,F195)="","",_xludf.TEXTJOIN("; ",TRUE,D195,F195))</f>
        <v>#NAME?</v>
      </c>
      <c r="I195" s="3">
        <v>3</v>
      </c>
      <c r="J195" s="3"/>
      <c r="K195" s="3">
        <v>5</v>
      </c>
      <c r="L195" s="3"/>
      <c r="M195" s="3">
        <f t="shared" si="10"/>
        <v>15</v>
      </c>
      <c r="N195" s="3" t="e">
        <f ca="1">IF(_xludf.TEXTJOIN("; ",TRUE,J195,L195)="","",_xludf.TEXTJOIN("; ",TRUE,J195,L195))</f>
        <v>#NAME?</v>
      </c>
      <c r="O195" s="3">
        <v>2</v>
      </c>
      <c r="P195" s="3"/>
      <c r="Q195" s="3">
        <v>5</v>
      </c>
      <c r="R195" s="3"/>
      <c r="S195" s="3">
        <f t="shared" si="11"/>
        <v>10</v>
      </c>
      <c r="T195" s="3" t="e">
        <f ca="1">IF(_xludf.TEXTJOIN("; ",TRUE,P195,R195)="","",_xludf.TEXTJOIN("; ",TRUE,P195,R195))</f>
        <v>#NAME?</v>
      </c>
    </row>
    <row r="196" spans="1:20">
      <c r="A196" t="s">
        <v>399</v>
      </c>
      <c r="B196" t="s">
        <v>400</v>
      </c>
      <c r="C196" s="3">
        <v>3</v>
      </c>
      <c r="D196" s="3" t="s">
        <v>334</v>
      </c>
      <c r="E196" s="3">
        <v>47</v>
      </c>
      <c r="F196" s="3" t="s">
        <v>334</v>
      </c>
      <c r="G196" s="3">
        <f t="shared" si="9"/>
        <v>141</v>
      </c>
      <c r="H196" s="3" t="e">
        <f ca="1">IF(_xludf.TEXTJOIN("; ",TRUE,D196,F196)="","",_xludf.TEXTJOIN("; ",TRUE,D196,F196))</f>
        <v>#NAME?</v>
      </c>
      <c r="I196" s="3">
        <v>3</v>
      </c>
      <c r="J196" s="3"/>
      <c r="K196" s="3">
        <v>50</v>
      </c>
      <c r="L196" s="3"/>
      <c r="M196" s="3">
        <f t="shared" si="10"/>
        <v>150</v>
      </c>
      <c r="N196" s="3" t="e">
        <f ca="1">IF(_xludf.TEXTJOIN("; ",TRUE,J196,L196)="","",_xludf.TEXTJOIN("; ",TRUE,J196,L196))</f>
        <v>#NAME?</v>
      </c>
      <c r="O196" s="3">
        <v>3</v>
      </c>
      <c r="P196" s="3"/>
      <c r="Q196" s="3">
        <v>51</v>
      </c>
      <c r="R196" s="3"/>
      <c r="S196" s="3">
        <f t="shared" si="11"/>
        <v>153</v>
      </c>
      <c r="T196" s="3" t="e">
        <f ca="1">IF(_xludf.TEXTJOIN("; ",TRUE,P196,R196)="","",_xludf.TEXTJOIN("; ",TRUE,P196,R196))</f>
        <v>#NAME?</v>
      </c>
    </row>
    <row r="197" spans="1:20">
      <c r="A197" t="s">
        <v>401</v>
      </c>
      <c r="B197" t="s">
        <v>402</v>
      </c>
      <c r="C197" s="3" t="s">
        <v>43</v>
      </c>
      <c r="D197" s="3" t="s">
        <v>403</v>
      </c>
      <c r="E197" s="3" t="s">
        <v>43</v>
      </c>
      <c r="F197" s="3" t="s">
        <v>403</v>
      </c>
      <c r="G197" s="3" t="str">
        <f t="shared" si="9"/>
        <v/>
      </c>
      <c r="H197" s="3" t="e">
        <f ca="1">IF(_xludf.TEXTJOIN("; ",TRUE,D197,F197)="","",_xludf.TEXTJOIN("; ",TRUE,D197,F197))</f>
        <v>#NAME?</v>
      </c>
      <c r="I197" s="3" t="s">
        <v>43</v>
      </c>
      <c r="J197" s="3" t="s">
        <v>44</v>
      </c>
      <c r="K197" s="3">
        <v>8</v>
      </c>
      <c r="L197" s="3"/>
      <c r="M197" s="3" t="str">
        <f t="shared" si="10"/>
        <v/>
      </c>
      <c r="N197" s="3" t="e">
        <f ca="1">IF(_xludf.TEXTJOIN("; ",TRUE,J197,L197)="","",_xludf.TEXTJOIN("; ",TRUE,J197,L197))</f>
        <v>#NAME?</v>
      </c>
      <c r="O197" s="3" t="s">
        <v>43</v>
      </c>
      <c r="P197" s="3" t="s">
        <v>44</v>
      </c>
      <c r="Q197" s="3">
        <v>9</v>
      </c>
      <c r="R197" s="3"/>
      <c r="S197" s="3" t="str">
        <f t="shared" si="11"/>
        <v/>
      </c>
      <c r="T197" s="3" t="e">
        <f ca="1">IF(_xludf.TEXTJOIN("; ",TRUE,P197,R197)="","",_xludf.TEXTJOIN("; ",TRUE,P197,R197))</f>
        <v>#NAME?</v>
      </c>
    </row>
    <row r="198" spans="1:20">
      <c r="A198" t="s">
        <v>404</v>
      </c>
      <c r="B198" t="s">
        <v>405</v>
      </c>
      <c r="C198" s="3">
        <v>0</v>
      </c>
      <c r="D198" s="3" t="s">
        <v>334</v>
      </c>
      <c r="E198" s="3">
        <v>7</v>
      </c>
      <c r="F198" s="3" t="s">
        <v>334</v>
      </c>
      <c r="G198" s="3">
        <f t="shared" si="9"/>
        <v>0</v>
      </c>
      <c r="H198" s="3" t="e">
        <f ca="1">IF(_xludf.TEXTJOIN("; ",TRUE,D198,F198)="","",_xludf.TEXTJOIN("; ",TRUE,D198,F198))</f>
        <v>#NAME?</v>
      </c>
      <c r="I198" s="3" t="s">
        <v>43</v>
      </c>
      <c r="J198" s="3" t="s">
        <v>44</v>
      </c>
      <c r="K198" s="3">
        <v>6</v>
      </c>
      <c r="L198" s="3"/>
      <c r="M198" s="3" t="str">
        <f t="shared" si="10"/>
        <v/>
      </c>
      <c r="N198" s="3" t="e">
        <f ca="1">IF(_xludf.TEXTJOIN("; ",TRUE,J198,L198)="","",_xludf.TEXTJOIN("; ",TRUE,J198,L198))</f>
        <v>#NAME?</v>
      </c>
      <c r="O198" s="3">
        <v>0</v>
      </c>
      <c r="P198" s="3"/>
      <c r="Q198" s="3">
        <v>4</v>
      </c>
      <c r="R198" s="3"/>
      <c r="S198" s="3">
        <f t="shared" si="11"/>
        <v>0</v>
      </c>
      <c r="T198" s="3" t="e">
        <f ca="1">IF(_xludf.TEXTJOIN("; ",TRUE,P198,R198)="","",_xludf.TEXTJOIN("; ",TRUE,P198,R198))</f>
        <v>#NAME?</v>
      </c>
    </row>
    <row r="199" spans="1:20">
      <c r="A199" t="s">
        <v>406</v>
      </c>
      <c r="B199" t="s">
        <v>407</v>
      </c>
      <c r="C199" s="3" t="s">
        <v>43</v>
      </c>
      <c r="D199" s="3" t="s">
        <v>403</v>
      </c>
      <c r="E199" s="3" t="s">
        <v>43</v>
      </c>
      <c r="F199" s="3" t="s">
        <v>403</v>
      </c>
      <c r="G199" s="3" t="str">
        <f t="shared" si="9"/>
        <v/>
      </c>
      <c r="H199" s="3" t="e">
        <f ca="1">IF(_xludf.TEXTJOIN("; ",TRUE,D199,F199)="","",_xludf.TEXTJOIN("; ",TRUE,D199,F199))</f>
        <v>#NAME?</v>
      </c>
      <c r="I199" s="3">
        <v>1</v>
      </c>
      <c r="J199" s="3"/>
      <c r="K199" s="3">
        <v>3</v>
      </c>
      <c r="L199" s="3"/>
      <c r="M199" s="3">
        <f t="shared" si="10"/>
        <v>3</v>
      </c>
      <c r="N199" s="3" t="e">
        <f ca="1">IF(_xludf.TEXTJOIN("; ",TRUE,J199,L199)="","",_xludf.TEXTJOIN("; ",TRUE,J199,L199))</f>
        <v>#NAME?</v>
      </c>
      <c r="O199" s="3" t="s">
        <v>43</v>
      </c>
      <c r="P199" s="3" t="s">
        <v>44</v>
      </c>
      <c r="Q199" s="3">
        <v>4</v>
      </c>
      <c r="R199" s="3"/>
      <c r="S199" s="3" t="str">
        <f t="shared" si="11"/>
        <v/>
      </c>
      <c r="T199" s="3" t="e">
        <f ca="1">IF(_xludf.TEXTJOIN("; ",TRUE,P199,R199)="","",_xludf.TEXTJOIN("; ",TRUE,P199,R199))</f>
        <v>#NAME?</v>
      </c>
    </row>
    <row r="200" spans="1:20">
      <c r="A200" t="s">
        <v>408</v>
      </c>
      <c r="B200" t="s">
        <v>409</v>
      </c>
      <c r="C200" s="3">
        <v>3</v>
      </c>
      <c r="D200" s="3" t="s">
        <v>334</v>
      </c>
      <c r="E200" s="3">
        <v>33</v>
      </c>
      <c r="F200" s="3" t="s">
        <v>334</v>
      </c>
      <c r="G200" s="3">
        <f t="shared" si="9"/>
        <v>99</v>
      </c>
      <c r="H200" s="3" t="e">
        <f ca="1">IF(_xludf.TEXTJOIN("; ",TRUE,D200,F200)="","",_xludf.TEXTJOIN("; ",TRUE,D200,F200))</f>
        <v>#NAME?</v>
      </c>
      <c r="I200" s="3">
        <v>3</v>
      </c>
      <c r="J200" s="3"/>
      <c r="K200" s="3">
        <v>33</v>
      </c>
      <c r="L200" s="3"/>
      <c r="M200" s="3">
        <f t="shared" si="10"/>
        <v>99</v>
      </c>
      <c r="N200" s="3" t="e">
        <f ca="1">IF(_xludf.TEXTJOIN("; ",TRUE,J200,L200)="","",_xludf.TEXTJOIN("; ",TRUE,J200,L200))</f>
        <v>#NAME?</v>
      </c>
      <c r="O200" s="3">
        <v>3</v>
      </c>
      <c r="P200" s="3"/>
      <c r="Q200" s="3">
        <v>34</v>
      </c>
      <c r="R200" s="3"/>
      <c r="S200" s="3">
        <f t="shared" si="11"/>
        <v>102</v>
      </c>
      <c r="T200" s="3" t="e">
        <f ca="1">IF(_xludf.TEXTJOIN("; ",TRUE,P200,R200)="","",_xludf.TEXTJOIN("; ",TRUE,P200,R200))</f>
        <v>#NAME?</v>
      </c>
    </row>
    <row r="201" spans="1:20">
      <c r="A201" t="s">
        <v>410</v>
      </c>
      <c r="B201" t="s">
        <v>411</v>
      </c>
      <c r="C201" s="3" t="s">
        <v>43</v>
      </c>
      <c r="D201" s="3"/>
      <c r="E201" s="3">
        <v>0</v>
      </c>
      <c r="F201" s="3" t="s">
        <v>334</v>
      </c>
      <c r="G201" s="3" t="str">
        <f t="shared" si="9"/>
        <v/>
      </c>
      <c r="H201" s="3" t="e">
        <f ca="1">IF(_xludf.TEXTJOIN("; ",TRUE,D201,F201)="","",_xludf.TEXTJOIN("; ",TRUE,D201,F201))</f>
        <v>#NAME?</v>
      </c>
      <c r="I201" s="3" t="s">
        <v>43</v>
      </c>
      <c r="J201" s="3"/>
      <c r="K201" s="3">
        <v>0</v>
      </c>
      <c r="L201" s="3"/>
      <c r="M201" s="3" t="str">
        <f t="shared" si="10"/>
        <v/>
      </c>
      <c r="N201" s="3" t="e">
        <f ca="1">IF(_xludf.TEXTJOIN("; ",TRUE,J201,L201)="","",_xludf.TEXTJOIN("; ",TRUE,J201,L201))</f>
        <v>#NAME?</v>
      </c>
      <c r="O201" s="3" t="s">
        <v>43</v>
      </c>
      <c r="P201" s="3"/>
      <c r="Q201" s="3">
        <v>0</v>
      </c>
      <c r="R201" s="3"/>
      <c r="S201" s="3" t="str">
        <f t="shared" si="11"/>
        <v/>
      </c>
      <c r="T201" s="3" t="e">
        <f ca="1">IF(_xludf.TEXTJOIN("; ",TRUE,P201,R201)="","",_xludf.TEXTJOIN("; ",TRUE,P201,R201))</f>
        <v>#NAME?</v>
      </c>
    </row>
    <row r="202" spans="1:20">
      <c r="A202" t="s">
        <v>412</v>
      </c>
      <c r="B202" t="s">
        <v>68</v>
      </c>
      <c r="C202" s="3" t="s">
        <v>43</v>
      </c>
      <c r="D202" s="3"/>
      <c r="E202" s="3">
        <v>0</v>
      </c>
      <c r="F202" s="3" t="s">
        <v>334</v>
      </c>
      <c r="G202" s="3" t="str">
        <f t="shared" si="9"/>
        <v/>
      </c>
      <c r="H202" s="3" t="e">
        <f ca="1">IF(_xludf.TEXTJOIN("; ",TRUE,D202,F202)="","",_xludf.TEXTJOIN("; ",TRUE,D202,F202))</f>
        <v>#NAME?</v>
      </c>
      <c r="I202" s="3" t="s">
        <v>43</v>
      </c>
      <c r="J202" s="3"/>
      <c r="K202" s="3">
        <v>0</v>
      </c>
      <c r="L202" s="3"/>
      <c r="M202" s="3" t="str">
        <f t="shared" si="10"/>
        <v/>
      </c>
      <c r="N202" s="3" t="e">
        <f ca="1">IF(_xludf.TEXTJOIN("; ",TRUE,J202,L202)="","",_xludf.TEXTJOIN("; ",TRUE,J202,L202))</f>
        <v>#NAME?</v>
      </c>
      <c r="O202" s="3" t="s">
        <v>43</v>
      </c>
      <c r="P202" s="3"/>
      <c r="Q202" s="3">
        <v>0</v>
      </c>
      <c r="R202" s="3"/>
      <c r="S202" s="3" t="str">
        <f t="shared" si="11"/>
        <v/>
      </c>
      <c r="T202" s="3" t="e">
        <f ca="1">IF(_xludf.TEXTJOIN("; ",TRUE,P202,R202)="","",_xludf.TEXTJOIN("; ",TRUE,P202,R202))</f>
        <v>#NAME?</v>
      </c>
    </row>
    <row r="203" spans="1:20">
      <c r="A203" t="s">
        <v>413</v>
      </c>
      <c r="B203" t="s">
        <v>70</v>
      </c>
      <c r="C203" s="3" t="s">
        <v>43</v>
      </c>
      <c r="D203" s="3"/>
      <c r="E203" s="3">
        <v>0</v>
      </c>
      <c r="F203" s="3" t="s">
        <v>334</v>
      </c>
      <c r="G203" s="3" t="str">
        <f t="shared" si="9"/>
        <v/>
      </c>
      <c r="H203" s="3" t="e">
        <f ca="1">IF(_xludf.TEXTJOIN("; ",TRUE,D203,F203)="","",_xludf.TEXTJOIN("; ",TRUE,D203,F203))</f>
        <v>#NAME?</v>
      </c>
      <c r="I203" s="3" t="s">
        <v>43</v>
      </c>
      <c r="J203" s="3"/>
      <c r="K203" s="3">
        <v>0</v>
      </c>
      <c r="L203" s="3"/>
      <c r="M203" s="3" t="str">
        <f t="shared" si="10"/>
        <v/>
      </c>
      <c r="N203" s="3" t="e">
        <f ca="1">IF(_xludf.TEXTJOIN("; ",TRUE,J203,L203)="","",_xludf.TEXTJOIN("; ",TRUE,J203,L203))</f>
        <v>#NAME?</v>
      </c>
      <c r="O203" s="3" t="s">
        <v>43</v>
      </c>
      <c r="P203" s="3"/>
      <c r="Q203" s="3">
        <v>0</v>
      </c>
      <c r="R203" s="3"/>
      <c r="S203" s="3" t="str">
        <f t="shared" si="11"/>
        <v/>
      </c>
      <c r="T203" s="3" t="e">
        <f ca="1">IF(_xludf.TEXTJOIN("; ",TRUE,P203,R203)="","",_xludf.TEXTJOIN("; ",TRUE,P203,R203))</f>
        <v>#NAME?</v>
      </c>
    </row>
    <row r="204" spans="1:20">
      <c r="A204" t="s">
        <v>414</v>
      </c>
      <c r="B204" t="s">
        <v>415</v>
      </c>
      <c r="C204" s="3">
        <v>15</v>
      </c>
      <c r="D204" s="3"/>
      <c r="E204" s="3">
        <v>155</v>
      </c>
      <c r="F204" s="3"/>
      <c r="G204" s="3">
        <f t="shared" si="9"/>
        <v>2325</v>
      </c>
      <c r="H204" s="3" t="e">
        <f ca="1">IF(_xludf.TEXTJOIN("; ",TRUE,D204,F204)="","",_xludf.TEXTJOIN("; ",TRUE,D204,F204))</f>
        <v>#NAME?</v>
      </c>
      <c r="I204" s="3">
        <v>16</v>
      </c>
      <c r="J204" s="3"/>
      <c r="K204" s="3">
        <v>157</v>
      </c>
      <c r="L204" s="3"/>
      <c r="M204" s="3">
        <f t="shared" si="10"/>
        <v>2512</v>
      </c>
      <c r="N204" s="3" t="e">
        <f ca="1">IF(_xludf.TEXTJOIN("; ",TRUE,J204,L204)="","",_xludf.TEXTJOIN("; ",TRUE,J204,L204))</f>
        <v>#NAME?</v>
      </c>
      <c r="O204" s="3">
        <v>17</v>
      </c>
      <c r="P204" s="3"/>
      <c r="Q204" s="3">
        <v>158</v>
      </c>
      <c r="R204" s="3"/>
      <c r="S204" s="3">
        <f t="shared" si="11"/>
        <v>2686</v>
      </c>
      <c r="T204" s="3" t="e">
        <f ca="1">IF(_xludf.TEXTJOIN("; ",TRUE,P204,R204)="","",_xludf.TEXTJOIN("; ",TRUE,P204,R204))</f>
        <v>#NAME?</v>
      </c>
    </row>
    <row r="205" spans="1:20">
      <c r="A205" t="s">
        <v>416</v>
      </c>
      <c r="B205" t="s">
        <v>417</v>
      </c>
      <c r="C205" s="3">
        <v>15</v>
      </c>
      <c r="D205" s="3"/>
      <c r="E205" s="3">
        <v>155</v>
      </c>
      <c r="F205" s="3"/>
      <c r="G205" s="3">
        <f t="shared" si="9"/>
        <v>2325</v>
      </c>
      <c r="H205" s="3" t="e">
        <f ca="1">IF(_xludf.TEXTJOIN("; ",TRUE,D205,F205)="","",_xludf.TEXTJOIN("; ",TRUE,D205,F205))</f>
        <v>#NAME?</v>
      </c>
      <c r="I205" s="3">
        <v>16</v>
      </c>
      <c r="J205" s="3"/>
      <c r="K205" s="3">
        <v>157</v>
      </c>
      <c r="L205" s="3"/>
      <c r="M205" s="3">
        <f t="shared" si="10"/>
        <v>2512</v>
      </c>
      <c r="N205" s="3" t="e">
        <f ca="1">IF(_xludf.TEXTJOIN("; ",TRUE,J205,L205)="","",_xludf.TEXTJOIN("; ",TRUE,J205,L205))</f>
        <v>#NAME?</v>
      </c>
      <c r="O205" s="3">
        <v>17</v>
      </c>
      <c r="P205" s="3"/>
      <c r="Q205" s="3">
        <v>158</v>
      </c>
      <c r="R205" s="3"/>
      <c r="S205" s="3">
        <f t="shared" si="11"/>
        <v>2686</v>
      </c>
      <c r="T205" s="3" t="e">
        <f ca="1">IF(_xludf.TEXTJOIN("; ",TRUE,P205,R205)="","",_xludf.TEXTJOIN("; ",TRUE,P205,R205))</f>
        <v>#NAME?</v>
      </c>
    </row>
    <row r="206" spans="1:20">
      <c r="A206" t="s">
        <v>418</v>
      </c>
      <c r="B206" t="s">
        <v>419</v>
      </c>
      <c r="C206" s="3">
        <v>19</v>
      </c>
      <c r="D206" s="3"/>
      <c r="E206" s="3">
        <v>33</v>
      </c>
      <c r="F206" s="3"/>
      <c r="G206" s="3">
        <f t="shared" si="9"/>
        <v>627</v>
      </c>
      <c r="H206" s="3" t="e">
        <f ca="1">IF(_xludf.TEXTJOIN("; ",TRUE,D206,F206)="","",_xludf.TEXTJOIN("; ",TRUE,D206,F206))</f>
        <v>#NAME?</v>
      </c>
      <c r="I206" s="3">
        <v>18</v>
      </c>
      <c r="J206" s="3"/>
      <c r="K206" s="3">
        <v>33</v>
      </c>
      <c r="L206" s="3"/>
      <c r="M206" s="3">
        <f t="shared" si="10"/>
        <v>594</v>
      </c>
      <c r="N206" s="3" t="e">
        <f ca="1">IF(_xludf.TEXTJOIN("; ",TRUE,J206,L206)="","",_xludf.TEXTJOIN("; ",TRUE,J206,L206))</f>
        <v>#NAME?</v>
      </c>
      <c r="O206" s="3">
        <v>17</v>
      </c>
      <c r="P206" s="3"/>
      <c r="Q206" s="3">
        <v>36</v>
      </c>
      <c r="R206" s="3"/>
      <c r="S206" s="3">
        <f t="shared" si="11"/>
        <v>612</v>
      </c>
      <c r="T206" s="3" t="e">
        <f ca="1">IF(_xludf.TEXTJOIN("; ",TRUE,P206,R206)="","",_xludf.TEXTJOIN("; ",TRUE,P206,R206))</f>
        <v>#NAME?</v>
      </c>
    </row>
    <row r="207" spans="1:20">
      <c r="A207" t="s">
        <v>420</v>
      </c>
      <c r="B207" t="s">
        <v>421</v>
      </c>
      <c r="C207" s="3">
        <v>15</v>
      </c>
      <c r="D207" s="3"/>
      <c r="E207" s="3">
        <v>40</v>
      </c>
      <c r="F207" s="3"/>
      <c r="G207" s="3">
        <f t="shared" si="9"/>
        <v>600</v>
      </c>
      <c r="H207" s="3" t="e">
        <f ca="1">IF(_xludf.TEXTJOIN("; ",TRUE,D207,F207)="","",_xludf.TEXTJOIN("; ",TRUE,D207,F207))</f>
        <v>#NAME?</v>
      </c>
      <c r="I207" s="3">
        <v>15</v>
      </c>
      <c r="J207" s="3"/>
      <c r="K207" s="3">
        <v>38</v>
      </c>
      <c r="L207" s="3"/>
      <c r="M207" s="3">
        <f t="shared" si="10"/>
        <v>570</v>
      </c>
      <c r="N207" s="3" t="e">
        <f ca="1">IF(_xludf.TEXTJOIN("; ",TRUE,J207,L207)="","",_xludf.TEXTJOIN("; ",TRUE,J207,L207))</f>
        <v>#NAME?</v>
      </c>
      <c r="O207" s="3">
        <v>16</v>
      </c>
      <c r="P207" s="3"/>
      <c r="Q207" s="3">
        <v>39</v>
      </c>
      <c r="R207" s="3"/>
      <c r="S207" s="3">
        <f t="shared" si="11"/>
        <v>624</v>
      </c>
      <c r="T207" s="3" t="e">
        <f ca="1">IF(_xludf.TEXTJOIN("; ",TRUE,P207,R207)="","",_xludf.TEXTJOIN("; ",TRUE,P207,R207))</f>
        <v>#NAME?</v>
      </c>
    </row>
    <row r="208" spans="1:20">
      <c r="A208" t="s">
        <v>422</v>
      </c>
      <c r="B208" t="s">
        <v>423</v>
      </c>
      <c r="C208" s="3">
        <v>10</v>
      </c>
      <c r="D208" s="3"/>
      <c r="E208" s="3">
        <v>35</v>
      </c>
      <c r="F208" s="3"/>
      <c r="G208" s="3">
        <f t="shared" si="9"/>
        <v>350</v>
      </c>
      <c r="H208" s="3" t="e">
        <f ca="1">IF(_xludf.TEXTJOIN("; ",TRUE,D208,F208)="","",_xludf.TEXTJOIN("; ",TRUE,D208,F208))</f>
        <v>#NAME?</v>
      </c>
      <c r="I208" s="3">
        <v>11</v>
      </c>
      <c r="J208" s="3"/>
      <c r="K208" s="3">
        <v>36</v>
      </c>
      <c r="L208" s="3"/>
      <c r="M208" s="3">
        <f t="shared" si="10"/>
        <v>396</v>
      </c>
      <c r="N208" s="3" t="e">
        <f ca="1">IF(_xludf.TEXTJOIN("; ",TRUE,J208,L208)="","",_xludf.TEXTJOIN("; ",TRUE,J208,L208))</f>
        <v>#NAME?</v>
      </c>
      <c r="O208" s="3">
        <v>14</v>
      </c>
      <c r="P208" s="3"/>
      <c r="Q208" s="3">
        <v>34</v>
      </c>
      <c r="R208" s="3"/>
      <c r="S208" s="3">
        <f t="shared" si="11"/>
        <v>476</v>
      </c>
      <c r="T208" s="3" t="e">
        <f ca="1">IF(_xludf.TEXTJOIN("; ",TRUE,P208,R208)="","",_xludf.TEXTJOIN("; ",TRUE,P208,R208))</f>
        <v>#NAME?</v>
      </c>
    </row>
    <row r="209" spans="1:20">
      <c r="A209" t="s">
        <v>424</v>
      </c>
      <c r="B209" t="s">
        <v>425</v>
      </c>
      <c r="C209" s="3">
        <v>16</v>
      </c>
      <c r="D209" s="3"/>
      <c r="E209" s="3">
        <v>47</v>
      </c>
      <c r="F209" s="3"/>
      <c r="G209" s="3">
        <f t="shared" si="9"/>
        <v>752</v>
      </c>
      <c r="H209" s="3" t="e">
        <f ca="1">IF(_xludf.TEXTJOIN("; ",TRUE,D209,F209)="","",_xludf.TEXTJOIN("; ",TRUE,D209,F209))</f>
        <v>#NAME?</v>
      </c>
      <c r="I209" s="3">
        <v>19</v>
      </c>
      <c r="J209" s="3"/>
      <c r="K209" s="3">
        <v>50</v>
      </c>
      <c r="L209" s="3"/>
      <c r="M209" s="3">
        <f t="shared" si="10"/>
        <v>950</v>
      </c>
      <c r="N209" s="3" t="e">
        <f ca="1">IF(_xludf.TEXTJOIN("; ",TRUE,J209,L209)="","",_xludf.TEXTJOIN("; ",TRUE,J209,L209))</f>
        <v>#NAME?</v>
      </c>
      <c r="O209" s="3">
        <v>21</v>
      </c>
      <c r="P209" s="3"/>
      <c r="Q209" s="3">
        <v>49</v>
      </c>
      <c r="R209" s="3"/>
      <c r="S209" s="3">
        <f t="shared" si="11"/>
        <v>1029</v>
      </c>
      <c r="T209" s="3" t="e">
        <f ca="1">IF(_xludf.TEXTJOIN("; ",TRUE,P209,R209)="","",_xludf.TEXTJOIN("; ",TRUE,P209,R209))</f>
        <v>#NAME?</v>
      </c>
    </row>
    <row r="210" spans="1:20">
      <c r="A210" t="s">
        <v>426</v>
      </c>
      <c r="B210" t="s">
        <v>427</v>
      </c>
      <c r="C210" s="3">
        <v>52</v>
      </c>
      <c r="D210" s="3"/>
      <c r="E210" s="3">
        <v>3121</v>
      </c>
      <c r="F210" s="3"/>
      <c r="G210" s="3">
        <f t="shared" si="9"/>
        <v>162292</v>
      </c>
      <c r="H210" s="3" t="e">
        <f ca="1">IF(_xludf.TEXTJOIN("; ",TRUE,D210,F210)="","",_xludf.TEXTJOIN("; ",TRUE,D210,F210))</f>
        <v>#NAME?</v>
      </c>
      <c r="I210" s="3">
        <v>51</v>
      </c>
      <c r="J210" s="3"/>
      <c r="K210" s="3">
        <v>3117</v>
      </c>
      <c r="L210" s="3"/>
      <c r="M210" s="3">
        <f t="shared" si="10"/>
        <v>158967</v>
      </c>
      <c r="N210" s="3" t="e">
        <f ca="1">IF(_xludf.TEXTJOIN("; ",TRUE,J210,L210)="","",_xludf.TEXTJOIN("; ",TRUE,J210,L210))</f>
        <v>#NAME?</v>
      </c>
      <c r="O210" s="3">
        <v>51</v>
      </c>
      <c r="P210" s="3"/>
      <c r="Q210" s="3">
        <v>3134</v>
      </c>
      <c r="R210" s="3"/>
      <c r="S210" s="3">
        <f t="shared" si="11"/>
        <v>159834</v>
      </c>
      <c r="T210" s="3" t="e">
        <f ca="1">IF(_xludf.TEXTJOIN("; ",TRUE,P210,R210)="","",_xludf.TEXTJOIN("; ",TRUE,P210,R210))</f>
        <v>#NAME?</v>
      </c>
    </row>
    <row r="211" spans="1:20">
      <c r="A211" t="s">
        <v>428</v>
      </c>
      <c r="B211" t="s">
        <v>429</v>
      </c>
      <c r="C211" s="3">
        <v>54</v>
      </c>
      <c r="D211" s="3"/>
      <c r="E211" s="3">
        <v>1343</v>
      </c>
      <c r="F211" s="3"/>
      <c r="G211" s="3">
        <f t="shared" si="9"/>
        <v>72522</v>
      </c>
      <c r="H211" s="3" t="e">
        <f ca="1">IF(_xludf.TEXTJOIN("; ",TRUE,D211,F211)="","",_xludf.TEXTJOIN("; ",TRUE,D211,F211))</f>
        <v>#NAME?</v>
      </c>
      <c r="I211" s="3">
        <v>53</v>
      </c>
      <c r="J211" s="3"/>
      <c r="K211" s="3">
        <v>1345</v>
      </c>
      <c r="L211" s="3"/>
      <c r="M211" s="3">
        <f t="shared" si="10"/>
        <v>71285</v>
      </c>
      <c r="N211" s="3" t="e">
        <f ca="1">IF(_xludf.TEXTJOIN("; ",TRUE,J211,L211)="","",_xludf.TEXTJOIN("; ",TRUE,J211,L211))</f>
        <v>#NAME?</v>
      </c>
      <c r="O211" s="3">
        <v>53</v>
      </c>
      <c r="P211" s="3"/>
      <c r="Q211" s="3">
        <v>1340</v>
      </c>
      <c r="R211" s="3"/>
      <c r="S211" s="3">
        <f t="shared" si="11"/>
        <v>71020</v>
      </c>
      <c r="T211" s="3" t="e">
        <f ca="1">IF(_xludf.TEXTJOIN("; ",TRUE,P211,R211)="","",_xludf.TEXTJOIN("; ",TRUE,P211,R211))</f>
        <v>#NAME?</v>
      </c>
    </row>
    <row r="212" spans="1:20">
      <c r="A212" t="s">
        <v>430</v>
      </c>
      <c r="B212" t="s">
        <v>431</v>
      </c>
      <c r="C212" s="3">
        <v>73</v>
      </c>
      <c r="D212" s="3"/>
      <c r="E212" s="3">
        <v>679</v>
      </c>
      <c r="F212" s="3"/>
      <c r="G212" s="3">
        <f t="shared" si="9"/>
        <v>49567</v>
      </c>
      <c r="H212" s="3" t="e">
        <f ca="1">IF(_xludf.TEXTJOIN("; ",TRUE,D212,F212)="","",_xludf.TEXTJOIN("; ",TRUE,D212,F212))</f>
        <v>#NAME?</v>
      </c>
      <c r="I212" s="3">
        <v>67</v>
      </c>
      <c r="J212" s="3"/>
      <c r="K212" s="3">
        <v>674</v>
      </c>
      <c r="L212" s="3"/>
      <c r="M212" s="3">
        <f t="shared" si="10"/>
        <v>45158</v>
      </c>
      <c r="N212" s="3" t="e">
        <f ca="1">IF(_xludf.TEXTJOIN("; ",TRUE,J212,L212)="","",_xludf.TEXTJOIN("; ",TRUE,J212,L212))</f>
        <v>#NAME?</v>
      </c>
      <c r="O212" s="3">
        <v>66</v>
      </c>
      <c r="P212" s="3"/>
      <c r="Q212" s="3">
        <v>677</v>
      </c>
      <c r="R212" s="3"/>
      <c r="S212" s="3">
        <f t="shared" si="11"/>
        <v>44682</v>
      </c>
      <c r="T212" s="3" t="e">
        <f ca="1">IF(_xludf.TEXTJOIN("; ",TRUE,P212,R212)="","",_xludf.TEXTJOIN("; ",TRUE,P212,R212))</f>
        <v>#NAME?</v>
      </c>
    </row>
    <row r="213" spans="1:20">
      <c r="A213" t="s">
        <v>432</v>
      </c>
      <c r="B213" t="s">
        <v>433</v>
      </c>
      <c r="C213" s="3">
        <v>93</v>
      </c>
      <c r="D213" s="3"/>
      <c r="E213" s="3">
        <v>4</v>
      </c>
      <c r="F213" s="3"/>
      <c r="G213" s="3">
        <f t="shared" si="9"/>
        <v>372</v>
      </c>
      <c r="H213" s="3" t="e">
        <f ca="1">IF(_xludf.TEXTJOIN("; ",TRUE,D213,F213)="","",_xludf.TEXTJOIN("; ",TRUE,D213,F213))</f>
        <v>#NAME?</v>
      </c>
      <c r="I213" s="3">
        <v>114</v>
      </c>
      <c r="J213" s="3"/>
      <c r="K213" s="3">
        <v>3</v>
      </c>
      <c r="L213" s="3"/>
      <c r="M213" s="3">
        <f t="shared" si="10"/>
        <v>342</v>
      </c>
      <c r="N213" s="3" t="e">
        <f ca="1">IF(_xludf.TEXTJOIN("; ",TRUE,J213,L213)="","",_xludf.TEXTJOIN("; ",TRUE,J213,L213))</f>
        <v>#NAME?</v>
      </c>
      <c r="O213" s="3">
        <v>113</v>
      </c>
      <c r="P213" s="3"/>
      <c r="Q213" s="3">
        <v>3</v>
      </c>
      <c r="R213" s="3"/>
      <c r="S213" s="3">
        <f t="shared" si="11"/>
        <v>339</v>
      </c>
      <c r="T213" s="3" t="e">
        <f ca="1">IF(_xludf.TEXTJOIN("; ",TRUE,P213,R213)="","",_xludf.TEXTJOIN("; ",TRUE,P213,R213))</f>
        <v>#NAME?</v>
      </c>
    </row>
    <row r="214" spans="1:20">
      <c r="A214" t="s">
        <v>434</v>
      </c>
      <c r="B214" t="s">
        <v>435</v>
      </c>
      <c r="C214" s="3">
        <v>48</v>
      </c>
      <c r="D214" s="3"/>
      <c r="E214" s="3">
        <v>32</v>
      </c>
      <c r="F214" s="3"/>
      <c r="G214" s="3">
        <f t="shared" si="9"/>
        <v>1536</v>
      </c>
      <c r="H214" s="3" t="e">
        <f ca="1">IF(_xludf.TEXTJOIN("; ",TRUE,D214,F214)="","",_xludf.TEXTJOIN("; ",TRUE,D214,F214))</f>
        <v>#NAME?</v>
      </c>
      <c r="I214" s="3">
        <v>45</v>
      </c>
      <c r="J214" s="3"/>
      <c r="K214" s="3">
        <v>33</v>
      </c>
      <c r="L214" s="3"/>
      <c r="M214" s="3">
        <f t="shared" si="10"/>
        <v>1485</v>
      </c>
      <c r="N214" s="3" t="e">
        <f ca="1">IF(_xludf.TEXTJOIN("; ",TRUE,J214,L214)="","",_xludf.TEXTJOIN("; ",TRUE,J214,L214))</f>
        <v>#NAME?</v>
      </c>
      <c r="O214" s="3">
        <v>51</v>
      </c>
      <c r="P214" s="3"/>
      <c r="Q214" s="3">
        <v>27</v>
      </c>
      <c r="R214" s="3"/>
      <c r="S214" s="3">
        <f t="shared" si="11"/>
        <v>1377</v>
      </c>
      <c r="T214" s="3" t="e">
        <f ca="1">IF(_xludf.TEXTJOIN("; ",TRUE,P214,R214)="","",_xludf.TEXTJOIN("; ",TRUE,P214,R214))</f>
        <v>#NAME?</v>
      </c>
    </row>
    <row r="215" spans="1:20">
      <c r="A215" t="s">
        <v>436</v>
      </c>
      <c r="B215" t="s">
        <v>437</v>
      </c>
      <c r="C215" s="3">
        <v>35</v>
      </c>
      <c r="D215" s="3"/>
      <c r="E215" s="3">
        <v>628</v>
      </c>
      <c r="F215" s="3"/>
      <c r="G215" s="3">
        <f t="shared" si="9"/>
        <v>21980</v>
      </c>
      <c r="H215" s="3" t="e">
        <f ca="1">IF(_xludf.TEXTJOIN("; ",TRUE,D215,F215)="","",_xludf.TEXTJOIN("; ",TRUE,D215,F215))</f>
        <v>#NAME?</v>
      </c>
      <c r="I215" s="3">
        <v>38</v>
      </c>
      <c r="J215" s="3"/>
      <c r="K215" s="3">
        <v>635</v>
      </c>
      <c r="L215" s="3"/>
      <c r="M215" s="3">
        <f t="shared" si="10"/>
        <v>24130</v>
      </c>
      <c r="N215" s="3" t="e">
        <f ca="1">IF(_xludf.TEXTJOIN("; ",TRUE,J215,L215)="","",_xludf.TEXTJOIN("; ",TRUE,J215,L215))</f>
        <v>#NAME?</v>
      </c>
      <c r="O215" s="3">
        <v>39</v>
      </c>
      <c r="P215" s="3"/>
      <c r="Q215" s="3">
        <v>633</v>
      </c>
      <c r="R215" s="3"/>
      <c r="S215" s="3">
        <f t="shared" si="11"/>
        <v>24687</v>
      </c>
      <c r="T215" s="3" t="e">
        <f ca="1">IF(_xludf.TEXTJOIN("; ",TRUE,P215,R215)="","",_xludf.TEXTJOIN("; ",TRUE,P215,R215))</f>
        <v>#NAME?</v>
      </c>
    </row>
    <row r="216" spans="1:20">
      <c r="A216" t="s">
        <v>438</v>
      </c>
      <c r="B216" t="s">
        <v>439</v>
      </c>
      <c r="C216" s="3">
        <v>98</v>
      </c>
      <c r="D216" s="3"/>
      <c r="E216" s="3">
        <v>436</v>
      </c>
      <c r="F216" s="3"/>
      <c r="G216" s="3">
        <f t="shared" si="9"/>
        <v>42728</v>
      </c>
      <c r="H216" s="3" t="e">
        <f ca="1">IF(_xludf.TEXTJOIN("; ",TRUE,D216,F216)="","",_xludf.TEXTJOIN("; ",TRUE,D216,F216))</f>
        <v>#NAME?</v>
      </c>
      <c r="I216" s="3">
        <v>97</v>
      </c>
      <c r="J216" s="3"/>
      <c r="K216" s="3">
        <v>428</v>
      </c>
      <c r="L216" s="3"/>
      <c r="M216" s="3">
        <f t="shared" si="10"/>
        <v>41516</v>
      </c>
      <c r="N216" s="3" t="e">
        <f ca="1">IF(_xludf.TEXTJOIN("; ",TRUE,J216,L216)="","",_xludf.TEXTJOIN("; ",TRUE,J216,L216))</f>
        <v>#NAME?</v>
      </c>
      <c r="O216" s="3">
        <v>95</v>
      </c>
      <c r="P216" s="3"/>
      <c r="Q216" s="3">
        <v>428</v>
      </c>
      <c r="R216" s="3"/>
      <c r="S216" s="3">
        <f t="shared" si="11"/>
        <v>40660</v>
      </c>
      <c r="T216" s="3" t="e">
        <f ca="1">IF(_xludf.TEXTJOIN("; ",TRUE,P216,R216)="","",_xludf.TEXTJOIN("; ",TRUE,P216,R216))</f>
        <v>#NAME?</v>
      </c>
    </row>
    <row r="217" spans="1:20">
      <c r="A217" t="s">
        <v>440</v>
      </c>
      <c r="B217" t="s">
        <v>441</v>
      </c>
      <c r="C217" s="3">
        <v>101</v>
      </c>
      <c r="D217" s="3"/>
      <c r="E217" s="3">
        <v>113</v>
      </c>
      <c r="F217" s="3"/>
      <c r="G217" s="3">
        <f t="shared" si="9"/>
        <v>11413</v>
      </c>
      <c r="H217" s="3" t="e">
        <f ca="1">IF(_xludf.TEXTJOIN("; ",TRUE,D217,F217)="","",_xludf.TEXTJOIN("; ",TRUE,D217,F217))</f>
        <v>#NAME?</v>
      </c>
      <c r="I217" s="3">
        <v>107</v>
      </c>
      <c r="J217" s="3"/>
      <c r="K217" s="3">
        <v>107</v>
      </c>
      <c r="L217" s="3"/>
      <c r="M217" s="3">
        <f t="shared" si="10"/>
        <v>11449</v>
      </c>
      <c r="N217" s="3" t="e">
        <f ca="1">IF(_xludf.TEXTJOIN("; ",TRUE,J217,L217)="","",_xludf.TEXTJOIN("; ",TRUE,J217,L217))</f>
        <v>#NAME?</v>
      </c>
      <c r="O217" s="3">
        <v>107</v>
      </c>
      <c r="P217" s="3"/>
      <c r="Q217" s="3">
        <v>108</v>
      </c>
      <c r="R217" s="3"/>
      <c r="S217" s="3">
        <f t="shared" si="11"/>
        <v>11556</v>
      </c>
      <c r="T217" s="3" t="e">
        <f ca="1">IF(_xludf.TEXTJOIN("; ",TRUE,P217,R217)="","",_xludf.TEXTJOIN("; ",TRUE,P217,R217))</f>
        <v>#NAME?</v>
      </c>
    </row>
    <row r="218" spans="1:20">
      <c r="A218" t="s">
        <v>442</v>
      </c>
      <c r="B218" t="s">
        <v>443</v>
      </c>
      <c r="C218" s="3">
        <v>306</v>
      </c>
      <c r="D218" s="3"/>
      <c r="E218" s="3">
        <v>10</v>
      </c>
      <c r="F218" s="3"/>
      <c r="G218" s="3">
        <f t="shared" si="9"/>
        <v>3060</v>
      </c>
      <c r="H218" s="3" t="e">
        <f ca="1">IF(_xludf.TEXTJOIN("; ",TRUE,D218,F218)="","",_xludf.TEXTJOIN("; ",TRUE,D218,F218))</f>
        <v>#NAME?</v>
      </c>
      <c r="I218" s="3">
        <v>261</v>
      </c>
      <c r="J218" s="3"/>
      <c r="K218" s="3">
        <v>11</v>
      </c>
      <c r="L218" s="3"/>
      <c r="M218" s="3">
        <f t="shared" si="10"/>
        <v>2871</v>
      </c>
      <c r="N218" s="3" t="e">
        <f ca="1">IF(_xludf.TEXTJOIN("; ",TRUE,J218,L218)="","",_xludf.TEXTJOIN("; ",TRUE,J218,L218))</f>
        <v>#NAME?</v>
      </c>
      <c r="O218" s="3">
        <v>257</v>
      </c>
      <c r="P218" s="3"/>
      <c r="Q218" s="3">
        <v>11</v>
      </c>
      <c r="R218" s="3"/>
      <c r="S218" s="3">
        <f t="shared" si="11"/>
        <v>2827</v>
      </c>
      <c r="T218" s="3" t="e">
        <f ca="1">IF(_xludf.TEXTJOIN("; ",TRUE,P218,R218)="","",_xludf.TEXTJOIN("; ",TRUE,P218,R218))</f>
        <v>#NAME?</v>
      </c>
    </row>
    <row r="219" spans="1:20">
      <c r="A219" t="s">
        <v>444</v>
      </c>
      <c r="B219" t="s">
        <v>445</v>
      </c>
      <c r="C219" s="3">
        <v>71</v>
      </c>
      <c r="D219" s="3"/>
      <c r="E219" s="3">
        <v>173</v>
      </c>
      <c r="F219" s="3"/>
      <c r="G219" s="3">
        <f t="shared" si="9"/>
        <v>12283</v>
      </c>
      <c r="H219" s="3" t="e">
        <f ca="1">IF(_xludf.TEXTJOIN("; ",TRUE,D219,F219)="","",_xludf.TEXTJOIN("; ",TRUE,D219,F219))</f>
        <v>#NAME?</v>
      </c>
      <c r="I219" s="3">
        <v>72</v>
      </c>
      <c r="J219" s="3"/>
      <c r="K219" s="3">
        <v>167</v>
      </c>
      <c r="L219" s="3"/>
      <c r="M219" s="3">
        <f t="shared" si="10"/>
        <v>12024</v>
      </c>
      <c r="N219" s="3" t="e">
        <f ca="1">IF(_xludf.TEXTJOIN("; ",TRUE,J219,L219)="","",_xludf.TEXTJOIN("; ",TRUE,J219,L219))</f>
        <v>#NAME?</v>
      </c>
      <c r="O219" s="3">
        <v>70</v>
      </c>
      <c r="P219" s="3"/>
      <c r="Q219" s="3">
        <v>165</v>
      </c>
      <c r="R219" s="3"/>
      <c r="S219" s="3">
        <f t="shared" si="11"/>
        <v>11550</v>
      </c>
      <c r="T219" s="3" t="e">
        <f ca="1">IF(_xludf.TEXTJOIN("; ",TRUE,P219,R219)="","",_xludf.TEXTJOIN("; ",TRUE,P219,R219))</f>
        <v>#NAME?</v>
      </c>
    </row>
    <row r="220" spans="1:20">
      <c r="A220" t="s">
        <v>446</v>
      </c>
      <c r="B220" t="s">
        <v>447</v>
      </c>
      <c r="C220" s="3">
        <v>78</v>
      </c>
      <c r="D220" s="3"/>
      <c r="E220" s="3">
        <v>84</v>
      </c>
      <c r="F220" s="3"/>
      <c r="G220" s="3">
        <f t="shared" si="9"/>
        <v>6552</v>
      </c>
      <c r="H220" s="3" t="e">
        <f ca="1">IF(_xludf.TEXTJOIN("; ",TRUE,D220,F220)="","",_xludf.TEXTJOIN("; ",TRUE,D220,F220))</f>
        <v>#NAME?</v>
      </c>
      <c r="I220" s="3">
        <v>75</v>
      </c>
      <c r="J220" s="3"/>
      <c r="K220" s="3">
        <v>86</v>
      </c>
      <c r="L220" s="3"/>
      <c r="M220" s="3">
        <f t="shared" si="10"/>
        <v>6450</v>
      </c>
      <c r="N220" s="3" t="e">
        <f ca="1">IF(_xludf.TEXTJOIN("; ",TRUE,J220,L220)="","",_xludf.TEXTJOIN("; ",TRUE,J220,L220))</f>
        <v>#NAME?</v>
      </c>
      <c r="O220" s="3">
        <v>76</v>
      </c>
      <c r="P220" s="3"/>
      <c r="Q220" s="3">
        <v>85</v>
      </c>
      <c r="R220" s="3"/>
      <c r="S220" s="3">
        <f t="shared" si="11"/>
        <v>6460</v>
      </c>
      <c r="T220" s="3" t="e">
        <f ca="1">IF(_xludf.TEXTJOIN("; ",TRUE,P220,R220)="","",_xludf.TEXTJOIN("; ",TRUE,P220,R220))</f>
        <v>#NAME?</v>
      </c>
    </row>
    <row r="221" spans="1:20">
      <c r="A221" t="s">
        <v>448</v>
      </c>
      <c r="B221" t="s">
        <v>449</v>
      </c>
      <c r="C221" s="3">
        <v>296</v>
      </c>
      <c r="D221" s="3"/>
      <c r="E221" s="3">
        <v>32</v>
      </c>
      <c r="F221" s="3"/>
      <c r="G221" s="3">
        <f t="shared" si="9"/>
        <v>9472</v>
      </c>
      <c r="H221" s="3" t="e">
        <f ca="1">IF(_xludf.TEXTJOIN("; ",TRUE,D221,F221)="","",_xludf.TEXTJOIN("; ",TRUE,D221,F221))</f>
        <v>#NAME?</v>
      </c>
      <c r="I221" s="3">
        <v>276</v>
      </c>
      <c r="J221" s="3"/>
      <c r="K221" s="3">
        <v>31</v>
      </c>
      <c r="L221" s="3"/>
      <c r="M221" s="3">
        <f t="shared" si="10"/>
        <v>8556</v>
      </c>
      <c r="N221" s="3" t="e">
        <f ca="1">IF(_xludf.TEXTJOIN("; ",TRUE,J221,L221)="","",_xludf.TEXTJOIN("; ",TRUE,J221,L221))</f>
        <v>#NAME?</v>
      </c>
      <c r="O221" s="3">
        <v>240</v>
      </c>
      <c r="P221" s="3"/>
      <c r="Q221" s="3">
        <v>33</v>
      </c>
      <c r="R221" s="3"/>
      <c r="S221" s="3">
        <f t="shared" si="11"/>
        <v>7920</v>
      </c>
      <c r="T221" s="3" t="e">
        <f ca="1">IF(_xludf.TEXTJOIN("; ",TRUE,P221,R221)="","",_xludf.TEXTJOIN("; ",TRUE,P221,R221))</f>
        <v>#NAME?</v>
      </c>
    </row>
    <row r="222" spans="1:20">
      <c r="A222" t="s">
        <v>450</v>
      </c>
      <c r="B222" t="s">
        <v>451</v>
      </c>
      <c r="C222" s="3">
        <v>4</v>
      </c>
      <c r="D222" s="3"/>
      <c r="E222" s="3">
        <v>24</v>
      </c>
      <c r="F222" s="3"/>
      <c r="G222" s="3">
        <f t="shared" si="9"/>
        <v>96</v>
      </c>
      <c r="H222" s="3" t="e">
        <f ca="1">IF(_xludf.TEXTJOIN("; ",TRUE,D222,F222)="","",_xludf.TEXTJOIN("; ",TRUE,D222,F222))</f>
        <v>#NAME?</v>
      </c>
      <c r="I222" s="3">
        <v>4</v>
      </c>
      <c r="J222" s="3"/>
      <c r="K222" s="3">
        <v>26</v>
      </c>
      <c r="L222" s="3"/>
      <c r="M222" s="3">
        <f t="shared" si="10"/>
        <v>104</v>
      </c>
      <c r="N222" s="3" t="e">
        <f ca="1">IF(_xludf.TEXTJOIN("; ",TRUE,J222,L222)="","",_xludf.TEXTJOIN("; ",TRUE,J222,L222))</f>
        <v>#NAME?</v>
      </c>
      <c r="O222" s="3">
        <v>4</v>
      </c>
      <c r="P222" s="3"/>
      <c r="Q222" s="3">
        <v>26</v>
      </c>
      <c r="R222" s="3"/>
      <c r="S222" s="3">
        <f t="shared" si="11"/>
        <v>104</v>
      </c>
      <c r="T222" s="3" t="e">
        <f ca="1">IF(_xludf.TEXTJOIN("; ",TRUE,P222,R222)="","",_xludf.TEXTJOIN("; ",TRUE,P222,R222))</f>
        <v>#NAME?</v>
      </c>
    </row>
    <row r="223" spans="1:20">
      <c r="A223" t="s">
        <v>452</v>
      </c>
      <c r="B223" t="s">
        <v>453</v>
      </c>
      <c r="C223" s="3">
        <v>13</v>
      </c>
      <c r="D223" s="3"/>
      <c r="E223" s="3">
        <v>96</v>
      </c>
      <c r="F223" s="3"/>
      <c r="G223" s="3">
        <f t="shared" si="9"/>
        <v>1248</v>
      </c>
      <c r="H223" s="3" t="e">
        <f ca="1">IF(_xludf.TEXTJOIN("; ",TRUE,D223,F223)="","",_xludf.TEXTJOIN("; ",TRUE,D223,F223))</f>
        <v>#NAME?</v>
      </c>
      <c r="I223" s="3">
        <v>13</v>
      </c>
      <c r="J223" s="3"/>
      <c r="K223" s="3">
        <v>95</v>
      </c>
      <c r="L223" s="3"/>
      <c r="M223" s="3">
        <f t="shared" si="10"/>
        <v>1235</v>
      </c>
      <c r="N223" s="3" t="e">
        <f ca="1">IF(_xludf.TEXTJOIN("; ",TRUE,J223,L223)="","",_xludf.TEXTJOIN("; ",TRUE,J223,L223))</f>
        <v>#NAME?</v>
      </c>
      <c r="O223" s="3">
        <v>13</v>
      </c>
      <c r="P223" s="3"/>
      <c r="Q223" s="3">
        <v>100</v>
      </c>
      <c r="R223" s="3"/>
      <c r="S223" s="3">
        <f t="shared" si="11"/>
        <v>1300</v>
      </c>
      <c r="T223" s="3" t="e">
        <f ca="1">IF(_xludf.TEXTJOIN("; ",TRUE,P223,R223)="","",_xludf.TEXTJOIN("; ",TRUE,P223,R223))</f>
        <v>#NAME?</v>
      </c>
    </row>
    <row r="224" spans="1:20">
      <c r="A224" t="s">
        <v>454</v>
      </c>
      <c r="B224" t="s">
        <v>455</v>
      </c>
      <c r="C224" s="3">
        <v>15</v>
      </c>
      <c r="D224" s="3"/>
      <c r="E224" s="3">
        <v>84</v>
      </c>
      <c r="F224" s="3"/>
      <c r="G224" s="3">
        <f t="shared" si="9"/>
        <v>1260</v>
      </c>
      <c r="H224" s="3" t="e">
        <f ca="1">IF(_xludf.TEXTJOIN("; ",TRUE,D224,F224)="","",_xludf.TEXTJOIN("; ",TRUE,D224,F224))</f>
        <v>#NAME?</v>
      </c>
      <c r="I224" s="3">
        <v>14</v>
      </c>
      <c r="J224" s="3"/>
      <c r="K224" s="3">
        <v>83</v>
      </c>
      <c r="L224" s="3"/>
      <c r="M224" s="3">
        <f t="shared" si="10"/>
        <v>1162</v>
      </c>
      <c r="N224" s="3" t="e">
        <f ca="1">IF(_xludf.TEXTJOIN("; ",TRUE,J224,L224)="","",_xludf.TEXTJOIN("; ",TRUE,J224,L224))</f>
        <v>#NAME?</v>
      </c>
      <c r="O224" s="3">
        <v>14</v>
      </c>
      <c r="P224" s="3"/>
      <c r="Q224" s="3">
        <v>87</v>
      </c>
      <c r="R224" s="3"/>
      <c r="S224" s="3">
        <f t="shared" si="11"/>
        <v>1218</v>
      </c>
      <c r="T224" s="3" t="e">
        <f ca="1">IF(_xludf.TEXTJOIN("; ",TRUE,P224,R224)="","",_xludf.TEXTJOIN("; ",TRUE,P224,R224))</f>
        <v>#NAME?</v>
      </c>
    </row>
    <row r="225" spans="1:20">
      <c r="A225" t="s">
        <v>456</v>
      </c>
      <c r="B225" t="s">
        <v>457</v>
      </c>
      <c r="C225" s="3">
        <v>5</v>
      </c>
      <c r="D225" s="3"/>
      <c r="E225" s="3">
        <v>12</v>
      </c>
      <c r="F225" s="3"/>
      <c r="G225" s="3">
        <f t="shared" si="9"/>
        <v>60</v>
      </c>
      <c r="H225" s="3" t="e">
        <f ca="1">IF(_xludf.TEXTJOIN("; ",TRUE,D225,F225)="","",_xludf.TEXTJOIN("; ",TRUE,D225,F225))</f>
        <v>#NAME?</v>
      </c>
      <c r="I225" s="3">
        <v>4</v>
      </c>
      <c r="J225" s="3"/>
      <c r="K225" s="3">
        <v>12</v>
      </c>
      <c r="L225" s="3"/>
      <c r="M225" s="3">
        <f t="shared" si="10"/>
        <v>48</v>
      </c>
      <c r="N225" s="3" t="e">
        <f ca="1">IF(_xludf.TEXTJOIN("; ",TRUE,J225,L225)="","",_xludf.TEXTJOIN("; ",TRUE,J225,L225))</f>
        <v>#NAME?</v>
      </c>
      <c r="O225" s="3">
        <v>5</v>
      </c>
      <c r="P225" s="3"/>
      <c r="Q225" s="3">
        <v>13</v>
      </c>
      <c r="R225" s="3"/>
      <c r="S225" s="3">
        <f t="shared" si="11"/>
        <v>65</v>
      </c>
      <c r="T225" s="3" t="e">
        <f ca="1">IF(_xludf.TEXTJOIN("; ",TRUE,P225,R225)="","",_xludf.TEXTJOIN("; ",TRUE,P225,R225))</f>
        <v>#NAME?</v>
      </c>
    </row>
    <row r="226" spans="1:20">
      <c r="A226" t="s">
        <v>458</v>
      </c>
      <c r="B226" t="s">
        <v>459</v>
      </c>
      <c r="C226" s="3">
        <v>37</v>
      </c>
      <c r="D226" s="3"/>
      <c r="E226" s="3">
        <v>835</v>
      </c>
      <c r="F226" s="3"/>
      <c r="G226" s="3">
        <f t="shared" si="9"/>
        <v>30895</v>
      </c>
      <c r="H226" s="3" t="e">
        <f ca="1">IF(_xludf.TEXTJOIN("; ",TRUE,D226,F226)="","",_xludf.TEXTJOIN("; ",TRUE,D226,F226))</f>
        <v>#NAME?</v>
      </c>
      <c r="I226" s="3">
        <v>37</v>
      </c>
      <c r="J226" s="3"/>
      <c r="K226" s="3">
        <v>840</v>
      </c>
      <c r="L226" s="3"/>
      <c r="M226" s="3">
        <f t="shared" si="10"/>
        <v>31080</v>
      </c>
      <c r="N226" s="3" t="e">
        <f ca="1">IF(_xludf.TEXTJOIN("; ",TRUE,J226,L226)="","",_xludf.TEXTJOIN("; ",TRUE,J226,L226))</f>
        <v>#NAME?</v>
      </c>
      <c r="O226" s="3">
        <v>36</v>
      </c>
      <c r="P226" s="3"/>
      <c r="Q226" s="3">
        <v>858</v>
      </c>
      <c r="R226" s="3"/>
      <c r="S226" s="3">
        <f t="shared" si="11"/>
        <v>30888</v>
      </c>
      <c r="T226" s="3" t="e">
        <f ca="1">IF(_xludf.TEXTJOIN("; ",TRUE,P226,R226)="","",_xludf.TEXTJOIN("; ",TRUE,P226,R226))</f>
        <v>#NAME?</v>
      </c>
    </row>
    <row r="227" spans="1:20">
      <c r="A227" t="s">
        <v>460</v>
      </c>
      <c r="B227" t="s">
        <v>461</v>
      </c>
      <c r="C227" s="3">
        <v>122</v>
      </c>
      <c r="D227" s="3"/>
      <c r="E227" s="3">
        <v>15</v>
      </c>
      <c r="F227" s="3"/>
      <c r="G227" s="3">
        <f t="shared" si="9"/>
        <v>1830</v>
      </c>
      <c r="H227" s="3" t="e">
        <f ca="1">IF(_xludf.TEXTJOIN("; ",TRUE,D227,F227)="","",_xludf.TEXTJOIN("; ",TRUE,D227,F227))</f>
        <v>#NAME?</v>
      </c>
      <c r="I227" s="3">
        <v>100</v>
      </c>
      <c r="J227" s="3"/>
      <c r="K227" s="3">
        <v>20</v>
      </c>
      <c r="L227" s="3"/>
      <c r="M227" s="3">
        <f t="shared" si="10"/>
        <v>2000</v>
      </c>
      <c r="N227" s="3" t="e">
        <f ca="1">IF(_xludf.TEXTJOIN("; ",TRUE,J227,L227)="","",_xludf.TEXTJOIN("; ",TRUE,J227,L227))</f>
        <v>#NAME?</v>
      </c>
      <c r="O227" s="3">
        <v>140</v>
      </c>
      <c r="P227" s="3"/>
      <c r="Q227" s="3">
        <v>18</v>
      </c>
      <c r="R227" s="3"/>
      <c r="S227" s="3">
        <f t="shared" si="11"/>
        <v>2520</v>
      </c>
      <c r="T227" s="3" t="e">
        <f ca="1">IF(_xludf.TEXTJOIN("; ",TRUE,P227,R227)="","",_xludf.TEXTJOIN("; ",TRUE,P227,R227))</f>
        <v>#NAME?</v>
      </c>
    </row>
    <row r="228" spans="1:20">
      <c r="A228" t="s">
        <v>462</v>
      </c>
      <c r="B228" t="s">
        <v>463</v>
      </c>
      <c r="C228" s="3">
        <v>52</v>
      </c>
      <c r="D228" s="3"/>
      <c r="E228" s="3">
        <v>25</v>
      </c>
      <c r="F228" s="3"/>
      <c r="G228" s="3">
        <f t="shared" si="9"/>
        <v>1300</v>
      </c>
      <c r="H228" s="3" t="e">
        <f ca="1">IF(_xludf.TEXTJOIN("; ",TRUE,D228,F228)="","",_xludf.TEXTJOIN("; ",TRUE,D228,F228))</f>
        <v>#NAME?</v>
      </c>
      <c r="I228" s="3">
        <v>51</v>
      </c>
      <c r="J228" s="3"/>
      <c r="K228" s="3">
        <v>26</v>
      </c>
      <c r="L228" s="3"/>
      <c r="M228" s="3">
        <f t="shared" si="10"/>
        <v>1326</v>
      </c>
      <c r="N228" s="3" t="e">
        <f ca="1">IF(_xludf.TEXTJOIN("; ",TRUE,J228,L228)="","",_xludf.TEXTJOIN("; ",TRUE,J228,L228))</f>
        <v>#NAME?</v>
      </c>
      <c r="O228" s="3">
        <v>49</v>
      </c>
      <c r="P228" s="3"/>
      <c r="Q228" s="3">
        <v>31</v>
      </c>
      <c r="R228" s="3"/>
      <c r="S228" s="3">
        <f t="shared" si="11"/>
        <v>1519</v>
      </c>
      <c r="T228" s="3" t="e">
        <f ca="1">IF(_xludf.TEXTJOIN("; ",TRUE,P228,R228)="","",_xludf.TEXTJOIN("; ",TRUE,P228,R228))</f>
        <v>#NAME?</v>
      </c>
    </row>
    <row r="229" spans="1:20">
      <c r="A229" t="s">
        <v>464</v>
      </c>
      <c r="B229" t="s">
        <v>465</v>
      </c>
      <c r="C229" s="3">
        <v>21</v>
      </c>
      <c r="D229" s="3"/>
      <c r="E229" s="3">
        <v>358</v>
      </c>
      <c r="F229" s="3"/>
      <c r="G229" s="3">
        <f t="shared" si="9"/>
        <v>7518</v>
      </c>
      <c r="H229" s="3" t="e">
        <f ca="1">IF(_xludf.TEXTJOIN("; ",TRUE,D229,F229)="","",_xludf.TEXTJOIN("; ",TRUE,D229,F229))</f>
        <v>#NAME?</v>
      </c>
      <c r="I229" s="3">
        <v>21</v>
      </c>
      <c r="J229" s="3"/>
      <c r="K229" s="3">
        <v>359</v>
      </c>
      <c r="L229" s="3"/>
      <c r="M229" s="3">
        <f t="shared" si="10"/>
        <v>7539</v>
      </c>
      <c r="N229" s="3" t="e">
        <f ca="1">IF(_xludf.TEXTJOIN("; ",TRUE,J229,L229)="","",_xludf.TEXTJOIN("; ",TRUE,J229,L229))</f>
        <v>#NAME?</v>
      </c>
      <c r="O229" s="3">
        <v>21</v>
      </c>
      <c r="P229" s="3"/>
      <c r="Q229" s="3">
        <v>360</v>
      </c>
      <c r="R229" s="3"/>
      <c r="S229" s="3">
        <f t="shared" si="11"/>
        <v>7560</v>
      </c>
      <c r="T229" s="3" t="e">
        <f ca="1">IF(_xludf.TEXTJOIN("; ",TRUE,P229,R229)="","",_xludf.TEXTJOIN("; ",TRUE,P229,R229))</f>
        <v>#NAME?</v>
      </c>
    </row>
    <row r="230" spans="1:20">
      <c r="A230" t="s">
        <v>466</v>
      </c>
      <c r="B230" t="s">
        <v>467</v>
      </c>
      <c r="C230" s="3">
        <v>59</v>
      </c>
      <c r="D230" s="3"/>
      <c r="E230" s="3">
        <v>26</v>
      </c>
      <c r="F230" s="3"/>
      <c r="G230" s="3">
        <f t="shared" si="9"/>
        <v>1534</v>
      </c>
      <c r="H230" s="3" t="e">
        <f ca="1">IF(_xludf.TEXTJOIN("; ",TRUE,D230,F230)="","",_xludf.TEXTJOIN("; ",TRUE,D230,F230))</f>
        <v>#NAME?</v>
      </c>
      <c r="I230" s="3">
        <v>56</v>
      </c>
      <c r="J230" s="3"/>
      <c r="K230" s="3">
        <v>27</v>
      </c>
      <c r="L230" s="3"/>
      <c r="M230" s="3">
        <f t="shared" si="10"/>
        <v>1512</v>
      </c>
      <c r="N230" s="3" t="e">
        <f ca="1">IF(_xludf.TEXTJOIN("; ",TRUE,J230,L230)="","",_xludf.TEXTJOIN("; ",TRUE,J230,L230))</f>
        <v>#NAME?</v>
      </c>
      <c r="O230" s="3">
        <v>54</v>
      </c>
      <c r="P230" s="3"/>
      <c r="Q230" s="3">
        <v>28</v>
      </c>
      <c r="R230" s="3"/>
      <c r="S230" s="3">
        <f t="shared" si="11"/>
        <v>1512</v>
      </c>
      <c r="T230" s="3" t="e">
        <f ca="1">IF(_xludf.TEXTJOIN("; ",TRUE,P230,R230)="","",_xludf.TEXTJOIN("; ",TRUE,P230,R230))</f>
        <v>#NAME?</v>
      </c>
    </row>
    <row r="231" spans="1:20">
      <c r="A231" t="s">
        <v>468</v>
      </c>
      <c r="B231" t="s">
        <v>469</v>
      </c>
      <c r="C231" s="3">
        <v>45</v>
      </c>
      <c r="D231" s="3"/>
      <c r="E231" s="3">
        <v>411</v>
      </c>
      <c r="F231" s="3"/>
      <c r="G231" s="3">
        <f t="shared" si="9"/>
        <v>18495</v>
      </c>
      <c r="H231" s="3" t="e">
        <f ca="1">IF(_xludf.TEXTJOIN("; ",TRUE,D231,F231)="","",_xludf.TEXTJOIN("; ",TRUE,D231,F231))</f>
        <v>#NAME?</v>
      </c>
      <c r="I231" s="3">
        <v>45</v>
      </c>
      <c r="J231" s="3"/>
      <c r="K231" s="3">
        <v>408</v>
      </c>
      <c r="L231" s="3"/>
      <c r="M231" s="3">
        <f t="shared" si="10"/>
        <v>18360</v>
      </c>
      <c r="N231" s="3" t="e">
        <f ca="1">IF(_xludf.TEXTJOIN("; ",TRUE,J231,L231)="","",_xludf.TEXTJOIN("; ",TRUE,J231,L231))</f>
        <v>#NAME?</v>
      </c>
      <c r="O231" s="3">
        <v>43</v>
      </c>
      <c r="P231" s="3"/>
      <c r="Q231" s="3">
        <v>421</v>
      </c>
      <c r="R231" s="3"/>
      <c r="S231" s="3">
        <f t="shared" si="11"/>
        <v>18103</v>
      </c>
      <c r="T231" s="3" t="e">
        <f ca="1">IF(_xludf.TEXTJOIN("; ",TRUE,P231,R231)="","",_xludf.TEXTJOIN("; ",TRUE,P231,R231))</f>
        <v>#NAME?</v>
      </c>
    </row>
    <row r="232" spans="1:20">
      <c r="A232" t="s">
        <v>470</v>
      </c>
      <c r="B232" t="s">
        <v>471</v>
      </c>
      <c r="C232" s="3">
        <v>36</v>
      </c>
      <c r="D232" s="3"/>
      <c r="E232" s="3">
        <v>411</v>
      </c>
      <c r="F232" s="3"/>
      <c r="G232" s="3">
        <f t="shared" si="9"/>
        <v>14796</v>
      </c>
      <c r="H232" s="3" t="e">
        <f ca="1">IF(_xludf.TEXTJOIN("; ",TRUE,D232,F232)="","",_xludf.TEXTJOIN("; ",TRUE,D232,F232))</f>
        <v>#NAME?</v>
      </c>
      <c r="I232" s="3">
        <v>36</v>
      </c>
      <c r="J232" s="3"/>
      <c r="K232" s="3">
        <v>409</v>
      </c>
      <c r="L232" s="3"/>
      <c r="M232" s="3">
        <f t="shared" si="10"/>
        <v>14724</v>
      </c>
      <c r="N232" s="3" t="e">
        <f ca="1">IF(_xludf.TEXTJOIN("; ",TRUE,J232,L232)="","",_xludf.TEXTJOIN("; ",TRUE,J232,L232))</f>
        <v>#NAME?</v>
      </c>
      <c r="O232" s="3">
        <v>36</v>
      </c>
      <c r="P232" s="3"/>
      <c r="Q232" s="3">
        <v>408</v>
      </c>
      <c r="R232" s="3"/>
      <c r="S232" s="3">
        <f t="shared" si="11"/>
        <v>14688</v>
      </c>
      <c r="T232" s="3" t="e">
        <f ca="1">IF(_xludf.TEXTJOIN("; ",TRUE,P232,R232)="","",_xludf.TEXTJOIN("; ",TRUE,P232,R232))</f>
        <v>#NAME?</v>
      </c>
    </row>
    <row r="233" spans="1:20">
      <c r="A233" t="s">
        <v>472</v>
      </c>
      <c r="B233" t="s">
        <v>473</v>
      </c>
      <c r="C233" s="3">
        <v>39</v>
      </c>
      <c r="D233" s="3"/>
      <c r="E233" s="3">
        <v>147</v>
      </c>
      <c r="F233" s="3"/>
      <c r="G233" s="3">
        <f t="shared" si="9"/>
        <v>5733</v>
      </c>
      <c r="H233" s="3" t="e">
        <f ca="1">IF(_xludf.TEXTJOIN("; ",TRUE,D233,F233)="","",_xludf.TEXTJOIN("; ",TRUE,D233,F233))</f>
        <v>#NAME?</v>
      </c>
      <c r="I233" s="3">
        <v>38</v>
      </c>
      <c r="J233" s="3"/>
      <c r="K233" s="3">
        <v>149</v>
      </c>
      <c r="L233" s="3"/>
      <c r="M233" s="3">
        <f t="shared" si="10"/>
        <v>5662</v>
      </c>
      <c r="N233" s="3" t="e">
        <f ca="1">IF(_xludf.TEXTJOIN("; ",TRUE,J233,L233)="","",_xludf.TEXTJOIN("; ",TRUE,J233,L233))</f>
        <v>#NAME?</v>
      </c>
      <c r="O233" s="3">
        <v>37</v>
      </c>
      <c r="P233" s="3"/>
      <c r="Q233" s="3">
        <v>146</v>
      </c>
      <c r="R233" s="3"/>
      <c r="S233" s="3">
        <f t="shared" si="11"/>
        <v>5402</v>
      </c>
      <c r="T233" s="3" t="e">
        <f ca="1">IF(_xludf.TEXTJOIN("; ",TRUE,P233,R233)="","",_xludf.TEXTJOIN("; ",TRUE,P233,R233))</f>
        <v>#NAME?</v>
      </c>
    </row>
    <row r="234" spans="1:20">
      <c r="A234" t="s">
        <v>474</v>
      </c>
      <c r="B234" t="s">
        <v>475</v>
      </c>
      <c r="C234" s="3">
        <v>31</v>
      </c>
      <c r="D234" s="3"/>
      <c r="E234" s="3">
        <v>42</v>
      </c>
      <c r="F234" s="3"/>
      <c r="G234" s="3">
        <f t="shared" si="9"/>
        <v>1302</v>
      </c>
      <c r="H234" s="3" t="e">
        <f ca="1">IF(_xludf.TEXTJOIN("; ",TRUE,D234,F234)="","",_xludf.TEXTJOIN("; ",TRUE,D234,F234))</f>
        <v>#NAME?</v>
      </c>
      <c r="I234" s="3">
        <v>32</v>
      </c>
      <c r="J234" s="3"/>
      <c r="K234" s="3">
        <v>43</v>
      </c>
      <c r="L234" s="3"/>
      <c r="M234" s="3">
        <f t="shared" si="10"/>
        <v>1376</v>
      </c>
      <c r="N234" s="3" t="e">
        <f ca="1">IF(_xludf.TEXTJOIN("; ",TRUE,J234,L234)="","",_xludf.TEXTJOIN("; ",TRUE,J234,L234))</f>
        <v>#NAME?</v>
      </c>
      <c r="O234" s="3">
        <v>35</v>
      </c>
      <c r="P234" s="3"/>
      <c r="Q234" s="3">
        <v>39</v>
      </c>
      <c r="R234" s="3"/>
      <c r="S234" s="3">
        <f t="shared" si="11"/>
        <v>1365</v>
      </c>
      <c r="T234" s="3" t="e">
        <f ca="1">IF(_xludf.TEXTJOIN("; ",TRUE,P234,R234)="","",_xludf.TEXTJOIN("; ",TRUE,P234,R234))</f>
        <v>#NAME?</v>
      </c>
    </row>
    <row r="235" spans="1:20">
      <c r="A235" t="s">
        <v>476</v>
      </c>
      <c r="B235" t="s">
        <v>477</v>
      </c>
      <c r="C235" s="3">
        <v>25</v>
      </c>
      <c r="D235" s="3"/>
      <c r="E235" s="3">
        <v>69</v>
      </c>
      <c r="F235" s="3"/>
      <c r="G235" s="3">
        <f t="shared" si="9"/>
        <v>1725</v>
      </c>
      <c r="H235" s="3" t="e">
        <f ca="1">IF(_xludf.TEXTJOIN("; ",TRUE,D235,F235)="","",_xludf.TEXTJOIN("; ",TRUE,D235,F235))</f>
        <v>#NAME?</v>
      </c>
      <c r="I235" s="3">
        <v>24</v>
      </c>
      <c r="J235" s="3"/>
      <c r="K235" s="3">
        <v>74</v>
      </c>
      <c r="L235" s="3"/>
      <c r="M235" s="3">
        <f t="shared" si="10"/>
        <v>1776</v>
      </c>
      <c r="N235" s="3" t="e">
        <f ca="1">IF(_xludf.TEXTJOIN("; ",TRUE,J235,L235)="","",_xludf.TEXTJOIN("; ",TRUE,J235,L235))</f>
        <v>#NAME?</v>
      </c>
      <c r="O235" s="3">
        <v>23</v>
      </c>
      <c r="P235" s="3"/>
      <c r="Q235" s="3">
        <v>83</v>
      </c>
      <c r="R235" s="3"/>
      <c r="S235" s="3">
        <f t="shared" si="11"/>
        <v>1909</v>
      </c>
      <c r="T235" s="3" t="e">
        <f ca="1">IF(_xludf.TEXTJOIN("; ",TRUE,P235,R235)="","",_xludf.TEXTJOIN("; ",TRUE,P235,R235))</f>
        <v>#NAME?</v>
      </c>
    </row>
    <row r="236" spans="1:20">
      <c r="A236" t="s">
        <v>478</v>
      </c>
      <c r="B236" t="s">
        <v>479</v>
      </c>
      <c r="C236" s="3">
        <v>40</v>
      </c>
      <c r="D236" s="3"/>
      <c r="E236" s="3">
        <v>153</v>
      </c>
      <c r="F236" s="3"/>
      <c r="G236" s="3">
        <f t="shared" si="9"/>
        <v>6120</v>
      </c>
      <c r="H236" s="3" t="e">
        <f ca="1">IF(_xludf.TEXTJOIN("; ",TRUE,D236,F236)="","",_xludf.TEXTJOIN("; ",TRUE,D236,F236))</f>
        <v>#NAME?</v>
      </c>
      <c r="I236" s="3">
        <v>41</v>
      </c>
      <c r="J236" s="3"/>
      <c r="K236" s="3">
        <v>143</v>
      </c>
      <c r="L236" s="3"/>
      <c r="M236" s="3">
        <f t="shared" si="10"/>
        <v>5863</v>
      </c>
      <c r="N236" s="3" t="e">
        <f ca="1">IF(_xludf.TEXTJOIN("; ",TRUE,J236,L236)="","",_xludf.TEXTJOIN("; ",TRUE,J236,L236))</f>
        <v>#NAME?</v>
      </c>
      <c r="O236" s="3">
        <v>42</v>
      </c>
      <c r="P236" s="3"/>
      <c r="Q236" s="3">
        <v>140</v>
      </c>
      <c r="R236" s="3"/>
      <c r="S236" s="3">
        <f t="shared" si="11"/>
        <v>5880</v>
      </c>
      <c r="T236" s="3" t="e">
        <f ca="1">IF(_xludf.TEXTJOIN("; ",TRUE,P236,R236)="","",_xludf.TEXTJOIN("; ",TRUE,P236,R236))</f>
        <v>#NAME?</v>
      </c>
    </row>
    <row r="237" spans="1:20">
      <c r="A237" t="s">
        <v>480</v>
      </c>
      <c r="B237" t="s">
        <v>481</v>
      </c>
      <c r="C237" s="3">
        <v>3</v>
      </c>
      <c r="D237" s="3"/>
      <c r="E237" s="3">
        <v>63</v>
      </c>
      <c r="F237" s="3"/>
      <c r="G237" s="3">
        <f t="shared" si="9"/>
        <v>189</v>
      </c>
      <c r="H237" s="3" t="e">
        <f ca="1">IF(_xludf.TEXTJOIN("; ",TRUE,D237,F237)="","",_xludf.TEXTJOIN("; ",TRUE,D237,F237))</f>
        <v>#NAME?</v>
      </c>
      <c r="I237" s="3">
        <v>3</v>
      </c>
      <c r="J237" s="3"/>
      <c r="K237" s="3">
        <v>61</v>
      </c>
      <c r="L237" s="3"/>
      <c r="M237" s="3">
        <f t="shared" si="10"/>
        <v>183</v>
      </c>
      <c r="N237" s="3" t="e">
        <f ca="1">IF(_xludf.TEXTJOIN("; ",TRUE,J237,L237)="","",_xludf.TEXTJOIN("; ",TRUE,J237,L237))</f>
        <v>#NAME?</v>
      </c>
      <c r="O237" s="3">
        <v>3</v>
      </c>
      <c r="P237" s="3"/>
      <c r="Q237" s="3">
        <v>61</v>
      </c>
      <c r="R237" s="3"/>
      <c r="S237" s="3">
        <f t="shared" si="11"/>
        <v>183</v>
      </c>
      <c r="T237" s="3" t="e">
        <f ca="1">IF(_xludf.TEXTJOIN("; ",TRUE,P237,R237)="","",_xludf.TEXTJOIN("; ",TRUE,P237,R237))</f>
        <v>#NAME?</v>
      </c>
    </row>
    <row r="238" spans="1:20">
      <c r="A238" t="s">
        <v>482</v>
      </c>
      <c r="B238" t="s">
        <v>483</v>
      </c>
      <c r="C238" s="3">
        <v>3</v>
      </c>
      <c r="D238" s="3"/>
      <c r="E238" s="3">
        <v>63</v>
      </c>
      <c r="F238" s="3"/>
      <c r="G238" s="3">
        <f t="shared" si="9"/>
        <v>189</v>
      </c>
      <c r="H238" s="3" t="e">
        <f ca="1">IF(_xludf.TEXTJOIN("; ",TRUE,D238,F238)="","",_xludf.TEXTJOIN("; ",TRUE,D238,F238))</f>
        <v>#NAME?</v>
      </c>
      <c r="I238" s="3">
        <v>3</v>
      </c>
      <c r="J238" s="3"/>
      <c r="K238" s="3">
        <v>61</v>
      </c>
      <c r="L238" s="3"/>
      <c r="M238" s="3">
        <f t="shared" si="10"/>
        <v>183</v>
      </c>
      <c r="N238" s="3" t="e">
        <f ca="1">IF(_xludf.TEXTJOIN("; ",TRUE,J238,L238)="","",_xludf.TEXTJOIN("; ",TRUE,J238,L238))</f>
        <v>#NAME?</v>
      </c>
      <c r="O238" s="3">
        <v>3</v>
      </c>
      <c r="P238" s="3"/>
      <c r="Q238" s="3">
        <v>61</v>
      </c>
      <c r="R238" s="3"/>
      <c r="S238" s="3">
        <f t="shared" si="11"/>
        <v>183</v>
      </c>
      <c r="T238" s="3" t="e">
        <f ca="1">IF(_xludf.TEXTJOIN("; ",TRUE,P238,R238)="","",_xludf.TEXTJOIN("; ",TRUE,P238,R238))</f>
        <v>#NAME?</v>
      </c>
    </row>
    <row r="239" spans="1:20">
      <c r="A239" t="s">
        <v>484</v>
      </c>
      <c r="B239" t="s">
        <v>483</v>
      </c>
      <c r="C239" s="3">
        <v>3</v>
      </c>
      <c r="D239" s="3"/>
      <c r="E239" s="3">
        <v>63</v>
      </c>
      <c r="F239" s="3"/>
      <c r="G239" s="3">
        <f t="shared" si="9"/>
        <v>189</v>
      </c>
      <c r="H239" s="3" t="e">
        <f ca="1">IF(_xludf.TEXTJOIN("; ",TRUE,D239,F239)="","",_xludf.TEXTJOIN("; ",TRUE,D239,F239))</f>
        <v>#NAME?</v>
      </c>
      <c r="I239" s="3">
        <v>3</v>
      </c>
      <c r="J239" s="3"/>
      <c r="K239" s="3">
        <v>61</v>
      </c>
      <c r="L239" s="3"/>
      <c r="M239" s="3">
        <f t="shared" si="10"/>
        <v>183</v>
      </c>
      <c r="N239" s="3" t="e">
        <f ca="1">IF(_xludf.TEXTJOIN("; ",TRUE,J239,L239)="","",_xludf.TEXTJOIN("; ",TRUE,J239,L239))</f>
        <v>#NAME?</v>
      </c>
      <c r="O239" s="3">
        <v>3</v>
      </c>
      <c r="P239" s="3"/>
      <c r="Q239" s="3">
        <v>61</v>
      </c>
      <c r="R239" s="3"/>
      <c r="S239" s="3">
        <f t="shared" si="11"/>
        <v>183</v>
      </c>
      <c r="T239" s="3" t="e">
        <f ca="1">IF(_xludf.TEXTJOIN("; ",TRUE,P239,R239)="","",_xludf.TEXTJOIN("; ",TRUE,P239,R239))</f>
        <v>#NAME?</v>
      </c>
    </row>
    <row r="240" spans="1:20">
      <c r="A240" t="s">
        <v>485</v>
      </c>
      <c r="B240" t="s">
        <v>486</v>
      </c>
      <c r="C240" s="3">
        <v>29</v>
      </c>
      <c r="D240" s="3"/>
      <c r="E240" s="3">
        <v>79</v>
      </c>
      <c r="F240" s="3"/>
      <c r="G240" s="3">
        <f t="shared" si="9"/>
        <v>2291</v>
      </c>
      <c r="H240" s="3" t="e">
        <f ca="1">IF(_xludf.TEXTJOIN("; ",TRUE,D240,F240)="","",_xludf.TEXTJOIN("; ",TRUE,D240,F240))</f>
        <v>#NAME?</v>
      </c>
      <c r="I240" s="3">
        <v>32</v>
      </c>
      <c r="J240" s="3"/>
      <c r="K240" s="3">
        <v>76</v>
      </c>
      <c r="L240" s="3"/>
      <c r="M240" s="3">
        <f t="shared" si="10"/>
        <v>2432</v>
      </c>
      <c r="N240" s="3" t="e">
        <f ca="1">IF(_xludf.TEXTJOIN("; ",TRUE,J240,L240)="","",_xludf.TEXTJOIN("; ",TRUE,J240,L240))</f>
        <v>#NAME?</v>
      </c>
      <c r="O240" s="3">
        <v>32</v>
      </c>
      <c r="P240" s="3"/>
      <c r="Q240" s="3">
        <v>74</v>
      </c>
      <c r="R240" s="3"/>
      <c r="S240" s="3">
        <f t="shared" si="11"/>
        <v>2368</v>
      </c>
      <c r="T240" s="3" t="e">
        <f ca="1">IF(_xludf.TEXTJOIN("; ",TRUE,P240,R240)="","",_xludf.TEXTJOIN("; ",TRUE,P240,R240))</f>
        <v>#NAME?</v>
      </c>
    </row>
    <row r="241" spans="1:20">
      <c r="A241" t="s">
        <v>487</v>
      </c>
      <c r="B241" t="s">
        <v>488</v>
      </c>
      <c r="C241" s="3">
        <v>29</v>
      </c>
      <c r="D241" s="3"/>
      <c r="E241" s="3">
        <v>79</v>
      </c>
      <c r="F241" s="3"/>
      <c r="G241" s="3">
        <f t="shared" si="9"/>
        <v>2291</v>
      </c>
      <c r="H241" s="3" t="e">
        <f ca="1">IF(_xludf.TEXTJOIN("; ",TRUE,D241,F241)="","",_xludf.TEXTJOIN("; ",TRUE,D241,F241))</f>
        <v>#NAME?</v>
      </c>
      <c r="I241" s="3">
        <v>32</v>
      </c>
      <c r="J241" s="3"/>
      <c r="K241" s="3">
        <v>76</v>
      </c>
      <c r="L241" s="3"/>
      <c r="M241" s="3">
        <f t="shared" si="10"/>
        <v>2432</v>
      </c>
      <c r="N241" s="3" t="e">
        <f ca="1">IF(_xludf.TEXTJOIN("; ",TRUE,J241,L241)="","",_xludf.TEXTJOIN("; ",TRUE,J241,L241))</f>
        <v>#NAME?</v>
      </c>
      <c r="O241" s="3" t="s">
        <v>43</v>
      </c>
      <c r="P241" s="3"/>
      <c r="Q241" s="3" t="s">
        <v>43</v>
      </c>
      <c r="R241" s="3"/>
      <c r="S241" s="3" t="str">
        <f t="shared" si="11"/>
        <v/>
      </c>
      <c r="T241" s="3" t="e">
        <f ca="1">IF(_xludf.TEXTJOIN("; ",TRUE,P241,R241)="","",_xludf.TEXTJOIN("; ",TRUE,P241,R241))</f>
        <v>#NAME?</v>
      </c>
    </row>
    <row r="242" spans="1:20">
      <c r="A242" t="s">
        <v>489</v>
      </c>
      <c r="B242" t="s">
        <v>488</v>
      </c>
      <c r="C242" s="3">
        <v>29</v>
      </c>
      <c r="D242" s="3"/>
      <c r="E242" s="3">
        <v>79</v>
      </c>
      <c r="F242" s="3"/>
      <c r="G242" s="3">
        <f t="shared" si="9"/>
        <v>2291</v>
      </c>
      <c r="H242" s="3" t="e">
        <f ca="1">IF(_xludf.TEXTJOIN("; ",TRUE,D242,F242)="","",_xludf.TEXTJOIN("; ",TRUE,D242,F242))</f>
        <v>#NAME?</v>
      </c>
      <c r="I242" s="3">
        <v>32</v>
      </c>
      <c r="J242" s="3"/>
      <c r="K242" s="3">
        <v>76</v>
      </c>
      <c r="L242" s="3"/>
      <c r="M242" s="3">
        <f t="shared" si="10"/>
        <v>2432</v>
      </c>
      <c r="N242" s="3" t="e">
        <f ca="1">IF(_xludf.TEXTJOIN("; ",TRUE,J242,L242)="","",_xludf.TEXTJOIN("; ",TRUE,J242,L242))</f>
        <v>#NAME?</v>
      </c>
      <c r="O242" s="3" t="s">
        <v>43</v>
      </c>
      <c r="P242" s="3"/>
      <c r="Q242" s="3" t="s">
        <v>43</v>
      </c>
      <c r="R242" s="3"/>
      <c r="S242" s="3" t="str">
        <f t="shared" si="11"/>
        <v/>
      </c>
      <c r="T242" s="3" t="e">
        <f ca="1">IF(_xludf.TEXTJOIN("; ",TRUE,P242,R242)="","",_xludf.TEXTJOIN("; ",TRUE,P242,R242))</f>
        <v>#NAME?</v>
      </c>
    </row>
    <row r="243" spans="1:20">
      <c r="A243" t="s">
        <v>490</v>
      </c>
      <c r="B243" t="s">
        <v>491</v>
      </c>
      <c r="C243" s="3">
        <v>79</v>
      </c>
      <c r="D243" s="3"/>
      <c r="E243" s="3">
        <v>71</v>
      </c>
      <c r="F243" s="3"/>
      <c r="G243" s="3">
        <f t="shared" si="9"/>
        <v>5609</v>
      </c>
      <c r="H243" s="3" t="e">
        <f ca="1">IF(_xludf.TEXTJOIN("; ",TRUE,D243,F243)="","",_xludf.TEXTJOIN("; ",TRUE,D243,F243))</f>
        <v>#NAME?</v>
      </c>
      <c r="I243" s="3">
        <v>92</v>
      </c>
      <c r="J243" s="3"/>
      <c r="K243" s="3">
        <v>70</v>
      </c>
      <c r="L243" s="3"/>
      <c r="M243" s="3">
        <f t="shared" si="10"/>
        <v>6440</v>
      </c>
      <c r="N243" s="3" t="e">
        <f ca="1">IF(_xludf.TEXTJOIN("; ",TRUE,J243,L243)="","",_xludf.TEXTJOIN("; ",TRUE,J243,L243))</f>
        <v>#NAME?</v>
      </c>
      <c r="O243" s="3">
        <v>103</v>
      </c>
      <c r="P243" s="3"/>
      <c r="Q243" s="3">
        <v>69</v>
      </c>
      <c r="R243" s="3"/>
      <c r="S243" s="3">
        <f t="shared" si="11"/>
        <v>7107</v>
      </c>
      <c r="T243" s="3" t="e">
        <f ca="1">IF(_xludf.TEXTJOIN("; ",TRUE,P243,R243)="","",_xludf.TEXTJOIN("; ",TRUE,P243,R243))</f>
        <v>#NAME?</v>
      </c>
    </row>
    <row r="244" spans="1:20">
      <c r="A244" t="s">
        <v>492</v>
      </c>
      <c r="B244" t="s">
        <v>493</v>
      </c>
      <c r="C244" s="3">
        <v>79</v>
      </c>
      <c r="D244" s="3"/>
      <c r="E244" s="3">
        <v>71</v>
      </c>
      <c r="F244" s="3"/>
      <c r="G244" s="3">
        <f t="shared" si="9"/>
        <v>5609</v>
      </c>
      <c r="H244" s="3" t="e">
        <f ca="1">IF(_xludf.TEXTJOIN("; ",TRUE,D244,F244)="","",_xludf.TEXTJOIN("; ",TRUE,D244,F244))</f>
        <v>#NAME?</v>
      </c>
      <c r="I244" s="3">
        <v>92</v>
      </c>
      <c r="J244" s="3"/>
      <c r="K244" s="3">
        <v>70</v>
      </c>
      <c r="L244" s="3"/>
      <c r="M244" s="3">
        <f t="shared" si="10"/>
        <v>6440</v>
      </c>
      <c r="N244" s="3" t="e">
        <f ca="1">IF(_xludf.TEXTJOIN("; ",TRUE,J244,L244)="","",_xludf.TEXTJOIN("; ",TRUE,J244,L244))</f>
        <v>#NAME?</v>
      </c>
      <c r="O244" s="3">
        <v>103</v>
      </c>
      <c r="P244" s="3"/>
      <c r="Q244" s="3">
        <v>69</v>
      </c>
      <c r="R244" s="3"/>
      <c r="S244" s="3">
        <f t="shared" si="11"/>
        <v>7107</v>
      </c>
      <c r="T244" s="3" t="e">
        <f ca="1">IF(_xludf.TEXTJOIN("; ",TRUE,P244,R244)="","",_xludf.TEXTJOIN("; ",TRUE,P244,R244))</f>
        <v>#NAME?</v>
      </c>
    </row>
    <row r="245" spans="1:20">
      <c r="A245" t="s">
        <v>494</v>
      </c>
      <c r="B245" t="s">
        <v>495</v>
      </c>
      <c r="C245" s="3">
        <v>25</v>
      </c>
      <c r="D245" s="3"/>
      <c r="E245" s="3">
        <v>17</v>
      </c>
      <c r="F245" s="3"/>
      <c r="G245" s="3">
        <f t="shared" si="9"/>
        <v>425</v>
      </c>
      <c r="H245" s="3" t="e">
        <f ca="1">IF(_xludf.TEXTJOIN("; ",TRUE,D245,F245)="","",_xludf.TEXTJOIN("; ",TRUE,D245,F245))</f>
        <v>#NAME?</v>
      </c>
      <c r="I245" s="3">
        <v>25</v>
      </c>
      <c r="J245" s="3"/>
      <c r="K245" s="3">
        <v>18</v>
      </c>
      <c r="L245" s="3"/>
      <c r="M245" s="3">
        <f t="shared" si="10"/>
        <v>450</v>
      </c>
      <c r="N245" s="3" t="e">
        <f ca="1">IF(_xludf.TEXTJOIN("; ",TRUE,J245,L245)="","",_xludf.TEXTJOIN("; ",TRUE,J245,L245))</f>
        <v>#NAME?</v>
      </c>
      <c r="O245" s="3">
        <v>28</v>
      </c>
      <c r="P245" s="3"/>
      <c r="Q245" s="3">
        <v>17</v>
      </c>
      <c r="R245" s="3"/>
      <c r="S245" s="3">
        <f t="shared" si="11"/>
        <v>476</v>
      </c>
      <c r="T245" s="3" t="e">
        <f ca="1">IF(_xludf.TEXTJOIN("; ",TRUE,P245,R245)="","",_xludf.TEXTJOIN("; ",TRUE,P245,R245))</f>
        <v>#NAME?</v>
      </c>
    </row>
    <row r="246" spans="1:20">
      <c r="A246" t="s">
        <v>496</v>
      </c>
      <c r="B246" t="s">
        <v>497</v>
      </c>
      <c r="C246" s="3">
        <v>96</v>
      </c>
      <c r="D246" s="3"/>
      <c r="E246" s="3">
        <v>54</v>
      </c>
      <c r="F246" s="3"/>
      <c r="G246" s="3">
        <f t="shared" si="9"/>
        <v>5184</v>
      </c>
      <c r="H246" s="3" t="e">
        <f ca="1">IF(_xludf.TEXTJOIN("; ",TRUE,D246,F246)="","",_xludf.TEXTJOIN("; ",TRUE,D246,F246))</f>
        <v>#NAME?</v>
      </c>
      <c r="I246" s="3">
        <v>115</v>
      </c>
      <c r="J246" s="3"/>
      <c r="K246" s="3">
        <v>52</v>
      </c>
      <c r="L246" s="3"/>
      <c r="M246" s="3">
        <f t="shared" si="10"/>
        <v>5980</v>
      </c>
      <c r="N246" s="3" t="e">
        <f ca="1">IF(_xludf.TEXTJOIN("; ",TRUE,J246,L246)="","",_xludf.TEXTJOIN("; ",TRUE,J246,L246))</f>
        <v>#NAME?</v>
      </c>
      <c r="O246" s="3">
        <v>127</v>
      </c>
      <c r="P246" s="3"/>
      <c r="Q246" s="3">
        <v>52</v>
      </c>
      <c r="R246" s="3"/>
      <c r="S246" s="3">
        <f t="shared" si="11"/>
        <v>6604</v>
      </c>
      <c r="T246" s="3" t="e">
        <f ca="1">IF(_xludf.TEXTJOIN("; ",TRUE,P246,R246)="","",_xludf.TEXTJOIN("; ",TRUE,P246,R246))</f>
        <v>#NAME?</v>
      </c>
    </row>
    <row r="247" spans="1:20">
      <c r="A247" t="s">
        <v>498</v>
      </c>
      <c r="B247" t="s">
        <v>499</v>
      </c>
      <c r="C247" s="3" t="s">
        <v>43</v>
      </c>
      <c r="D247" s="3" t="s">
        <v>44</v>
      </c>
      <c r="E247" s="3">
        <v>8</v>
      </c>
      <c r="F247" s="3"/>
      <c r="G247" s="3" t="str">
        <f t="shared" si="9"/>
        <v/>
      </c>
      <c r="H247" s="3" t="e">
        <f ca="1">IF(_xludf.TEXTJOIN("; ",TRUE,D247,F247)="","",_xludf.TEXTJOIN("; ",TRUE,D247,F247))</f>
        <v>#NAME?</v>
      </c>
      <c r="I247" s="3" t="s">
        <v>43</v>
      </c>
      <c r="J247" s="3" t="s">
        <v>44</v>
      </c>
      <c r="K247" s="3">
        <v>7</v>
      </c>
      <c r="L247" s="3"/>
      <c r="M247" s="3" t="str">
        <f t="shared" si="10"/>
        <v/>
      </c>
      <c r="N247" s="3" t="e">
        <f ca="1">IF(_xludf.TEXTJOIN("; ",TRUE,J247,L247)="","",_xludf.TEXTJOIN("; ",TRUE,J247,L247))</f>
        <v>#NAME?</v>
      </c>
      <c r="O247" s="3" t="s">
        <v>43</v>
      </c>
      <c r="P247" s="3" t="s">
        <v>44</v>
      </c>
      <c r="Q247" s="3">
        <v>7</v>
      </c>
      <c r="R247" s="3"/>
      <c r="S247" s="3" t="str">
        <f t="shared" si="11"/>
        <v/>
      </c>
      <c r="T247" s="3" t="e">
        <f ca="1">IF(_xludf.TEXTJOIN("; ",TRUE,P247,R247)="","",_xludf.TEXTJOIN("; ",TRUE,P247,R247))</f>
        <v>#NAME?</v>
      </c>
    </row>
    <row r="248" spans="1:20">
      <c r="A248" t="s">
        <v>500</v>
      </c>
      <c r="B248" t="s">
        <v>499</v>
      </c>
      <c r="C248" s="3" t="s">
        <v>43</v>
      </c>
      <c r="D248" s="3" t="s">
        <v>44</v>
      </c>
      <c r="E248" s="3">
        <v>8</v>
      </c>
      <c r="F248" s="3"/>
      <c r="G248" s="3" t="str">
        <f t="shared" si="9"/>
        <v/>
      </c>
      <c r="H248" s="3" t="e">
        <f ca="1">IF(_xludf.TEXTJOIN("; ",TRUE,D248,F248)="","",_xludf.TEXTJOIN("; ",TRUE,D248,F248))</f>
        <v>#NAME?</v>
      </c>
      <c r="I248" s="3" t="s">
        <v>43</v>
      </c>
      <c r="J248" s="3" t="s">
        <v>44</v>
      </c>
      <c r="K248" s="3">
        <v>7</v>
      </c>
      <c r="L248" s="3"/>
      <c r="M248" s="3" t="str">
        <f t="shared" si="10"/>
        <v/>
      </c>
      <c r="N248" s="3" t="e">
        <f ca="1">IF(_xludf.TEXTJOIN("; ",TRUE,J248,L248)="","",_xludf.TEXTJOIN("; ",TRUE,J248,L248))</f>
        <v>#NAME?</v>
      </c>
      <c r="O248" s="3" t="s">
        <v>43</v>
      </c>
      <c r="P248" s="3" t="s">
        <v>44</v>
      </c>
      <c r="Q248" s="3">
        <v>7</v>
      </c>
      <c r="R248" s="3"/>
      <c r="S248" s="3" t="str">
        <f t="shared" si="11"/>
        <v/>
      </c>
      <c r="T248" s="3" t="e">
        <f ca="1">IF(_xludf.TEXTJOIN("; ",TRUE,P248,R248)="","",_xludf.TEXTJOIN("; ",TRUE,P248,R248))</f>
        <v>#NAME?</v>
      </c>
    </row>
    <row r="249" spans="1:20">
      <c r="A249" t="s">
        <v>501</v>
      </c>
      <c r="B249" t="s">
        <v>499</v>
      </c>
      <c r="C249" s="3" t="s">
        <v>43</v>
      </c>
      <c r="D249" s="3" t="s">
        <v>44</v>
      </c>
      <c r="E249" s="3">
        <v>8</v>
      </c>
      <c r="F249" s="3"/>
      <c r="G249" s="3" t="str">
        <f t="shared" si="9"/>
        <v/>
      </c>
      <c r="H249" s="3" t="e">
        <f ca="1">IF(_xludf.TEXTJOIN("; ",TRUE,D249,F249)="","",_xludf.TEXTJOIN("; ",TRUE,D249,F249))</f>
        <v>#NAME?</v>
      </c>
      <c r="I249" s="3" t="s">
        <v>43</v>
      </c>
      <c r="J249" s="3" t="s">
        <v>44</v>
      </c>
      <c r="K249" s="3">
        <v>7</v>
      </c>
      <c r="L249" s="3"/>
      <c r="M249" s="3" t="str">
        <f t="shared" si="10"/>
        <v/>
      </c>
      <c r="N249" s="3" t="e">
        <f ca="1">IF(_xludf.TEXTJOIN("; ",TRUE,J249,L249)="","",_xludf.TEXTJOIN("; ",TRUE,J249,L249))</f>
        <v>#NAME?</v>
      </c>
      <c r="O249" s="3" t="s">
        <v>43</v>
      </c>
      <c r="P249" s="3" t="s">
        <v>44</v>
      </c>
      <c r="Q249" s="3">
        <v>7</v>
      </c>
      <c r="R249" s="3"/>
      <c r="S249" s="3" t="str">
        <f t="shared" si="11"/>
        <v/>
      </c>
      <c r="T249" s="3" t="e">
        <f ca="1">IF(_xludf.TEXTJOIN("; ",TRUE,P249,R249)="","",_xludf.TEXTJOIN("; ",TRUE,P249,R249))</f>
        <v>#NAME?</v>
      </c>
    </row>
    <row r="250" spans="1:20">
      <c r="A250" t="s">
        <v>502</v>
      </c>
      <c r="B250" t="s">
        <v>503</v>
      </c>
      <c r="C250" s="3">
        <v>158</v>
      </c>
      <c r="D250" s="3"/>
      <c r="E250" s="3">
        <v>614</v>
      </c>
      <c r="F250" s="3"/>
      <c r="G250" s="3">
        <f t="shared" si="9"/>
        <v>97012</v>
      </c>
      <c r="H250" s="3" t="e">
        <f ca="1">IF(_xludf.TEXTJOIN("; ",TRUE,D250,F250)="","",_xludf.TEXTJOIN("; ",TRUE,D250,F250))</f>
        <v>#NAME?</v>
      </c>
      <c r="I250" s="3">
        <v>155</v>
      </c>
      <c r="J250" s="3"/>
      <c r="K250" s="3">
        <v>621</v>
      </c>
      <c r="L250" s="3"/>
      <c r="M250" s="3">
        <f t="shared" si="10"/>
        <v>96255</v>
      </c>
      <c r="N250" s="3" t="e">
        <f ca="1">IF(_xludf.TEXTJOIN("; ",TRUE,J250,L250)="","",_xludf.TEXTJOIN("; ",TRUE,J250,L250))</f>
        <v>#NAME?</v>
      </c>
      <c r="O250" s="3">
        <v>162</v>
      </c>
      <c r="P250" s="3"/>
      <c r="Q250" s="3">
        <v>639</v>
      </c>
      <c r="R250" s="3"/>
      <c r="S250" s="3">
        <f t="shared" si="11"/>
        <v>103518</v>
      </c>
      <c r="T250" s="3" t="e">
        <f ca="1">IF(_xludf.TEXTJOIN("; ",TRUE,P250,R250)="","",_xludf.TEXTJOIN("; ",TRUE,P250,R250))</f>
        <v>#NAME?</v>
      </c>
    </row>
    <row r="251" spans="1:20">
      <c r="A251" t="s">
        <v>504</v>
      </c>
      <c r="B251" t="s">
        <v>505</v>
      </c>
      <c r="C251" s="3">
        <v>64</v>
      </c>
      <c r="D251" s="3"/>
      <c r="E251" s="3">
        <v>182</v>
      </c>
      <c r="F251" s="3"/>
      <c r="G251" s="3">
        <f t="shared" si="9"/>
        <v>11648</v>
      </c>
      <c r="H251" s="3" t="e">
        <f ca="1">IF(_xludf.TEXTJOIN("; ",TRUE,D251,F251)="","",_xludf.TEXTJOIN("; ",TRUE,D251,F251))</f>
        <v>#NAME?</v>
      </c>
      <c r="I251" s="3">
        <v>66</v>
      </c>
      <c r="J251" s="3"/>
      <c r="K251" s="3">
        <v>181</v>
      </c>
      <c r="L251" s="3"/>
      <c r="M251" s="3">
        <f t="shared" si="10"/>
        <v>11946</v>
      </c>
      <c r="N251" s="3" t="e">
        <f ca="1">IF(_xludf.TEXTJOIN("; ",TRUE,J251,L251)="","",_xludf.TEXTJOIN("; ",TRUE,J251,L251))</f>
        <v>#NAME?</v>
      </c>
      <c r="O251" s="3">
        <v>59</v>
      </c>
      <c r="P251" s="3"/>
      <c r="Q251" s="3">
        <v>179</v>
      </c>
      <c r="R251" s="3"/>
      <c r="S251" s="3">
        <f t="shared" si="11"/>
        <v>10561</v>
      </c>
      <c r="T251" s="3" t="e">
        <f ca="1">IF(_xludf.TEXTJOIN("; ",TRUE,P251,R251)="","",_xludf.TEXTJOIN("; ",TRUE,P251,R251))</f>
        <v>#NAME?</v>
      </c>
    </row>
    <row r="252" spans="1:20">
      <c r="A252" t="s">
        <v>506</v>
      </c>
      <c r="B252" t="s">
        <v>507</v>
      </c>
      <c r="C252" s="3">
        <v>61</v>
      </c>
      <c r="D252" s="3"/>
      <c r="E252" s="3">
        <v>70</v>
      </c>
      <c r="F252" s="3"/>
      <c r="G252" s="3">
        <f t="shared" si="9"/>
        <v>4270</v>
      </c>
      <c r="H252" s="3" t="e">
        <f ca="1">IF(_xludf.TEXTJOIN("; ",TRUE,D252,F252)="","",_xludf.TEXTJOIN("; ",TRUE,D252,F252))</f>
        <v>#NAME?</v>
      </c>
      <c r="I252" s="3">
        <v>65</v>
      </c>
      <c r="J252" s="3"/>
      <c r="K252" s="3">
        <v>70</v>
      </c>
      <c r="L252" s="3"/>
      <c r="M252" s="3">
        <f t="shared" si="10"/>
        <v>4550</v>
      </c>
      <c r="N252" s="3" t="e">
        <f ca="1">IF(_xludf.TEXTJOIN("; ",TRUE,J252,L252)="","",_xludf.TEXTJOIN("; ",TRUE,J252,L252))</f>
        <v>#NAME?</v>
      </c>
      <c r="O252" s="3">
        <v>82</v>
      </c>
      <c r="P252" s="3"/>
      <c r="Q252" s="3">
        <v>66</v>
      </c>
      <c r="R252" s="3"/>
      <c r="S252" s="3">
        <f t="shared" si="11"/>
        <v>5412</v>
      </c>
      <c r="T252" s="3" t="e">
        <f ca="1">IF(_xludf.TEXTJOIN("; ",TRUE,P252,R252)="","",_xludf.TEXTJOIN("; ",TRUE,P252,R252))</f>
        <v>#NAME?</v>
      </c>
    </row>
    <row r="253" spans="1:20">
      <c r="A253" t="s">
        <v>508</v>
      </c>
      <c r="B253" t="s">
        <v>509</v>
      </c>
      <c r="C253" s="3">
        <v>67</v>
      </c>
      <c r="D253" s="3"/>
      <c r="E253" s="3">
        <v>112</v>
      </c>
      <c r="F253" s="3"/>
      <c r="G253" s="3">
        <f t="shared" si="9"/>
        <v>7504</v>
      </c>
      <c r="H253" s="3" t="e">
        <f ca="1">IF(_xludf.TEXTJOIN("; ",TRUE,D253,F253)="","",_xludf.TEXTJOIN("; ",TRUE,D253,F253))</f>
        <v>#NAME?</v>
      </c>
      <c r="I253" s="3">
        <v>66</v>
      </c>
      <c r="J253" s="3"/>
      <c r="K253" s="3">
        <v>111</v>
      </c>
      <c r="L253" s="3"/>
      <c r="M253" s="3">
        <f t="shared" si="10"/>
        <v>7326</v>
      </c>
      <c r="N253" s="3" t="e">
        <f ca="1">IF(_xludf.TEXTJOIN("; ",TRUE,J253,L253)="","",_xludf.TEXTJOIN("; ",TRUE,J253,L253))</f>
        <v>#NAME?</v>
      </c>
      <c r="O253" s="3">
        <v>46</v>
      </c>
      <c r="P253" s="3"/>
      <c r="Q253" s="3">
        <v>113</v>
      </c>
      <c r="R253" s="3"/>
      <c r="S253" s="3">
        <f t="shared" si="11"/>
        <v>5198</v>
      </c>
      <c r="T253" s="3" t="e">
        <f ca="1">IF(_xludf.TEXTJOIN("; ",TRUE,P253,R253)="","",_xludf.TEXTJOIN("; ",TRUE,P253,R253))</f>
        <v>#NAME?</v>
      </c>
    </row>
    <row r="254" spans="1:20">
      <c r="A254" t="s">
        <v>510</v>
      </c>
      <c r="B254" t="s">
        <v>511</v>
      </c>
      <c r="C254" s="3">
        <v>229</v>
      </c>
      <c r="D254" s="3"/>
      <c r="E254" s="3">
        <v>264</v>
      </c>
      <c r="F254" s="3"/>
      <c r="G254" s="3">
        <f t="shared" si="9"/>
        <v>60456</v>
      </c>
      <c r="H254" s="3" t="e">
        <f ca="1">IF(_xludf.TEXTJOIN("; ",TRUE,D254,F254)="","",_xludf.TEXTJOIN("; ",TRUE,D254,F254))</f>
        <v>#NAME?</v>
      </c>
      <c r="I254" s="3">
        <v>221</v>
      </c>
      <c r="J254" s="3"/>
      <c r="K254" s="3">
        <v>272</v>
      </c>
      <c r="L254" s="3"/>
      <c r="M254" s="3">
        <f t="shared" si="10"/>
        <v>60112</v>
      </c>
      <c r="N254" s="3" t="e">
        <f ca="1">IF(_xludf.TEXTJOIN("; ",TRUE,J254,L254)="","",_xludf.TEXTJOIN("; ",TRUE,J254,L254))</f>
        <v>#NAME?</v>
      </c>
      <c r="O254" s="3">
        <v>231</v>
      </c>
      <c r="P254" s="3"/>
      <c r="Q254" s="3">
        <v>292</v>
      </c>
      <c r="R254" s="3"/>
      <c r="S254" s="3">
        <f t="shared" si="11"/>
        <v>67452</v>
      </c>
      <c r="T254" s="3" t="e">
        <f ca="1">IF(_xludf.TEXTJOIN("; ",TRUE,P254,R254)="","",_xludf.TEXTJOIN("; ",TRUE,P254,R254))</f>
        <v>#NAME?</v>
      </c>
    </row>
    <row r="255" spans="1:20">
      <c r="A255" t="s">
        <v>512</v>
      </c>
      <c r="B255" t="s">
        <v>513</v>
      </c>
      <c r="C255" s="3">
        <v>210</v>
      </c>
      <c r="D255" s="3"/>
      <c r="E255" s="3">
        <v>122</v>
      </c>
      <c r="F255" s="3"/>
      <c r="G255" s="3">
        <f t="shared" si="9"/>
        <v>25620</v>
      </c>
      <c r="H255" s="3" t="e">
        <f ca="1">IF(_xludf.TEXTJOIN("; ",TRUE,D255,F255)="","",_xludf.TEXTJOIN("; ",TRUE,D255,F255))</f>
        <v>#NAME?</v>
      </c>
      <c r="I255" s="3">
        <v>210</v>
      </c>
      <c r="J255" s="3"/>
      <c r="K255" s="3">
        <v>123</v>
      </c>
      <c r="L255" s="3"/>
      <c r="M255" s="3">
        <f t="shared" si="10"/>
        <v>25830</v>
      </c>
      <c r="N255" s="3" t="e">
        <f ca="1">IF(_xludf.TEXTJOIN("; ",TRUE,J255,L255)="","",_xludf.TEXTJOIN("; ",TRUE,J255,L255))</f>
        <v>#NAME?</v>
      </c>
      <c r="O255" s="3">
        <v>206</v>
      </c>
      <c r="P255" s="3"/>
      <c r="Q255" s="3">
        <v>154</v>
      </c>
      <c r="R255" s="3"/>
      <c r="S255" s="3">
        <f t="shared" si="11"/>
        <v>31724</v>
      </c>
      <c r="T255" s="3" t="e">
        <f ca="1">IF(_xludf.TEXTJOIN("; ",TRUE,P255,R255)="","",_xludf.TEXTJOIN("; ",TRUE,P255,R255))</f>
        <v>#NAME?</v>
      </c>
    </row>
    <row r="256" spans="1:20">
      <c r="A256" t="s">
        <v>514</v>
      </c>
      <c r="B256" t="s">
        <v>515</v>
      </c>
      <c r="C256" s="3">
        <v>352</v>
      </c>
      <c r="D256" s="3"/>
      <c r="E256" s="3">
        <v>92</v>
      </c>
      <c r="F256" s="3"/>
      <c r="G256" s="3">
        <f t="shared" si="9"/>
        <v>32384</v>
      </c>
      <c r="H256" s="3" t="e">
        <f ca="1">IF(_xludf.TEXTJOIN("; ",TRUE,D256,F256)="","",_xludf.TEXTJOIN("; ",TRUE,D256,F256))</f>
        <v>#NAME?</v>
      </c>
      <c r="I256" s="3">
        <v>320</v>
      </c>
      <c r="J256" s="3"/>
      <c r="K256" s="3">
        <v>100</v>
      </c>
      <c r="L256" s="3"/>
      <c r="M256" s="3">
        <f t="shared" si="10"/>
        <v>32000</v>
      </c>
      <c r="N256" s="3" t="e">
        <f ca="1">IF(_xludf.TEXTJOIN("; ",TRUE,J256,L256)="","",_xludf.TEXTJOIN("; ",TRUE,J256,L256))</f>
        <v>#NAME?</v>
      </c>
      <c r="O256" s="3">
        <v>365</v>
      </c>
      <c r="P256" s="3"/>
      <c r="Q256" s="3">
        <v>89</v>
      </c>
      <c r="R256" s="3"/>
      <c r="S256" s="3">
        <f t="shared" si="11"/>
        <v>32485</v>
      </c>
      <c r="T256" s="3" t="e">
        <f ca="1">IF(_xludf.TEXTJOIN("; ",TRUE,P256,R256)="","",_xludf.TEXTJOIN("; ",TRUE,P256,R256))</f>
        <v>#NAME?</v>
      </c>
    </row>
    <row r="257" spans="1:20">
      <c r="A257" t="s">
        <v>516</v>
      </c>
      <c r="B257" t="s">
        <v>517</v>
      </c>
      <c r="C257" s="3">
        <v>51</v>
      </c>
      <c r="D257" s="3"/>
      <c r="E257" s="3">
        <v>50</v>
      </c>
      <c r="F257" s="3"/>
      <c r="G257" s="3">
        <f t="shared" si="9"/>
        <v>2550</v>
      </c>
      <c r="H257" s="3" t="e">
        <f ca="1">IF(_xludf.TEXTJOIN("; ",TRUE,D257,F257)="","",_xludf.TEXTJOIN("; ",TRUE,D257,F257))</f>
        <v>#NAME?</v>
      </c>
      <c r="I257" s="3">
        <v>48</v>
      </c>
      <c r="J257" s="3"/>
      <c r="K257" s="3">
        <v>49</v>
      </c>
      <c r="L257" s="3"/>
      <c r="M257" s="3">
        <f t="shared" si="10"/>
        <v>2352</v>
      </c>
      <c r="N257" s="3" t="e">
        <f ca="1">IF(_xludf.TEXTJOIN("; ",TRUE,J257,L257)="","",_xludf.TEXTJOIN("; ",TRUE,J257,L257))</f>
        <v>#NAME?</v>
      </c>
      <c r="O257" s="3">
        <v>67</v>
      </c>
      <c r="P257" s="3"/>
      <c r="Q257" s="3">
        <v>49</v>
      </c>
      <c r="R257" s="3"/>
      <c r="S257" s="3">
        <f t="shared" si="11"/>
        <v>3283</v>
      </c>
      <c r="T257" s="3" t="e">
        <f ca="1">IF(_xludf.TEXTJOIN("; ",TRUE,P257,R257)="","",_xludf.TEXTJOIN("; ",TRUE,P257,R257))</f>
        <v>#NAME?</v>
      </c>
    </row>
    <row r="258" spans="1:20">
      <c r="A258" t="s">
        <v>518</v>
      </c>
      <c r="B258" t="s">
        <v>519</v>
      </c>
      <c r="C258" s="3">
        <v>146</v>
      </c>
      <c r="D258" s="3"/>
      <c r="E258" s="3">
        <v>168</v>
      </c>
      <c r="F258" s="3"/>
      <c r="G258" s="3">
        <f t="shared" ref="G258:G321" si="12">IF(OR(C258="",C258=":",E258="",E258=":"),"",C258*E258)</f>
        <v>24528</v>
      </c>
      <c r="H258" s="3" t="e">
        <f ca="1">IF(_xludf.TEXTJOIN("; ",TRUE,D258,F258)="","",_xludf.TEXTJOIN("; ",TRUE,D258,F258))</f>
        <v>#NAME?</v>
      </c>
      <c r="I258" s="3">
        <v>143</v>
      </c>
      <c r="J258" s="3"/>
      <c r="K258" s="3">
        <v>168</v>
      </c>
      <c r="L258" s="3"/>
      <c r="M258" s="3">
        <f t="shared" ref="M258:M321" si="13">IF(OR(I258="",I258=":",K258="",K258=":"),"",I258*K258)</f>
        <v>24024</v>
      </c>
      <c r="N258" s="3" t="e">
        <f ca="1">IF(_xludf.TEXTJOIN("; ",TRUE,J258,L258)="","",_xludf.TEXTJOIN("; ",TRUE,J258,L258))</f>
        <v>#NAME?</v>
      </c>
      <c r="O258" s="3">
        <v>152</v>
      </c>
      <c r="P258" s="3"/>
      <c r="Q258" s="3">
        <v>168</v>
      </c>
      <c r="R258" s="3"/>
      <c r="S258" s="3">
        <f t="shared" ref="S258:S321" si="14">IF(OR(O258="",O258=":",Q258="",Q258=":"),"",O258*Q258)</f>
        <v>25536</v>
      </c>
      <c r="T258" s="3" t="e">
        <f ca="1">IF(_xludf.TEXTJOIN("; ",TRUE,P258,R258)="","",_xludf.TEXTJOIN("; ",TRUE,P258,R258))</f>
        <v>#NAME?</v>
      </c>
    </row>
    <row r="259" spans="1:20">
      <c r="A259" t="s">
        <v>520</v>
      </c>
      <c r="B259" t="s">
        <v>521</v>
      </c>
      <c r="C259" s="3">
        <v>238</v>
      </c>
      <c r="D259" s="3"/>
      <c r="E259" s="3">
        <v>45</v>
      </c>
      <c r="F259" s="3"/>
      <c r="G259" s="3">
        <f t="shared" si="12"/>
        <v>10710</v>
      </c>
      <c r="H259" s="3" t="e">
        <f ca="1">IF(_xludf.TEXTJOIN("; ",TRUE,D259,F259)="","",_xludf.TEXTJOIN("; ",TRUE,D259,F259))</f>
        <v>#NAME?</v>
      </c>
      <c r="I259" s="3">
        <v>228</v>
      </c>
      <c r="J259" s="3"/>
      <c r="K259" s="3">
        <v>43</v>
      </c>
      <c r="L259" s="3"/>
      <c r="M259" s="3">
        <f t="shared" si="13"/>
        <v>9804</v>
      </c>
      <c r="N259" s="3" t="e">
        <f ca="1">IF(_xludf.TEXTJOIN("; ",TRUE,J259,L259)="","",_xludf.TEXTJOIN("; ",TRUE,J259,L259))</f>
        <v>#NAME?</v>
      </c>
      <c r="O259" s="3">
        <v>228</v>
      </c>
      <c r="P259" s="3"/>
      <c r="Q259" s="3">
        <v>45</v>
      </c>
      <c r="R259" s="3"/>
      <c r="S259" s="3">
        <f t="shared" si="14"/>
        <v>10260</v>
      </c>
      <c r="T259" s="3" t="e">
        <f ca="1">IF(_xludf.TEXTJOIN("; ",TRUE,P259,R259)="","",_xludf.TEXTJOIN("; ",TRUE,P259,R259))</f>
        <v>#NAME?</v>
      </c>
    </row>
    <row r="260" spans="1:20">
      <c r="A260" t="s">
        <v>522</v>
      </c>
      <c r="B260" t="s">
        <v>523</v>
      </c>
      <c r="C260" s="3">
        <v>85</v>
      </c>
      <c r="D260" s="3"/>
      <c r="E260" s="3">
        <v>46</v>
      </c>
      <c r="F260" s="3"/>
      <c r="G260" s="3">
        <f t="shared" si="12"/>
        <v>3910</v>
      </c>
      <c r="H260" s="3" t="e">
        <f ca="1">IF(_xludf.TEXTJOIN("; ",TRUE,D260,F260)="","",_xludf.TEXTJOIN("; ",TRUE,D260,F260))</f>
        <v>#NAME?</v>
      </c>
      <c r="I260" s="3">
        <v>81</v>
      </c>
      <c r="J260" s="3"/>
      <c r="K260" s="3">
        <v>49</v>
      </c>
      <c r="L260" s="3"/>
      <c r="M260" s="3">
        <f t="shared" si="13"/>
        <v>3969</v>
      </c>
      <c r="N260" s="3" t="e">
        <f ca="1">IF(_xludf.TEXTJOIN("; ",TRUE,J260,L260)="","",_xludf.TEXTJOIN("; ",TRUE,J260,L260))</f>
        <v>#NAME?</v>
      </c>
      <c r="O260" s="3">
        <v>99</v>
      </c>
      <c r="P260" s="3"/>
      <c r="Q260" s="3">
        <v>51</v>
      </c>
      <c r="R260" s="3"/>
      <c r="S260" s="3">
        <f t="shared" si="14"/>
        <v>5049</v>
      </c>
      <c r="T260" s="3" t="e">
        <f ca="1">IF(_xludf.TEXTJOIN("; ",TRUE,P260,R260)="","",_xludf.TEXTJOIN("; ",TRUE,P260,R260))</f>
        <v>#NAME?</v>
      </c>
    </row>
    <row r="261" spans="1:20">
      <c r="A261" t="s">
        <v>524</v>
      </c>
      <c r="B261" t="s">
        <v>525</v>
      </c>
      <c r="C261" s="3">
        <v>129</v>
      </c>
      <c r="D261" s="3"/>
      <c r="E261" s="3">
        <v>77</v>
      </c>
      <c r="F261" s="3"/>
      <c r="G261" s="3">
        <f t="shared" si="12"/>
        <v>9933</v>
      </c>
      <c r="H261" s="3" t="e">
        <f ca="1">IF(_xludf.TEXTJOIN("; ",TRUE,D261,F261)="","",_xludf.TEXTJOIN("; ",TRUE,D261,F261))</f>
        <v>#NAME?</v>
      </c>
      <c r="I261" s="3">
        <v>134</v>
      </c>
      <c r="J261" s="3"/>
      <c r="K261" s="3">
        <v>76</v>
      </c>
      <c r="L261" s="3"/>
      <c r="M261" s="3">
        <f t="shared" si="13"/>
        <v>10184</v>
      </c>
      <c r="N261" s="3" t="e">
        <f ca="1">IF(_xludf.TEXTJOIN("; ",TRUE,J261,L261)="","",_xludf.TEXTJOIN("; ",TRUE,J261,L261))</f>
        <v>#NAME?</v>
      </c>
      <c r="O261" s="3">
        <v>141</v>
      </c>
      <c r="P261" s="3"/>
      <c r="Q261" s="3">
        <v>72</v>
      </c>
      <c r="R261" s="3"/>
      <c r="S261" s="3">
        <f t="shared" si="14"/>
        <v>10152</v>
      </c>
      <c r="T261" s="3" t="e">
        <f ca="1">IF(_xludf.TEXTJOIN("; ",TRUE,P261,R261)="","",_xludf.TEXTJOIN("; ",TRUE,P261,R261))</f>
        <v>#NAME?</v>
      </c>
    </row>
    <row r="262" spans="1:20">
      <c r="A262" t="s">
        <v>526</v>
      </c>
      <c r="B262" t="s">
        <v>527</v>
      </c>
      <c r="C262" s="3" t="s">
        <v>43</v>
      </c>
      <c r="D262" s="3" t="s">
        <v>44</v>
      </c>
      <c r="E262" s="3">
        <v>10</v>
      </c>
      <c r="F262" s="3"/>
      <c r="G262" s="3" t="str">
        <f t="shared" si="12"/>
        <v/>
      </c>
      <c r="H262" s="3" t="e">
        <f ca="1">IF(_xludf.TEXTJOIN("; ",TRUE,D262,F262)="","",_xludf.TEXTJOIN("; ",TRUE,D262,F262))</f>
        <v>#NAME?</v>
      </c>
      <c r="I262" s="3">
        <v>113</v>
      </c>
      <c r="J262" s="3"/>
      <c r="K262" s="3">
        <v>10</v>
      </c>
      <c r="L262" s="3"/>
      <c r="M262" s="3">
        <f t="shared" si="13"/>
        <v>1130</v>
      </c>
      <c r="N262" s="3" t="e">
        <f ca="1">IF(_xludf.TEXTJOIN("; ",TRUE,J262,L262)="","",_xludf.TEXTJOIN("; ",TRUE,J262,L262))</f>
        <v>#NAME?</v>
      </c>
      <c r="O262" s="3">
        <v>119</v>
      </c>
      <c r="P262" s="3"/>
      <c r="Q262" s="3">
        <v>10</v>
      </c>
      <c r="R262" s="3"/>
      <c r="S262" s="3">
        <f t="shared" si="14"/>
        <v>1190</v>
      </c>
      <c r="T262" s="3" t="e">
        <f ca="1">IF(_xludf.TEXTJOIN("; ",TRUE,P262,R262)="","",_xludf.TEXTJOIN("; ",TRUE,P262,R262))</f>
        <v>#NAME?</v>
      </c>
    </row>
    <row r="263" spans="1:20">
      <c r="A263" t="s">
        <v>528</v>
      </c>
      <c r="B263" t="s">
        <v>527</v>
      </c>
      <c r="C263" s="3" t="s">
        <v>43</v>
      </c>
      <c r="D263" s="3" t="s">
        <v>44</v>
      </c>
      <c r="E263" s="3">
        <v>10</v>
      </c>
      <c r="F263" s="3"/>
      <c r="G263" s="3" t="str">
        <f t="shared" si="12"/>
        <v/>
      </c>
      <c r="H263" s="3" t="e">
        <f ca="1">IF(_xludf.TEXTJOIN("; ",TRUE,D263,F263)="","",_xludf.TEXTJOIN("; ",TRUE,D263,F263))</f>
        <v>#NAME?</v>
      </c>
      <c r="I263" s="3">
        <v>113</v>
      </c>
      <c r="J263" s="3"/>
      <c r="K263" s="3">
        <v>10</v>
      </c>
      <c r="L263" s="3"/>
      <c r="M263" s="3">
        <f t="shared" si="13"/>
        <v>1130</v>
      </c>
      <c r="N263" s="3" t="e">
        <f ca="1">IF(_xludf.TEXTJOIN("; ",TRUE,J263,L263)="","",_xludf.TEXTJOIN("; ",TRUE,J263,L263))</f>
        <v>#NAME?</v>
      </c>
      <c r="O263" s="3">
        <v>119</v>
      </c>
      <c r="P263" s="3"/>
      <c r="Q263" s="3">
        <v>10</v>
      </c>
      <c r="R263" s="3"/>
      <c r="S263" s="3">
        <f t="shared" si="14"/>
        <v>1190</v>
      </c>
      <c r="T263" s="3" t="e">
        <f ca="1">IF(_xludf.TEXTJOIN("; ",TRUE,P263,R263)="","",_xludf.TEXTJOIN("; ",TRUE,P263,R263))</f>
        <v>#NAME?</v>
      </c>
    </row>
    <row r="264" spans="1:20">
      <c r="A264" t="s">
        <v>529</v>
      </c>
      <c r="B264" t="s">
        <v>527</v>
      </c>
      <c r="C264" s="3" t="s">
        <v>43</v>
      </c>
      <c r="D264" s="3" t="s">
        <v>44</v>
      </c>
      <c r="E264" s="3">
        <v>10</v>
      </c>
      <c r="F264" s="3"/>
      <c r="G264" s="3" t="str">
        <f t="shared" si="12"/>
        <v/>
      </c>
      <c r="H264" s="3" t="e">
        <f ca="1">IF(_xludf.TEXTJOIN("; ",TRUE,D264,F264)="","",_xludf.TEXTJOIN("; ",TRUE,D264,F264))</f>
        <v>#NAME?</v>
      </c>
      <c r="I264" s="3">
        <v>113</v>
      </c>
      <c r="J264" s="3"/>
      <c r="K264" s="3">
        <v>10</v>
      </c>
      <c r="L264" s="3"/>
      <c r="M264" s="3">
        <f t="shared" si="13"/>
        <v>1130</v>
      </c>
      <c r="N264" s="3" t="e">
        <f ca="1">IF(_xludf.TEXTJOIN("; ",TRUE,J264,L264)="","",_xludf.TEXTJOIN("; ",TRUE,J264,L264))</f>
        <v>#NAME?</v>
      </c>
      <c r="O264" s="3">
        <v>119</v>
      </c>
      <c r="P264" s="3"/>
      <c r="Q264" s="3">
        <v>10</v>
      </c>
      <c r="R264" s="3"/>
      <c r="S264" s="3">
        <f t="shared" si="14"/>
        <v>1190</v>
      </c>
      <c r="T264" s="3" t="e">
        <f ca="1">IF(_xludf.TEXTJOIN("; ",TRUE,P264,R264)="","",_xludf.TEXTJOIN("; ",TRUE,P264,R264))</f>
        <v>#NAME?</v>
      </c>
    </row>
    <row r="265" spans="1:20">
      <c r="A265" t="s">
        <v>530</v>
      </c>
      <c r="B265" t="s">
        <v>531</v>
      </c>
      <c r="C265" s="3">
        <v>24</v>
      </c>
      <c r="D265" s="3"/>
      <c r="E265" s="3">
        <v>950</v>
      </c>
      <c r="F265" s="3"/>
      <c r="G265" s="3">
        <f t="shared" si="12"/>
        <v>22800</v>
      </c>
      <c r="H265" s="3" t="e">
        <f ca="1">IF(_xludf.TEXTJOIN("; ",TRUE,D265,F265)="","",_xludf.TEXTJOIN("; ",TRUE,D265,F265))</f>
        <v>#NAME?</v>
      </c>
      <c r="I265" s="3">
        <v>23</v>
      </c>
      <c r="J265" s="3"/>
      <c r="K265" s="3">
        <v>1003</v>
      </c>
      <c r="L265" s="3"/>
      <c r="M265" s="3">
        <f t="shared" si="13"/>
        <v>23069</v>
      </c>
      <c r="N265" s="3" t="e">
        <f ca="1">IF(_xludf.TEXTJOIN("; ",TRUE,J265,L265)="","",_xludf.TEXTJOIN("; ",TRUE,J265,L265))</f>
        <v>#NAME?</v>
      </c>
      <c r="O265" s="3">
        <v>23</v>
      </c>
      <c r="P265" s="3"/>
      <c r="Q265" s="3">
        <v>997</v>
      </c>
      <c r="R265" s="3"/>
      <c r="S265" s="3">
        <f t="shared" si="14"/>
        <v>22931</v>
      </c>
      <c r="T265" s="3" t="e">
        <f ca="1">IF(_xludf.TEXTJOIN("; ",TRUE,P265,R265)="","",_xludf.TEXTJOIN("; ",TRUE,P265,R265))</f>
        <v>#NAME?</v>
      </c>
    </row>
    <row r="266" spans="1:20">
      <c r="A266" t="s">
        <v>532</v>
      </c>
      <c r="B266" t="s">
        <v>533</v>
      </c>
      <c r="C266" s="3">
        <v>11</v>
      </c>
      <c r="D266" s="3"/>
      <c r="E266" s="3">
        <v>95</v>
      </c>
      <c r="F266" s="3"/>
      <c r="G266" s="3">
        <f t="shared" si="12"/>
        <v>1045</v>
      </c>
      <c r="H266" s="3" t="e">
        <f ca="1">IF(_xludf.TEXTJOIN("; ",TRUE,D266,F266)="","",_xludf.TEXTJOIN("; ",TRUE,D266,F266))</f>
        <v>#NAME?</v>
      </c>
      <c r="I266" s="3">
        <v>11</v>
      </c>
      <c r="J266" s="3"/>
      <c r="K266" s="3">
        <v>105</v>
      </c>
      <c r="L266" s="3"/>
      <c r="M266" s="3">
        <f t="shared" si="13"/>
        <v>1155</v>
      </c>
      <c r="N266" s="3" t="e">
        <f ca="1">IF(_xludf.TEXTJOIN("; ",TRUE,J266,L266)="","",_xludf.TEXTJOIN("; ",TRUE,J266,L266))</f>
        <v>#NAME?</v>
      </c>
      <c r="O266" s="3">
        <v>11</v>
      </c>
      <c r="P266" s="3"/>
      <c r="Q266" s="3">
        <v>102</v>
      </c>
      <c r="R266" s="3"/>
      <c r="S266" s="3">
        <f t="shared" si="14"/>
        <v>1122</v>
      </c>
      <c r="T266" s="3" t="e">
        <f ca="1">IF(_xludf.TEXTJOIN("; ",TRUE,P266,R266)="","",_xludf.TEXTJOIN("; ",TRUE,P266,R266))</f>
        <v>#NAME?</v>
      </c>
    </row>
    <row r="267" spans="1:20">
      <c r="A267" t="s">
        <v>534</v>
      </c>
      <c r="B267" t="s">
        <v>535</v>
      </c>
      <c r="C267" s="3">
        <v>8</v>
      </c>
      <c r="D267" s="3"/>
      <c r="E267" s="3">
        <v>25</v>
      </c>
      <c r="F267" s="3"/>
      <c r="G267" s="3">
        <f t="shared" si="12"/>
        <v>200</v>
      </c>
      <c r="H267" s="3" t="e">
        <f ca="1">IF(_xludf.TEXTJOIN("; ",TRUE,D267,F267)="","",_xludf.TEXTJOIN("; ",TRUE,D267,F267))</f>
        <v>#NAME?</v>
      </c>
      <c r="I267" s="3">
        <v>9</v>
      </c>
      <c r="J267" s="3"/>
      <c r="K267" s="3">
        <v>30</v>
      </c>
      <c r="L267" s="3"/>
      <c r="M267" s="3">
        <f t="shared" si="13"/>
        <v>270</v>
      </c>
      <c r="N267" s="3" t="e">
        <f ca="1">IF(_xludf.TEXTJOIN("; ",TRUE,J267,L267)="","",_xludf.TEXTJOIN("; ",TRUE,J267,L267))</f>
        <v>#NAME?</v>
      </c>
      <c r="O267" s="3">
        <v>9</v>
      </c>
      <c r="P267" s="3"/>
      <c r="Q267" s="3">
        <v>27</v>
      </c>
      <c r="R267" s="3"/>
      <c r="S267" s="3">
        <f t="shared" si="14"/>
        <v>243</v>
      </c>
      <c r="T267" s="3" t="e">
        <f ca="1">IF(_xludf.TEXTJOIN("; ",TRUE,P267,R267)="","",_xludf.TEXTJOIN("; ",TRUE,P267,R267))</f>
        <v>#NAME?</v>
      </c>
    </row>
    <row r="268" spans="1:20">
      <c r="A268" t="s">
        <v>536</v>
      </c>
      <c r="B268" t="s">
        <v>537</v>
      </c>
      <c r="C268" s="3">
        <v>16</v>
      </c>
      <c r="D268" s="3"/>
      <c r="E268" s="3">
        <v>42</v>
      </c>
      <c r="F268" s="3"/>
      <c r="G268" s="3">
        <f t="shared" si="12"/>
        <v>672</v>
      </c>
      <c r="H268" s="3" t="e">
        <f ca="1">IF(_xludf.TEXTJOIN("; ",TRUE,D268,F268)="","",_xludf.TEXTJOIN("; ",TRUE,D268,F268))</f>
        <v>#NAME?</v>
      </c>
      <c r="I268" s="3">
        <v>15</v>
      </c>
      <c r="J268" s="3"/>
      <c r="K268" s="3">
        <v>43</v>
      </c>
      <c r="L268" s="3"/>
      <c r="M268" s="3">
        <f t="shared" si="13"/>
        <v>645</v>
      </c>
      <c r="N268" s="3" t="e">
        <f ca="1">IF(_xludf.TEXTJOIN("; ",TRUE,J268,L268)="","",_xludf.TEXTJOIN("; ",TRUE,J268,L268))</f>
        <v>#NAME?</v>
      </c>
      <c r="O268" s="3">
        <v>16</v>
      </c>
      <c r="P268" s="3"/>
      <c r="Q268" s="3">
        <v>40</v>
      </c>
      <c r="R268" s="3"/>
      <c r="S268" s="3">
        <f t="shared" si="14"/>
        <v>640</v>
      </c>
      <c r="T268" s="3" t="e">
        <f ca="1">IF(_xludf.TEXTJOIN("; ",TRUE,P268,R268)="","",_xludf.TEXTJOIN("; ",TRUE,P268,R268))</f>
        <v>#NAME?</v>
      </c>
    </row>
    <row r="269" spans="1:20">
      <c r="A269" t="s">
        <v>538</v>
      </c>
      <c r="B269" t="s">
        <v>539</v>
      </c>
      <c r="C269" s="3">
        <v>7</v>
      </c>
      <c r="D269" s="3"/>
      <c r="E269" s="3">
        <v>28</v>
      </c>
      <c r="F269" s="3"/>
      <c r="G269" s="3">
        <f t="shared" si="12"/>
        <v>196</v>
      </c>
      <c r="H269" s="3" t="e">
        <f ca="1">IF(_xludf.TEXTJOIN("; ",TRUE,D269,F269)="","",_xludf.TEXTJOIN("; ",TRUE,D269,F269))</f>
        <v>#NAME?</v>
      </c>
      <c r="I269" s="3">
        <v>7</v>
      </c>
      <c r="J269" s="3"/>
      <c r="K269" s="3">
        <v>32</v>
      </c>
      <c r="L269" s="3"/>
      <c r="M269" s="3">
        <f t="shared" si="13"/>
        <v>224</v>
      </c>
      <c r="N269" s="3" t="e">
        <f ca="1">IF(_xludf.TEXTJOIN("; ",TRUE,J269,L269)="","",_xludf.TEXTJOIN("; ",TRUE,J269,L269))</f>
        <v>#NAME?</v>
      </c>
      <c r="O269" s="3">
        <v>7</v>
      </c>
      <c r="P269" s="3"/>
      <c r="Q269" s="3">
        <v>35</v>
      </c>
      <c r="R269" s="3"/>
      <c r="S269" s="3">
        <f t="shared" si="14"/>
        <v>245</v>
      </c>
      <c r="T269" s="3" t="e">
        <f ca="1">IF(_xludf.TEXTJOIN("; ",TRUE,P269,R269)="","",_xludf.TEXTJOIN("; ",TRUE,P269,R269))</f>
        <v>#NAME?</v>
      </c>
    </row>
    <row r="270" spans="1:20">
      <c r="A270" t="s">
        <v>540</v>
      </c>
      <c r="B270" t="s">
        <v>541</v>
      </c>
      <c r="C270" s="3">
        <v>20</v>
      </c>
      <c r="D270" s="3"/>
      <c r="E270" s="3">
        <v>269</v>
      </c>
      <c r="F270" s="3"/>
      <c r="G270" s="3">
        <f t="shared" si="12"/>
        <v>5380</v>
      </c>
      <c r="H270" s="3" t="e">
        <f ca="1">IF(_xludf.TEXTJOIN("; ",TRUE,D270,F270)="","",_xludf.TEXTJOIN("; ",TRUE,D270,F270))</f>
        <v>#NAME?</v>
      </c>
      <c r="I270" s="3">
        <v>20</v>
      </c>
      <c r="J270" s="3"/>
      <c r="K270" s="3">
        <v>288</v>
      </c>
      <c r="L270" s="3"/>
      <c r="M270" s="3">
        <f t="shared" si="13"/>
        <v>5760</v>
      </c>
      <c r="N270" s="3" t="e">
        <f ca="1">IF(_xludf.TEXTJOIN("; ",TRUE,J270,L270)="","",_xludf.TEXTJOIN("; ",TRUE,J270,L270))</f>
        <v>#NAME?</v>
      </c>
      <c r="O270" s="3">
        <v>20</v>
      </c>
      <c r="P270" s="3"/>
      <c r="Q270" s="3">
        <v>283</v>
      </c>
      <c r="R270" s="3"/>
      <c r="S270" s="3">
        <f t="shared" si="14"/>
        <v>5660</v>
      </c>
      <c r="T270" s="3" t="e">
        <f ca="1">IF(_xludf.TEXTJOIN("; ",TRUE,P270,R270)="","",_xludf.TEXTJOIN("; ",TRUE,P270,R270))</f>
        <v>#NAME?</v>
      </c>
    </row>
    <row r="271" spans="1:20">
      <c r="A271" t="s">
        <v>542</v>
      </c>
      <c r="B271" t="s">
        <v>543</v>
      </c>
      <c r="C271" s="3">
        <v>35</v>
      </c>
      <c r="D271" s="3"/>
      <c r="E271" s="3">
        <v>82</v>
      </c>
      <c r="F271" s="3"/>
      <c r="G271" s="3">
        <f t="shared" si="12"/>
        <v>2870</v>
      </c>
      <c r="H271" s="3" t="e">
        <f ca="1">IF(_xludf.TEXTJOIN("; ",TRUE,D271,F271)="","",_xludf.TEXTJOIN("; ",TRUE,D271,F271))</f>
        <v>#NAME?</v>
      </c>
      <c r="I271" s="3">
        <v>35</v>
      </c>
      <c r="J271" s="3"/>
      <c r="K271" s="3">
        <v>88</v>
      </c>
      <c r="L271" s="3"/>
      <c r="M271" s="3">
        <f t="shared" si="13"/>
        <v>3080</v>
      </c>
      <c r="N271" s="3" t="e">
        <f ca="1">IF(_xludf.TEXTJOIN("; ",TRUE,J271,L271)="","",_xludf.TEXTJOIN("; ",TRUE,J271,L271))</f>
        <v>#NAME?</v>
      </c>
      <c r="O271" s="3">
        <v>36</v>
      </c>
      <c r="P271" s="3"/>
      <c r="Q271" s="3">
        <v>89</v>
      </c>
      <c r="R271" s="3"/>
      <c r="S271" s="3">
        <f t="shared" si="14"/>
        <v>3204</v>
      </c>
      <c r="T271" s="3" t="e">
        <f ca="1">IF(_xludf.TEXTJOIN("; ",TRUE,P271,R271)="","",_xludf.TEXTJOIN("; ",TRUE,P271,R271))</f>
        <v>#NAME?</v>
      </c>
    </row>
    <row r="272" spans="1:20">
      <c r="A272" t="s">
        <v>544</v>
      </c>
      <c r="B272" t="s">
        <v>545</v>
      </c>
      <c r="C272" s="3">
        <v>10</v>
      </c>
      <c r="D272" s="3"/>
      <c r="E272" s="3">
        <v>166</v>
      </c>
      <c r="F272" s="3"/>
      <c r="G272" s="3">
        <f t="shared" si="12"/>
        <v>1660</v>
      </c>
      <c r="H272" s="3" t="e">
        <f ca="1">IF(_xludf.TEXTJOIN("; ",TRUE,D272,F272)="","",_xludf.TEXTJOIN("; ",TRUE,D272,F272))</f>
        <v>#NAME?</v>
      </c>
      <c r="I272" s="3">
        <v>10</v>
      </c>
      <c r="J272" s="3"/>
      <c r="K272" s="3">
        <v>181</v>
      </c>
      <c r="L272" s="3"/>
      <c r="M272" s="3">
        <f t="shared" si="13"/>
        <v>1810</v>
      </c>
      <c r="N272" s="3" t="e">
        <f ca="1">IF(_xludf.TEXTJOIN("; ",TRUE,J272,L272)="","",_xludf.TEXTJOIN("; ",TRUE,J272,L272))</f>
        <v>#NAME?</v>
      </c>
      <c r="O272" s="3">
        <v>10</v>
      </c>
      <c r="P272" s="3"/>
      <c r="Q272" s="3">
        <v>178</v>
      </c>
      <c r="R272" s="3"/>
      <c r="S272" s="3">
        <f t="shared" si="14"/>
        <v>1780</v>
      </c>
      <c r="T272" s="3" t="e">
        <f ca="1">IF(_xludf.TEXTJOIN("; ",TRUE,P272,R272)="","",_xludf.TEXTJOIN("; ",TRUE,P272,R272))</f>
        <v>#NAME?</v>
      </c>
    </row>
    <row r="273" spans="1:20">
      <c r="A273" t="s">
        <v>546</v>
      </c>
      <c r="B273" t="s">
        <v>547</v>
      </c>
      <c r="C273" s="3">
        <v>40</v>
      </c>
      <c r="D273" s="3"/>
      <c r="E273" s="3">
        <v>21</v>
      </c>
      <c r="F273" s="3"/>
      <c r="G273" s="3">
        <f t="shared" si="12"/>
        <v>840</v>
      </c>
      <c r="H273" s="3" t="e">
        <f ca="1">IF(_xludf.TEXTJOIN("; ",TRUE,D273,F273)="","",_xludf.TEXTJOIN("; ",TRUE,D273,F273))</f>
        <v>#NAME?</v>
      </c>
      <c r="I273" s="3">
        <v>42</v>
      </c>
      <c r="J273" s="3"/>
      <c r="K273" s="3">
        <v>19</v>
      </c>
      <c r="L273" s="3"/>
      <c r="M273" s="3">
        <f t="shared" si="13"/>
        <v>798</v>
      </c>
      <c r="N273" s="3" t="e">
        <f ca="1">IF(_xludf.TEXTJOIN("; ",TRUE,J273,L273)="","",_xludf.TEXTJOIN("; ",TRUE,J273,L273))</f>
        <v>#NAME?</v>
      </c>
      <c r="O273" s="3">
        <v>45</v>
      </c>
      <c r="P273" s="3"/>
      <c r="Q273" s="3">
        <v>16</v>
      </c>
      <c r="R273" s="3"/>
      <c r="S273" s="3">
        <f t="shared" si="14"/>
        <v>720</v>
      </c>
      <c r="T273" s="3" t="e">
        <f ca="1">IF(_xludf.TEXTJOIN("; ",TRUE,P273,R273)="","",_xludf.TEXTJOIN("; ",TRUE,P273,R273))</f>
        <v>#NAME?</v>
      </c>
    </row>
    <row r="274" spans="1:20">
      <c r="A274" t="s">
        <v>548</v>
      </c>
      <c r="B274" t="s">
        <v>549</v>
      </c>
      <c r="C274" s="3">
        <v>11</v>
      </c>
      <c r="D274" s="3"/>
      <c r="E274" s="3">
        <v>304</v>
      </c>
      <c r="F274" s="3"/>
      <c r="G274" s="3">
        <f t="shared" si="12"/>
        <v>3344</v>
      </c>
      <c r="H274" s="3" t="e">
        <f ca="1">IF(_xludf.TEXTJOIN("; ",TRUE,D274,F274)="","",_xludf.TEXTJOIN("; ",TRUE,D274,F274))</f>
        <v>#NAME?</v>
      </c>
      <c r="I274" s="3">
        <v>11</v>
      </c>
      <c r="J274" s="3"/>
      <c r="K274" s="3">
        <v>320</v>
      </c>
      <c r="L274" s="3"/>
      <c r="M274" s="3">
        <f t="shared" si="13"/>
        <v>3520</v>
      </c>
      <c r="N274" s="3" t="e">
        <f ca="1">IF(_xludf.TEXTJOIN("; ",TRUE,J274,L274)="","",_xludf.TEXTJOIN("; ",TRUE,J274,L274))</f>
        <v>#NAME?</v>
      </c>
      <c r="O274" s="3">
        <v>10</v>
      </c>
      <c r="P274" s="3"/>
      <c r="Q274" s="3">
        <v>331</v>
      </c>
      <c r="R274" s="3"/>
      <c r="S274" s="3">
        <f t="shared" si="14"/>
        <v>3310</v>
      </c>
      <c r="T274" s="3" t="e">
        <f ca="1">IF(_xludf.TEXTJOIN("; ",TRUE,P274,R274)="","",_xludf.TEXTJOIN("; ",TRUE,P274,R274))</f>
        <v>#NAME?</v>
      </c>
    </row>
    <row r="275" spans="1:20">
      <c r="A275" t="s">
        <v>550</v>
      </c>
      <c r="B275" t="s">
        <v>551</v>
      </c>
      <c r="C275" s="3">
        <v>8</v>
      </c>
      <c r="D275" s="3"/>
      <c r="E275" s="3">
        <v>71</v>
      </c>
      <c r="F275" s="3"/>
      <c r="G275" s="3">
        <f t="shared" si="12"/>
        <v>568</v>
      </c>
      <c r="H275" s="3" t="e">
        <f ca="1">IF(_xludf.TEXTJOIN("; ",TRUE,D275,F275)="","",_xludf.TEXTJOIN("; ",TRUE,D275,F275))</f>
        <v>#NAME?</v>
      </c>
      <c r="I275" s="3" t="s">
        <v>43</v>
      </c>
      <c r="J275" s="3"/>
      <c r="K275" s="3" t="s">
        <v>43</v>
      </c>
      <c r="L275" s="3"/>
      <c r="M275" s="3" t="str">
        <f t="shared" si="13"/>
        <v/>
      </c>
      <c r="N275" s="3" t="e">
        <f ca="1">IF(_xludf.TEXTJOIN("; ",TRUE,J275,L275)="","",_xludf.TEXTJOIN("; ",TRUE,J275,L275))</f>
        <v>#NAME?</v>
      </c>
      <c r="O275" s="3" t="s">
        <v>43</v>
      </c>
      <c r="P275" s="3"/>
      <c r="Q275" s="3" t="s">
        <v>43</v>
      </c>
      <c r="R275" s="3"/>
      <c r="S275" s="3" t="str">
        <f t="shared" si="14"/>
        <v/>
      </c>
      <c r="T275" s="3" t="e">
        <f ca="1">IF(_xludf.TEXTJOIN("; ",TRUE,P275,R275)="","",_xludf.TEXTJOIN("; ",TRUE,P275,R275))</f>
        <v>#NAME?</v>
      </c>
    </row>
    <row r="276" spans="1:20">
      <c r="A276" t="s">
        <v>552</v>
      </c>
      <c r="B276" t="s">
        <v>553</v>
      </c>
      <c r="C276" s="3">
        <v>8</v>
      </c>
      <c r="D276" s="3"/>
      <c r="E276" s="3">
        <v>91</v>
      </c>
      <c r="F276" s="3"/>
      <c r="G276" s="3">
        <f t="shared" si="12"/>
        <v>728</v>
      </c>
      <c r="H276" s="3" t="e">
        <f ca="1">IF(_xludf.TEXTJOIN("; ",TRUE,D276,F276)="","",_xludf.TEXTJOIN("; ",TRUE,D276,F276))</f>
        <v>#NAME?</v>
      </c>
      <c r="I276" s="3">
        <v>8</v>
      </c>
      <c r="J276" s="3"/>
      <c r="K276" s="3">
        <v>93</v>
      </c>
      <c r="L276" s="3"/>
      <c r="M276" s="3">
        <f t="shared" si="13"/>
        <v>744</v>
      </c>
      <c r="N276" s="3" t="e">
        <f ca="1">IF(_xludf.TEXTJOIN("; ",TRUE,J276,L276)="","",_xludf.TEXTJOIN("; ",TRUE,J276,L276))</f>
        <v>#NAME?</v>
      </c>
      <c r="O276" s="3">
        <v>7</v>
      </c>
      <c r="P276" s="3"/>
      <c r="Q276" s="3">
        <v>98</v>
      </c>
      <c r="R276" s="3"/>
      <c r="S276" s="3">
        <f t="shared" si="14"/>
        <v>686</v>
      </c>
      <c r="T276" s="3" t="e">
        <f ca="1">IF(_xludf.TEXTJOIN("; ",TRUE,P276,R276)="","",_xludf.TEXTJOIN("; ",TRUE,P276,R276))</f>
        <v>#NAME?</v>
      </c>
    </row>
    <row r="277" spans="1:20">
      <c r="A277" t="s">
        <v>554</v>
      </c>
      <c r="B277" t="s">
        <v>555</v>
      </c>
      <c r="C277" s="3">
        <v>15</v>
      </c>
      <c r="D277" s="3"/>
      <c r="E277" s="3">
        <v>117</v>
      </c>
      <c r="F277" s="3"/>
      <c r="G277" s="3">
        <f t="shared" si="12"/>
        <v>1755</v>
      </c>
      <c r="H277" s="3" t="e">
        <f ca="1">IF(_xludf.TEXTJOIN("; ",TRUE,D277,F277)="","",_xludf.TEXTJOIN("; ",TRUE,D277,F277))</f>
        <v>#NAME?</v>
      </c>
      <c r="I277" s="3" t="s">
        <v>43</v>
      </c>
      <c r="J277" s="3"/>
      <c r="K277" s="3" t="s">
        <v>43</v>
      </c>
      <c r="L277" s="3"/>
      <c r="M277" s="3" t="str">
        <f t="shared" si="13"/>
        <v/>
      </c>
      <c r="N277" s="3" t="e">
        <f ca="1">IF(_xludf.TEXTJOIN("; ",TRUE,J277,L277)="","",_xludf.TEXTJOIN("; ",TRUE,J277,L277))</f>
        <v>#NAME?</v>
      </c>
      <c r="O277" s="3" t="s">
        <v>43</v>
      </c>
      <c r="P277" s="3"/>
      <c r="Q277" s="3" t="s">
        <v>43</v>
      </c>
      <c r="R277" s="3"/>
      <c r="S277" s="3" t="str">
        <f t="shared" si="14"/>
        <v/>
      </c>
      <c r="T277" s="3" t="e">
        <f ca="1">IF(_xludf.TEXTJOIN("; ",TRUE,P277,R277)="","",_xludf.TEXTJOIN("; ",TRUE,P277,R277))</f>
        <v>#NAME?</v>
      </c>
    </row>
    <row r="278" spans="1:20">
      <c r="A278" t="s">
        <v>556</v>
      </c>
      <c r="B278" t="s">
        <v>557</v>
      </c>
      <c r="C278" s="3">
        <v>10</v>
      </c>
      <c r="D278" s="3"/>
      <c r="E278" s="3">
        <v>25</v>
      </c>
      <c r="F278" s="3"/>
      <c r="G278" s="3">
        <f t="shared" si="12"/>
        <v>250</v>
      </c>
      <c r="H278" s="3" t="e">
        <f ca="1">IF(_xludf.TEXTJOIN("; ",TRUE,D278,F278)="","",_xludf.TEXTJOIN("; ",TRUE,D278,F278))</f>
        <v>#NAME?</v>
      </c>
      <c r="I278" s="3">
        <v>11</v>
      </c>
      <c r="J278" s="3"/>
      <c r="K278" s="3">
        <v>25</v>
      </c>
      <c r="L278" s="3"/>
      <c r="M278" s="3">
        <f t="shared" si="13"/>
        <v>275</v>
      </c>
      <c r="N278" s="3" t="e">
        <f ca="1">IF(_xludf.TEXTJOIN("; ",TRUE,J278,L278)="","",_xludf.TEXTJOIN("; ",TRUE,J278,L278))</f>
        <v>#NAME?</v>
      </c>
      <c r="O278" s="3">
        <v>10</v>
      </c>
      <c r="P278" s="3"/>
      <c r="Q278" s="3">
        <v>25</v>
      </c>
      <c r="R278" s="3"/>
      <c r="S278" s="3">
        <f t="shared" si="14"/>
        <v>250</v>
      </c>
      <c r="T278" s="3" t="e">
        <f ca="1">IF(_xludf.TEXTJOIN("; ",TRUE,P278,R278)="","",_xludf.TEXTJOIN("; ",TRUE,P278,R278))</f>
        <v>#NAME?</v>
      </c>
    </row>
    <row r="279" spans="1:20">
      <c r="A279" t="s">
        <v>558</v>
      </c>
      <c r="B279" t="s">
        <v>559</v>
      </c>
      <c r="C279" s="3" t="s">
        <v>43</v>
      </c>
      <c r="D279" s="3"/>
      <c r="E279" s="3" t="s">
        <v>43</v>
      </c>
      <c r="F279" s="3"/>
      <c r="G279" s="3" t="str">
        <f t="shared" si="12"/>
        <v/>
      </c>
      <c r="H279" s="3" t="e">
        <f ca="1">IF(_xludf.TEXTJOIN("; ",TRUE,D279,F279)="","",_xludf.TEXTJOIN("; ",TRUE,D279,F279))</f>
        <v>#NAME?</v>
      </c>
      <c r="I279" s="3">
        <v>8</v>
      </c>
      <c r="J279" s="3"/>
      <c r="K279" s="3">
        <v>66</v>
      </c>
      <c r="L279" s="3"/>
      <c r="M279" s="3">
        <f t="shared" si="13"/>
        <v>528</v>
      </c>
      <c r="N279" s="3" t="e">
        <f ca="1">IF(_xludf.TEXTJOIN("; ",TRUE,J279,L279)="","",_xludf.TEXTJOIN("; ",TRUE,J279,L279))</f>
        <v>#NAME?</v>
      </c>
      <c r="O279" s="3">
        <v>8</v>
      </c>
      <c r="P279" s="3"/>
      <c r="Q279" s="3">
        <v>72</v>
      </c>
      <c r="R279" s="3"/>
      <c r="S279" s="3">
        <f t="shared" si="14"/>
        <v>576</v>
      </c>
      <c r="T279" s="3" t="e">
        <f ca="1">IF(_xludf.TEXTJOIN("; ",TRUE,P279,R279)="","",_xludf.TEXTJOIN("; ",TRUE,P279,R279))</f>
        <v>#NAME?</v>
      </c>
    </row>
    <row r="280" spans="1:20">
      <c r="A280" t="s">
        <v>560</v>
      </c>
      <c r="B280" t="s">
        <v>561</v>
      </c>
      <c r="C280" s="3" t="s">
        <v>43</v>
      </c>
      <c r="D280" s="3"/>
      <c r="E280" s="3" t="s">
        <v>43</v>
      </c>
      <c r="F280" s="3"/>
      <c r="G280" s="3" t="str">
        <f t="shared" si="12"/>
        <v/>
      </c>
      <c r="H280" s="3" t="e">
        <f ca="1">IF(_xludf.TEXTJOIN("; ",TRUE,D280,F280)="","",_xludf.TEXTJOIN("; ",TRUE,D280,F280))</f>
        <v>#NAME?</v>
      </c>
      <c r="I280" s="3">
        <v>14</v>
      </c>
      <c r="J280" s="3"/>
      <c r="K280" s="3">
        <v>136</v>
      </c>
      <c r="L280" s="3"/>
      <c r="M280" s="3">
        <f t="shared" si="13"/>
        <v>1904</v>
      </c>
      <c r="N280" s="3" t="e">
        <f ca="1">IF(_xludf.TEXTJOIN("; ",TRUE,J280,L280)="","",_xludf.TEXTJOIN("; ",TRUE,J280,L280))</f>
        <v>#NAME?</v>
      </c>
      <c r="O280" s="3">
        <v>13</v>
      </c>
      <c r="P280" s="3"/>
      <c r="Q280" s="3">
        <v>136</v>
      </c>
      <c r="R280" s="3"/>
      <c r="S280" s="3">
        <f t="shared" si="14"/>
        <v>1768</v>
      </c>
      <c r="T280" s="3" t="e">
        <f ca="1">IF(_xludf.TEXTJOIN("; ",TRUE,P280,R280)="","",_xludf.TEXTJOIN("; ",TRUE,P280,R280))</f>
        <v>#NAME?</v>
      </c>
    </row>
    <row r="281" spans="1:20">
      <c r="A281" t="s">
        <v>562</v>
      </c>
      <c r="B281" t="s">
        <v>563</v>
      </c>
      <c r="C281" s="3">
        <v>51</v>
      </c>
      <c r="D281" s="3"/>
      <c r="E281" s="3">
        <v>261</v>
      </c>
      <c r="F281" s="3"/>
      <c r="G281" s="3">
        <f t="shared" si="12"/>
        <v>13311</v>
      </c>
      <c r="H281" s="3" t="e">
        <f ca="1">IF(_xludf.TEXTJOIN("; ",TRUE,D281,F281)="","",_xludf.TEXTJOIN("; ",TRUE,D281,F281))</f>
        <v>#NAME?</v>
      </c>
      <c r="I281" s="3">
        <v>48</v>
      </c>
      <c r="J281" s="3"/>
      <c r="K281" s="3">
        <v>272</v>
      </c>
      <c r="L281" s="3"/>
      <c r="M281" s="3">
        <f t="shared" si="13"/>
        <v>13056</v>
      </c>
      <c r="N281" s="3" t="e">
        <f ca="1">IF(_xludf.TEXTJOIN("; ",TRUE,J281,L281)="","",_xludf.TEXTJOIN("; ",TRUE,J281,L281))</f>
        <v>#NAME?</v>
      </c>
      <c r="O281" s="3">
        <v>49</v>
      </c>
      <c r="P281" s="3"/>
      <c r="Q281" s="3">
        <v>268</v>
      </c>
      <c r="R281" s="3"/>
      <c r="S281" s="3">
        <f t="shared" si="14"/>
        <v>13132</v>
      </c>
      <c r="T281" s="3" t="e">
        <f ca="1">IF(_xludf.TEXTJOIN("; ",TRUE,P281,R281)="","",_xludf.TEXTJOIN("; ",TRUE,P281,R281))</f>
        <v>#NAME?</v>
      </c>
    </row>
    <row r="282" spans="1:20">
      <c r="A282" t="s">
        <v>564</v>
      </c>
      <c r="B282" t="s">
        <v>565</v>
      </c>
      <c r="C282" s="3" t="s">
        <v>43</v>
      </c>
      <c r="D282" s="3" t="s">
        <v>44</v>
      </c>
      <c r="E282" s="3">
        <v>213</v>
      </c>
      <c r="F282" s="3"/>
      <c r="G282" s="3" t="str">
        <f t="shared" si="12"/>
        <v/>
      </c>
      <c r="H282" s="3" t="e">
        <f ca="1">IF(_xludf.TEXTJOIN("; ",TRUE,D282,F282)="","",_xludf.TEXTJOIN("; ",TRUE,D282,F282))</f>
        <v>#NAME?</v>
      </c>
      <c r="I282" s="3">
        <v>40</v>
      </c>
      <c r="J282" s="3"/>
      <c r="K282" s="3">
        <v>222</v>
      </c>
      <c r="L282" s="3"/>
      <c r="M282" s="3">
        <f t="shared" si="13"/>
        <v>8880</v>
      </c>
      <c r="N282" s="3" t="e">
        <f ca="1">IF(_xludf.TEXTJOIN("; ",TRUE,J282,L282)="","",_xludf.TEXTJOIN("; ",TRUE,J282,L282))</f>
        <v>#NAME?</v>
      </c>
      <c r="O282" s="3">
        <v>43</v>
      </c>
      <c r="P282" s="3"/>
      <c r="Q282" s="3">
        <v>210</v>
      </c>
      <c r="R282" s="3"/>
      <c r="S282" s="3">
        <f t="shared" si="14"/>
        <v>9030</v>
      </c>
      <c r="T282" s="3" t="e">
        <f ca="1">IF(_xludf.TEXTJOIN("; ",TRUE,P282,R282)="","",_xludf.TEXTJOIN("; ",TRUE,P282,R282))</f>
        <v>#NAME?</v>
      </c>
    </row>
    <row r="283" spans="1:20">
      <c r="A283" t="s">
        <v>566</v>
      </c>
      <c r="B283" t="s">
        <v>567</v>
      </c>
      <c r="C283" s="3" t="s">
        <v>43</v>
      </c>
      <c r="D283" s="3" t="s">
        <v>44</v>
      </c>
      <c r="E283" s="3">
        <v>48</v>
      </c>
      <c r="F283" s="3"/>
      <c r="G283" s="3" t="str">
        <f t="shared" si="12"/>
        <v/>
      </c>
      <c r="H283" s="3" t="e">
        <f ca="1">IF(_xludf.TEXTJOIN("; ",TRUE,D283,F283)="","",_xludf.TEXTJOIN("; ",TRUE,D283,F283))</f>
        <v>#NAME?</v>
      </c>
      <c r="I283" s="3">
        <v>85</v>
      </c>
      <c r="J283" s="3"/>
      <c r="K283" s="3">
        <v>50</v>
      </c>
      <c r="L283" s="3"/>
      <c r="M283" s="3">
        <f t="shared" si="13"/>
        <v>4250</v>
      </c>
      <c r="N283" s="3" t="e">
        <f ca="1">IF(_xludf.TEXTJOIN("; ",TRUE,J283,L283)="","",_xludf.TEXTJOIN("; ",TRUE,J283,L283))</f>
        <v>#NAME?</v>
      </c>
      <c r="O283" s="3">
        <v>70</v>
      </c>
      <c r="P283" s="3"/>
      <c r="Q283" s="3">
        <v>58</v>
      </c>
      <c r="R283" s="3"/>
      <c r="S283" s="3">
        <f t="shared" si="14"/>
        <v>4060</v>
      </c>
      <c r="T283" s="3" t="e">
        <f ca="1">IF(_xludf.TEXTJOIN("; ",TRUE,P283,R283)="","",_xludf.TEXTJOIN("; ",TRUE,P283,R283))</f>
        <v>#NAME?</v>
      </c>
    </row>
    <row r="284" spans="1:20">
      <c r="A284" t="s">
        <v>568</v>
      </c>
      <c r="B284" t="s">
        <v>68</v>
      </c>
      <c r="C284" s="3" t="s">
        <v>43</v>
      </c>
      <c r="D284" s="3"/>
      <c r="E284" s="3">
        <v>21</v>
      </c>
      <c r="F284" s="3"/>
      <c r="G284" s="3" t="str">
        <f t="shared" si="12"/>
        <v/>
      </c>
      <c r="H284" s="3" t="e">
        <f ca="1">IF(_xludf.TEXTJOIN("; ",TRUE,D284,F284)="","",_xludf.TEXTJOIN("; ",TRUE,D284,F284))</f>
        <v>#NAME?</v>
      </c>
      <c r="I284" s="3" t="s">
        <v>43</v>
      </c>
      <c r="J284" s="3"/>
      <c r="K284" s="3">
        <v>18</v>
      </c>
      <c r="L284" s="3"/>
      <c r="M284" s="3" t="str">
        <f t="shared" si="13"/>
        <v/>
      </c>
      <c r="N284" s="3" t="e">
        <f ca="1">IF(_xludf.TEXTJOIN("; ",TRUE,J284,L284)="","",_xludf.TEXTJOIN("; ",TRUE,J284,L284))</f>
        <v>#NAME?</v>
      </c>
      <c r="O284" s="3" t="s">
        <v>43</v>
      </c>
      <c r="P284" s="3"/>
      <c r="Q284" s="3">
        <v>13</v>
      </c>
      <c r="R284" s="3"/>
      <c r="S284" s="3" t="str">
        <f t="shared" si="14"/>
        <v/>
      </c>
      <c r="T284" s="3" t="e">
        <f ca="1">IF(_xludf.TEXTJOIN("; ",TRUE,P284,R284)="","",_xludf.TEXTJOIN("; ",TRUE,P284,R284))</f>
        <v>#NAME?</v>
      </c>
    </row>
    <row r="285" spans="1:20">
      <c r="A285" t="s">
        <v>569</v>
      </c>
      <c r="B285" t="s">
        <v>70</v>
      </c>
      <c r="C285" s="3" t="s">
        <v>43</v>
      </c>
      <c r="D285" s="3"/>
      <c r="E285" s="3">
        <v>21</v>
      </c>
      <c r="F285" s="3"/>
      <c r="G285" s="3" t="str">
        <f t="shared" si="12"/>
        <v/>
      </c>
      <c r="H285" s="3" t="e">
        <f ca="1">IF(_xludf.TEXTJOIN("; ",TRUE,D285,F285)="","",_xludf.TEXTJOIN("; ",TRUE,D285,F285))</f>
        <v>#NAME?</v>
      </c>
      <c r="I285" s="3" t="s">
        <v>43</v>
      </c>
      <c r="J285" s="3"/>
      <c r="K285" s="3">
        <v>18</v>
      </c>
      <c r="L285" s="3"/>
      <c r="M285" s="3" t="str">
        <f t="shared" si="13"/>
        <v/>
      </c>
      <c r="N285" s="3" t="e">
        <f ca="1">IF(_xludf.TEXTJOIN("; ",TRUE,J285,L285)="","",_xludf.TEXTJOIN("; ",TRUE,J285,L285))</f>
        <v>#NAME?</v>
      </c>
      <c r="O285" s="3" t="s">
        <v>43</v>
      </c>
      <c r="P285" s="3"/>
      <c r="Q285" s="3">
        <v>13</v>
      </c>
      <c r="R285" s="3"/>
      <c r="S285" s="3" t="str">
        <f t="shared" si="14"/>
        <v/>
      </c>
      <c r="T285" s="3" t="e">
        <f ca="1">IF(_xludf.TEXTJOIN("; ",TRUE,P285,R285)="","",_xludf.TEXTJOIN("; ",TRUE,P285,R285))</f>
        <v>#NAME?</v>
      </c>
    </row>
    <row r="286" spans="1:20">
      <c r="A286" t="s">
        <v>570</v>
      </c>
      <c r="B286" t="s">
        <v>571</v>
      </c>
      <c r="C286" s="3">
        <v>109</v>
      </c>
      <c r="D286" s="3" t="s">
        <v>334</v>
      </c>
      <c r="E286" s="3">
        <v>315</v>
      </c>
      <c r="F286" s="3" t="s">
        <v>334</v>
      </c>
      <c r="G286" s="3">
        <f t="shared" si="12"/>
        <v>34335</v>
      </c>
      <c r="H286" s="3" t="e">
        <f ca="1">IF(_xludf.TEXTJOIN("; ",TRUE,D286,F286)="","",_xludf.TEXTJOIN("; ",TRUE,D286,F286))</f>
        <v>#NAME?</v>
      </c>
      <c r="I286" s="3">
        <v>110</v>
      </c>
      <c r="J286" s="3"/>
      <c r="K286" s="3">
        <v>323</v>
      </c>
      <c r="L286" s="3"/>
      <c r="M286" s="3">
        <f t="shared" si="13"/>
        <v>35530</v>
      </c>
      <c r="N286" s="3" t="e">
        <f ca="1">IF(_xludf.TEXTJOIN("; ",TRUE,J286,L286)="","",_xludf.TEXTJOIN("; ",TRUE,J286,L286))</f>
        <v>#NAME?</v>
      </c>
      <c r="O286" s="3">
        <v>112</v>
      </c>
      <c r="P286" s="3"/>
      <c r="Q286" s="3">
        <v>322</v>
      </c>
      <c r="R286" s="3"/>
      <c r="S286" s="3">
        <f t="shared" si="14"/>
        <v>36064</v>
      </c>
      <c r="T286" s="3" t="e">
        <f ca="1">IF(_xludf.TEXTJOIN("; ",TRUE,P286,R286)="","",_xludf.TEXTJOIN("; ",TRUE,P286,R286))</f>
        <v>#NAME?</v>
      </c>
    </row>
    <row r="287" spans="1:20">
      <c r="A287" t="s">
        <v>572</v>
      </c>
      <c r="B287" t="s">
        <v>573</v>
      </c>
      <c r="C287" s="3">
        <v>66</v>
      </c>
      <c r="D287" s="3" t="s">
        <v>334</v>
      </c>
      <c r="E287" s="3">
        <v>88</v>
      </c>
      <c r="F287" s="3" t="s">
        <v>334</v>
      </c>
      <c r="G287" s="3">
        <f t="shared" si="12"/>
        <v>5808</v>
      </c>
      <c r="H287" s="3" t="e">
        <f ca="1">IF(_xludf.TEXTJOIN("; ",TRUE,D287,F287)="","",_xludf.TEXTJOIN("; ",TRUE,D287,F287))</f>
        <v>#NAME?</v>
      </c>
      <c r="I287" s="3">
        <v>68</v>
      </c>
      <c r="J287" s="3"/>
      <c r="K287" s="3">
        <v>86</v>
      </c>
      <c r="L287" s="3"/>
      <c r="M287" s="3">
        <f t="shared" si="13"/>
        <v>5848</v>
      </c>
      <c r="N287" s="3" t="e">
        <f ca="1">IF(_xludf.TEXTJOIN("; ",TRUE,J287,L287)="","",_xludf.TEXTJOIN("; ",TRUE,J287,L287))</f>
        <v>#NAME?</v>
      </c>
      <c r="O287" s="3">
        <v>71</v>
      </c>
      <c r="P287" s="3"/>
      <c r="Q287" s="3">
        <v>84</v>
      </c>
      <c r="R287" s="3"/>
      <c r="S287" s="3">
        <f t="shared" si="14"/>
        <v>5964</v>
      </c>
      <c r="T287" s="3" t="e">
        <f ca="1">IF(_xludf.TEXTJOIN("; ",TRUE,P287,R287)="","",_xludf.TEXTJOIN("; ",TRUE,P287,R287))</f>
        <v>#NAME?</v>
      </c>
    </row>
    <row r="288" spans="1:20">
      <c r="A288" t="s">
        <v>574</v>
      </c>
      <c r="B288" t="s">
        <v>575</v>
      </c>
      <c r="C288" s="3">
        <v>55</v>
      </c>
      <c r="D288" s="3" t="s">
        <v>334</v>
      </c>
      <c r="E288" s="3">
        <v>12</v>
      </c>
      <c r="F288" s="3" t="s">
        <v>334</v>
      </c>
      <c r="G288" s="3">
        <f t="shared" si="12"/>
        <v>660</v>
      </c>
      <c r="H288" s="3" t="e">
        <f ca="1">IF(_xludf.TEXTJOIN("; ",TRUE,D288,F288)="","",_xludf.TEXTJOIN("; ",TRUE,D288,F288))</f>
        <v>#NAME?</v>
      </c>
      <c r="I288" s="3">
        <v>83</v>
      </c>
      <c r="J288" s="3"/>
      <c r="K288" s="3">
        <v>8</v>
      </c>
      <c r="L288" s="3"/>
      <c r="M288" s="3">
        <f t="shared" si="13"/>
        <v>664</v>
      </c>
      <c r="N288" s="3" t="e">
        <f ca="1">IF(_xludf.TEXTJOIN("; ",TRUE,J288,L288)="","",_xludf.TEXTJOIN("; ",TRUE,J288,L288))</f>
        <v>#NAME?</v>
      </c>
      <c r="O288" s="3">
        <v>86</v>
      </c>
      <c r="P288" s="3"/>
      <c r="Q288" s="3">
        <v>8</v>
      </c>
      <c r="R288" s="3"/>
      <c r="S288" s="3">
        <f t="shared" si="14"/>
        <v>688</v>
      </c>
      <c r="T288" s="3" t="e">
        <f ca="1">IF(_xludf.TEXTJOIN("; ",TRUE,P288,R288)="","",_xludf.TEXTJOIN("; ",TRUE,P288,R288))</f>
        <v>#NAME?</v>
      </c>
    </row>
    <row r="289" spans="1:20">
      <c r="A289" t="s">
        <v>576</v>
      </c>
      <c r="B289" t="s">
        <v>577</v>
      </c>
      <c r="C289" s="3">
        <v>54</v>
      </c>
      <c r="D289" s="3" t="s">
        <v>334</v>
      </c>
      <c r="E289" s="3">
        <v>56</v>
      </c>
      <c r="F289" s="3" t="s">
        <v>334</v>
      </c>
      <c r="G289" s="3">
        <f t="shared" si="12"/>
        <v>3024</v>
      </c>
      <c r="H289" s="3" t="e">
        <f ca="1">IF(_xludf.TEXTJOIN("; ",TRUE,D289,F289)="","",_xludf.TEXTJOIN("; ",TRUE,D289,F289))</f>
        <v>#NAME?</v>
      </c>
      <c r="I289" s="3">
        <v>53</v>
      </c>
      <c r="J289" s="3"/>
      <c r="K289" s="3">
        <v>59</v>
      </c>
      <c r="L289" s="3"/>
      <c r="M289" s="3">
        <f t="shared" si="13"/>
        <v>3127</v>
      </c>
      <c r="N289" s="3" t="e">
        <f ca="1">IF(_xludf.TEXTJOIN("; ",TRUE,J289,L289)="","",_xludf.TEXTJOIN("; ",TRUE,J289,L289))</f>
        <v>#NAME?</v>
      </c>
      <c r="O289" s="3">
        <v>54</v>
      </c>
      <c r="P289" s="3"/>
      <c r="Q289" s="3">
        <v>59</v>
      </c>
      <c r="R289" s="3"/>
      <c r="S289" s="3">
        <f t="shared" si="14"/>
        <v>3186</v>
      </c>
      <c r="T289" s="3" t="e">
        <f ca="1">IF(_xludf.TEXTJOIN("; ",TRUE,P289,R289)="","",_xludf.TEXTJOIN("; ",TRUE,P289,R289))</f>
        <v>#NAME?</v>
      </c>
    </row>
    <row r="290" spans="1:20">
      <c r="A290" t="s">
        <v>578</v>
      </c>
      <c r="B290" t="s">
        <v>579</v>
      </c>
      <c r="C290" s="3">
        <v>106</v>
      </c>
      <c r="D290" s="3" t="s">
        <v>334</v>
      </c>
      <c r="E290" s="3">
        <v>20</v>
      </c>
      <c r="F290" s="3" t="s">
        <v>334</v>
      </c>
      <c r="G290" s="3">
        <f t="shared" si="12"/>
        <v>2120</v>
      </c>
      <c r="H290" s="3" t="e">
        <f ca="1">IF(_xludf.TEXTJOIN("; ",TRUE,D290,F290)="","",_xludf.TEXTJOIN("; ",TRUE,D290,F290))</f>
        <v>#NAME?</v>
      </c>
      <c r="I290" s="3">
        <v>108</v>
      </c>
      <c r="J290" s="3"/>
      <c r="K290" s="3">
        <v>19</v>
      </c>
      <c r="L290" s="3"/>
      <c r="M290" s="3">
        <f t="shared" si="13"/>
        <v>2052</v>
      </c>
      <c r="N290" s="3" t="e">
        <f ca="1">IF(_xludf.TEXTJOIN("; ",TRUE,J290,L290)="","",_xludf.TEXTJOIN("; ",TRUE,J290,L290))</f>
        <v>#NAME?</v>
      </c>
      <c r="O290" s="3">
        <v>123</v>
      </c>
      <c r="P290" s="3"/>
      <c r="Q290" s="3">
        <v>17</v>
      </c>
      <c r="R290" s="3"/>
      <c r="S290" s="3">
        <f t="shared" si="14"/>
        <v>2091</v>
      </c>
      <c r="T290" s="3" t="e">
        <f ca="1">IF(_xludf.TEXTJOIN("; ",TRUE,P290,R290)="","",_xludf.TEXTJOIN("; ",TRUE,P290,R290))</f>
        <v>#NAME?</v>
      </c>
    </row>
    <row r="291" spans="1:20">
      <c r="A291" t="s">
        <v>580</v>
      </c>
      <c r="B291" t="s">
        <v>581</v>
      </c>
      <c r="C291" s="3">
        <v>219</v>
      </c>
      <c r="D291" s="3" t="s">
        <v>334</v>
      </c>
      <c r="E291" s="3">
        <v>66</v>
      </c>
      <c r="F291" s="3" t="s">
        <v>334</v>
      </c>
      <c r="G291" s="3">
        <f t="shared" si="12"/>
        <v>14454</v>
      </c>
      <c r="H291" s="3" t="e">
        <f ca="1">IF(_xludf.TEXTJOIN("; ",TRUE,D291,F291)="","",_xludf.TEXTJOIN("; ",TRUE,D291,F291))</f>
        <v>#NAME?</v>
      </c>
      <c r="I291" s="3">
        <v>209</v>
      </c>
      <c r="J291" s="3"/>
      <c r="K291" s="3">
        <v>69</v>
      </c>
      <c r="L291" s="3"/>
      <c r="M291" s="3">
        <f t="shared" si="13"/>
        <v>14421</v>
      </c>
      <c r="N291" s="3" t="e">
        <f ca="1">IF(_xludf.TEXTJOIN("; ",TRUE,J291,L291)="","",_xludf.TEXTJOIN("; ",TRUE,J291,L291))</f>
        <v>#NAME?</v>
      </c>
      <c r="O291" s="3">
        <v>201</v>
      </c>
      <c r="P291" s="3"/>
      <c r="Q291" s="3">
        <v>73</v>
      </c>
      <c r="R291" s="3"/>
      <c r="S291" s="3">
        <f t="shared" si="14"/>
        <v>14673</v>
      </c>
      <c r="T291" s="3" t="e">
        <f ca="1">IF(_xludf.TEXTJOIN("; ",TRUE,P291,R291)="","",_xludf.TEXTJOIN("; ",TRUE,P291,R291))</f>
        <v>#NAME?</v>
      </c>
    </row>
    <row r="292" spans="1:20">
      <c r="A292" t="s">
        <v>582</v>
      </c>
      <c r="B292" t="s">
        <v>583</v>
      </c>
      <c r="C292" s="3">
        <v>18</v>
      </c>
      <c r="D292" s="3" t="s">
        <v>334</v>
      </c>
      <c r="E292" s="3">
        <v>13</v>
      </c>
      <c r="F292" s="3" t="s">
        <v>334</v>
      </c>
      <c r="G292" s="3">
        <f t="shared" si="12"/>
        <v>234</v>
      </c>
      <c r="H292" s="3" t="e">
        <f ca="1">IF(_xludf.TEXTJOIN("; ",TRUE,D292,F292)="","",_xludf.TEXTJOIN("; ",TRUE,D292,F292))</f>
        <v>#NAME?</v>
      </c>
      <c r="I292" s="3">
        <v>17</v>
      </c>
      <c r="J292" s="3"/>
      <c r="K292" s="3">
        <v>13</v>
      </c>
      <c r="L292" s="3"/>
      <c r="M292" s="3">
        <f t="shared" si="13"/>
        <v>221</v>
      </c>
      <c r="N292" s="3" t="e">
        <f ca="1">IF(_xludf.TEXTJOIN("; ",TRUE,J292,L292)="","",_xludf.TEXTJOIN("; ",TRUE,J292,L292))</f>
        <v>#NAME?</v>
      </c>
      <c r="O292" s="3">
        <v>15</v>
      </c>
      <c r="P292" s="3"/>
      <c r="Q292" s="3">
        <v>15</v>
      </c>
      <c r="R292" s="3"/>
      <c r="S292" s="3">
        <f t="shared" si="14"/>
        <v>225</v>
      </c>
      <c r="T292" s="3" t="e">
        <f ca="1">IF(_xludf.TEXTJOIN("; ",TRUE,P292,R292)="","",_xludf.TEXTJOIN("; ",TRUE,P292,R292))</f>
        <v>#NAME?</v>
      </c>
    </row>
    <row r="293" spans="1:20">
      <c r="A293" t="s">
        <v>584</v>
      </c>
      <c r="B293" t="s">
        <v>585</v>
      </c>
      <c r="C293" s="3">
        <v>268</v>
      </c>
      <c r="D293" s="3" t="s">
        <v>334</v>
      </c>
      <c r="E293" s="3">
        <v>53</v>
      </c>
      <c r="F293" s="3" t="s">
        <v>334</v>
      </c>
      <c r="G293" s="3">
        <f t="shared" si="12"/>
        <v>14204</v>
      </c>
      <c r="H293" s="3" t="e">
        <f ca="1">IF(_xludf.TEXTJOIN("; ",TRUE,D293,F293)="","",_xludf.TEXTJOIN("; ",TRUE,D293,F293))</f>
        <v>#NAME?</v>
      </c>
      <c r="I293" s="3">
        <v>253</v>
      </c>
      <c r="J293" s="3"/>
      <c r="K293" s="3">
        <v>56</v>
      </c>
      <c r="L293" s="3"/>
      <c r="M293" s="3">
        <f t="shared" si="13"/>
        <v>14168</v>
      </c>
      <c r="N293" s="3" t="e">
        <f ca="1">IF(_xludf.TEXTJOIN("; ",TRUE,J293,L293)="","",_xludf.TEXTJOIN("; ",TRUE,J293,L293))</f>
        <v>#NAME?</v>
      </c>
      <c r="O293" s="3">
        <v>250</v>
      </c>
      <c r="P293" s="3"/>
      <c r="Q293" s="3">
        <v>58</v>
      </c>
      <c r="R293" s="3"/>
      <c r="S293" s="3">
        <f t="shared" si="14"/>
        <v>14500</v>
      </c>
      <c r="T293" s="3" t="e">
        <f ca="1">IF(_xludf.TEXTJOIN("; ",TRUE,P293,R293)="","",_xludf.TEXTJOIN("; ",TRUE,P293,R293))</f>
        <v>#NAME?</v>
      </c>
    </row>
    <row r="294" spans="1:20">
      <c r="A294" t="s">
        <v>586</v>
      </c>
      <c r="B294" t="s">
        <v>587</v>
      </c>
      <c r="C294" s="3">
        <v>88</v>
      </c>
      <c r="D294" s="3" t="s">
        <v>334</v>
      </c>
      <c r="E294" s="3">
        <v>161</v>
      </c>
      <c r="F294" s="3" t="s">
        <v>334</v>
      </c>
      <c r="G294" s="3">
        <f t="shared" si="12"/>
        <v>14168</v>
      </c>
      <c r="H294" s="3" t="e">
        <f ca="1">IF(_xludf.TEXTJOIN("; ",TRUE,D294,F294)="","",_xludf.TEXTJOIN("; ",TRUE,D294,F294))</f>
        <v>#NAME?</v>
      </c>
      <c r="I294" s="3">
        <v>91</v>
      </c>
      <c r="J294" s="3"/>
      <c r="K294" s="3">
        <v>168</v>
      </c>
      <c r="L294" s="3"/>
      <c r="M294" s="3">
        <f t="shared" si="13"/>
        <v>15288</v>
      </c>
      <c r="N294" s="3" t="e">
        <f ca="1">IF(_xludf.TEXTJOIN("; ",TRUE,J294,L294)="","",_xludf.TEXTJOIN("; ",TRUE,J294,L294))</f>
        <v>#NAME?</v>
      </c>
      <c r="O294" s="3">
        <v>93</v>
      </c>
      <c r="P294" s="3"/>
      <c r="Q294" s="3">
        <v>165</v>
      </c>
      <c r="R294" s="3"/>
      <c r="S294" s="3">
        <f t="shared" si="14"/>
        <v>15345</v>
      </c>
      <c r="T294" s="3" t="e">
        <f ca="1">IF(_xludf.TEXTJOIN("; ",TRUE,P294,R294)="","",_xludf.TEXTJOIN("; ",TRUE,P294,R294))</f>
        <v>#NAME?</v>
      </c>
    </row>
    <row r="295" spans="1:20">
      <c r="A295" t="s">
        <v>588</v>
      </c>
      <c r="B295" t="s">
        <v>589</v>
      </c>
      <c r="C295" s="3">
        <v>143</v>
      </c>
      <c r="D295" s="3" t="s">
        <v>334</v>
      </c>
      <c r="E295" s="3">
        <v>72</v>
      </c>
      <c r="F295" s="3" t="s">
        <v>334</v>
      </c>
      <c r="G295" s="3">
        <f t="shared" si="12"/>
        <v>10296</v>
      </c>
      <c r="H295" s="3" t="e">
        <f ca="1">IF(_xludf.TEXTJOIN("; ",TRUE,D295,F295)="","",_xludf.TEXTJOIN("; ",TRUE,D295,F295))</f>
        <v>#NAME?</v>
      </c>
      <c r="I295" s="3">
        <v>145</v>
      </c>
      <c r="J295" s="3"/>
      <c r="K295" s="3">
        <v>78</v>
      </c>
      <c r="L295" s="3"/>
      <c r="M295" s="3">
        <f t="shared" si="13"/>
        <v>11310</v>
      </c>
      <c r="N295" s="3" t="e">
        <f ca="1">IF(_xludf.TEXTJOIN("; ",TRUE,J295,L295)="","",_xludf.TEXTJOIN("; ",TRUE,J295,L295))</f>
        <v>#NAME?</v>
      </c>
      <c r="O295" s="3">
        <v>146</v>
      </c>
      <c r="P295" s="3"/>
      <c r="Q295" s="3">
        <v>77</v>
      </c>
      <c r="R295" s="3"/>
      <c r="S295" s="3">
        <f t="shared" si="14"/>
        <v>11242</v>
      </c>
      <c r="T295" s="3" t="e">
        <f ca="1">IF(_xludf.TEXTJOIN("; ",TRUE,P295,R295)="","",_xludf.TEXTJOIN("; ",TRUE,P295,R295))</f>
        <v>#NAME?</v>
      </c>
    </row>
    <row r="296" spans="1:20">
      <c r="A296" t="s">
        <v>590</v>
      </c>
      <c r="B296" t="s">
        <v>591</v>
      </c>
      <c r="C296" s="3">
        <v>38</v>
      </c>
      <c r="D296" s="3" t="s">
        <v>334</v>
      </c>
      <c r="E296" s="3">
        <v>34</v>
      </c>
      <c r="F296" s="3" t="s">
        <v>334</v>
      </c>
      <c r="G296" s="3">
        <f t="shared" si="12"/>
        <v>1292</v>
      </c>
      <c r="H296" s="3" t="e">
        <f ca="1">IF(_xludf.TEXTJOIN("; ",TRUE,D296,F296)="","",_xludf.TEXTJOIN("; ",TRUE,D296,F296))</f>
        <v>#NAME?</v>
      </c>
      <c r="I296" s="3">
        <v>37</v>
      </c>
      <c r="J296" s="3"/>
      <c r="K296" s="3">
        <v>34</v>
      </c>
      <c r="L296" s="3"/>
      <c r="M296" s="3">
        <f t="shared" si="13"/>
        <v>1258</v>
      </c>
      <c r="N296" s="3" t="e">
        <f ca="1">IF(_xludf.TEXTJOIN("; ",TRUE,J296,L296)="","",_xludf.TEXTJOIN("; ",TRUE,J296,L296))</f>
        <v>#NAME?</v>
      </c>
      <c r="O296" s="3">
        <v>40</v>
      </c>
      <c r="P296" s="3"/>
      <c r="Q296" s="3">
        <v>32</v>
      </c>
      <c r="R296" s="3"/>
      <c r="S296" s="3">
        <f t="shared" si="14"/>
        <v>1280</v>
      </c>
      <c r="T296" s="3" t="e">
        <f ca="1">IF(_xludf.TEXTJOIN("; ",TRUE,P296,R296)="","",_xludf.TEXTJOIN("; ",TRUE,P296,R296))</f>
        <v>#NAME?</v>
      </c>
    </row>
    <row r="297" spans="1:20">
      <c r="A297" t="s">
        <v>592</v>
      </c>
      <c r="B297" t="s">
        <v>593</v>
      </c>
      <c r="C297" s="3">
        <v>24</v>
      </c>
      <c r="D297" s="3" t="s">
        <v>334</v>
      </c>
      <c r="E297" s="3">
        <v>31</v>
      </c>
      <c r="F297" s="3" t="s">
        <v>334</v>
      </c>
      <c r="G297" s="3">
        <f t="shared" si="12"/>
        <v>744</v>
      </c>
      <c r="H297" s="3" t="e">
        <f ca="1">IF(_xludf.TEXTJOIN("; ",TRUE,D297,F297)="","",_xludf.TEXTJOIN("; ",TRUE,D297,F297))</f>
        <v>#NAME?</v>
      </c>
      <c r="I297" s="3">
        <v>30</v>
      </c>
      <c r="J297" s="3"/>
      <c r="K297" s="3">
        <v>30</v>
      </c>
      <c r="L297" s="3"/>
      <c r="M297" s="3">
        <f t="shared" si="13"/>
        <v>900</v>
      </c>
      <c r="N297" s="3" t="e">
        <f ca="1">IF(_xludf.TEXTJOIN("; ",TRUE,J297,L297)="","",_xludf.TEXTJOIN("; ",TRUE,J297,L297))</f>
        <v>#NAME?</v>
      </c>
      <c r="O297" s="3">
        <v>29</v>
      </c>
      <c r="P297" s="3"/>
      <c r="Q297" s="3">
        <v>31</v>
      </c>
      <c r="R297" s="3"/>
      <c r="S297" s="3">
        <f t="shared" si="14"/>
        <v>899</v>
      </c>
      <c r="T297" s="3" t="e">
        <f ca="1">IF(_xludf.TEXTJOIN("; ",TRUE,P297,R297)="","",_xludf.TEXTJOIN("; ",TRUE,P297,R297))</f>
        <v>#NAME?</v>
      </c>
    </row>
    <row r="298" spans="1:20">
      <c r="A298" t="s">
        <v>594</v>
      </c>
      <c r="B298" t="s">
        <v>595</v>
      </c>
      <c r="C298" s="3">
        <v>74</v>
      </c>
      <c r="D298" s="3" t="s">
        <v>334</v>
      </c>
      <c r="E298" s="3">
        <v>24</v>
      </c>
      <c r="F298" s="3" t="s">
        <v>334</v>
      </c>
      <c r="G298" s="3">
        <f t="shared" si="12"/>
        <v>1776</v>
      </c>
      <c r="H298" s="3" t="e">
        <f ca="1">IF(_xludf.TEXTJOIN("; ",TRUE,D298,F298)="","",_xludf.TEXTJOIN("; ",TRUE,D298,F298))</f>
        <v>#NAME?</v>
      </c>
      <c r="I298" s="3">
        <v>68</v>
      </c>
      <c r="J298" s="3"/>
      <c r="K298" s="3">
        <v>26</v>
      </c>
      <c r="L298" s="3"/>
      <c r="M298" s="3">
        <f t="shared" si="13"/>
        <v>1768</v>
      </c>
      <c r="N298" s="3" t="e">
        <f ca="1">IF(_xludf.TEXTJOIN("; ",TRUE,J298,L298)="","",_xludf.TEXTJOIN("; ",TRUE,J298,L298))</f>
        <v>#NAME?</v>
      </c>
      <c r="O298" s="3">
        <v>78</v>
      </c>
      <c r="P298" s="3"/>
      <c r="Q298" s="3">
        <v>25</v>
      </c>
      <c r="R298" s="3"/>
      <c r="S298" s="3">
        <f t="shared" si="14"/>
        <v>1950</v>
      </c>
      <c r="T298" s="3" t="e">
        <f ca="1">IF(_xludf.TEXTJOIN("; ",TRUE,P298,R298)="","",_xludf.TEXTJOIN("; ",TRUE,P298,R298))</f>
        <v>#NAME?</v>
      </c>
    </row>
    <row r="299" spans="1:20">
      <c r="A299" t="s">
        <v>596</v>
      </c>
      <c r="B299" t="s">
        <v>68</v>
      </c>
      <c r="C299" s="3" t="s">
        <v>43</v>
      </c>
      <c r="D299" s="3"/>
      <c r="E299" s="3">
        <v>0</v>
      </c>
      <c r="F299" s="3" t="s">
        <v>334</v>
      </c>
      <c r="G299" s="3" t="str">
        <f t="shared" si="12"/>
        <v/>
      </c>
      <c r="H299" s="3" t="e">
        <f ca="1">IF(_xludf.TEXTJOIN("; ",TRUE,D299,F299)="","",_xludf.TEXTJOIN("; ",TRUE,D299,F299))</f>
        <v>#NAME?</v>
      </c>
      <c r="I299" s="3" t="s">
        <v>43</v>
      </c>
      <c r="J299" s="3"/>
      <c r="K299" s="3">
        <v>0</v>
      </c>
      <c r="L299" s="3"/>
      <c r="M299" s="3" t="str">
        <f t="shared" si="13"/>
        <v/>
      </c>
      <c r="N299" s="3" t="e">
        <f ca="1">IF(_xludf.TEXTJOIN("; ",TRUE,J299,L299)="","",_xludf.TEXTJOIN("; ",TRUE,J299,L299))</f>
        <v>#NAME?</v>
      </c>
      <c r="O299" s="3" t="s">
        <v>43</v>
      </c>
      <c r="P299" s="3"/>
      <c r="Q299" s="3">
        <v>0</v>
      </c>
      <c r="R299" s="3"/>
      <c r="S299" s="3" t="str">
        <f t="shared" si="14"/>
        <v/>
      </c>
      <c r="T299" s="3" t="e">
        <f ca="1">IF(_xludf.TEXTJOIN("; ",TRUE,P299,R299)="","",_xludf.TEXTJOIN("; ",TRUE,P299,R299))</f>
        <v>#NAME?</v>
      </c>
    </row>
    <row r="300" spans="1:20">
      <c r="A300" t="s">
        <v>597</v>
      </c>
      <c r="B300" t="s">
        <v>70</v>
      </c>
      <c r="C300" s="3" t="s">
        <v>43</v>
      </c>
      <c r="D300" s="3"/>
      <c r="E300" s="3">
        <v>0</v>
      </c>
      <c r="F300" s="3" t="s">
        <v>334</v>
      </c>
      <c r="G300" s="3" t="str">
        <f t="shared" si="12"/>
        <v/>
      </c>
      <c r="H300" s="3" t="e">
        <f ca="1">IF(_xludf.TEXTJOIN("; ",TRUE,D300,F300)="","",_xludf.TEXTJOIN("; ",TRUE,D300,F300))</f>
        <v>#NAME?</v>
      </c>
      <c r="I300" s="3" t="s">
        <v>43</v>
      </c>
      <c r="J300" s="3"/>
      <c r="K300" s="3">
        <v>0</v>
      </c>
      <c r="L300" s="3"/>
      <c r="M300" s="3" t="str">
        <f t="shared" si="13"/>
        <v/>
      </c>
      <c r="N300" s="3" t="e">
        <f ca="1">IF(_xludf.TEXTJOIN("; ",TRUE,J300,L300)="","",_xludf.TEXTJOIN("; ",TRUE,J300,L300))</f>
        <v>#NAME?</v>
      </c>
      <c r="O300" s="3" t="s">
        <v>43</v>
      </c>
      <c r="P300" s="3"/>
      <c r="Q300" s="3">
        <v>0</v>
      </c>
      <c r="R300" s="3"/>
      <c r="S300" s="3" t="str">
        <f t="shared" si="14"/>
        <v/>
      </c>
      <c r="T300" s="3" t="e">
        <f ca="1">IF(_xludf.TEXTJOIN("; ",TRUE,P300,R300)="","",_xludf.TEXTJOIN("; ",TRUE,P300,R300))</f>
        <v>#NAME?</v>
      </c>
    </row>
    <row r="301" spans="1:20">
      <c r="A301" t="s">
        <v>598</v>
      </c>
      <c r="B301" t="s">
        <v>599</v>
      </c>
      <c r="C301" s="3">
        <v>110</v>
      </c>
      <c r="D301" s="3"/>
      <c r="E301" s="3">
        <v>1877</v>
      </c>
      <c r="F301" s="3"/>
      <c r="G301" s="3">
        <f t="shared" si="12"/>
        <v>206470</v>
      </c>
      <c r="H301" s="3" t="e">
        <f ca="1">IF(_xludf.TEXTJOIN("; ",TRUE,D301,F301)="","",_xludf.TEXTJOIN("; ",TRUE,D301,F301))</f>
        <v>#NAME?</v>
      </c>
      <c r="I301" s="3">
        <v>107</v>
      </c>
      <c r="J301" s="3"/>
      <c r="K301" s="3">
        <v>1888</v>
      </c>
      <c r="L301" s="3"/>
      <c r="M301" s="3">
        <f t="shared" si="13"/>
        <v>202016</v>
      </c>
      <c r="N301" s="3" t="e">
        <f ca="1">IF(_xludf.TEXTJOIN("; ",TRUE,J301,L301)="","",_xludf.TEXTJOIN("; ",TRUE,J301,L301))</f>
        <v>#NAME?</v>
      </c>
      <c r="O301" s="3">
        <v>110</v>
      </c>
      <c r="P301" s="3"/>
      <c r="Q301" s="3">
        <v>1885</v>
      </c>
      <c r="R301" s="3"/>
      <c r="S301" s="3">
        <f t="shared" si="14"/>
        <v>207350</v>
      </c>
      <c r="T301" s="3" t="e">
        <f ca="1">IF(_xludf.TEXTJOIN("; ",TRUE,P301,R301)="","",_xludf.TEXTJOIN("; ",TRUE,P301,R301))</f>
        <v>#NAME?</v>
      </c>
    </row>
    <row r="302" spans="1:20">
      <c r="A302" t="s">
        <v>600</v>
      </c>
      <c r="B302" t="s">
        <v>601</v>
      </c>
      <c r="C302" s="3">
        <v>158</v>
      </c>
      <c r="D302" s="3"/>
      <c r="E302" s="3">
        <v>453</v>
      </c>
      <c r="F302" s="3"/>
      <c r="G302" s="3">
        <f t="shared" si="12"/>
        <v>71574</v>
      </c>
      <c r="H302" s="3" t="e">
        <f ca="1">IF(_xludf.TEXTJOIN("; ",TRUE,D302,F302)="","",_xludf.TEXTJOIN("; ",TRUE,D302,F302))</f>
        <v>#NAME?</v>
      </c>
      <c r="I302" s="3">
        <v>155</v>
      </c>
      <c r="J302" s="3"/>
      <c r="K302" s="3">
        <v>459</v>
      </c>
      <c r="L302" s="3"/>
      <c r="M302" s="3">
        <f t="shared" si="13"/>
        <v>71145</v>
      </c>
      <c r="N302" s="3" t="e">
        <f ca="1">IF(_xludf.TEXTJOIN("; ",TRUE,J302,L302)="","",_xludf.TEXTJOIN("; ",TRUE,J302,L302))</f>
        <v>#NAME?</v>
      </c>
      <c r="O302" s="3">
        <v>159</v>
      </c>
      <c r="P302" s="3"/>
      <c r="Q302" s="3">
        <v>454</v>
      </c>
      <c r="R302" s="3"/>
      <c r="S302" s="3">
        <f t="shared" si="14"/>
        <v>72186</v>
      </c>
      <c r="T302" s="3" t="e">
        <f ca="1">IF(_xludf.TEXTJOIN("; ",TRUE,P302,R302)="","",_xludf.TEXTJOIN("; ",TRUE,P302,R302))</f>
        <v>#NAME?</v>
      </c>
    </row>
    <row r="303" spans="1:20">
      <c r="A303" t="s">
        <v>602</v>
      </c>
      <c r="B303" t="s">
        <v>603</v>
      </c>
      <c r="C303" s="3">
        <v>101</v>
      </c>
      <c r="D303" s="3"/>
      <c r="E303" s="3">
        <v>124</v>
      </c>
      <c r="F303" s="3"/>
      <c r="G303" s="3">
        <f t="shared" si="12"/>
        <v>12524</v>
      </c>
      <c r="H303" s="3" t="e">
        <f ca="1">IF(_xludf.TEXTJOIN("; ",TRUE,D303,F303)="","",_xludf.TEXTJOIN("; ",TRUE,D303,F303))</f>
        <v>#NAME?</v>
      </c>
      <c r="I303" s="3">
        <v>101</v>
      </c>
      <c r="J303" s="3"/>
      <c r="K303" s="3">
        <v>128</v>
      </c>
      <c r="L303" s="3"/>
      <c r="M303" s="3">
        <f t="shared" si="13"/>
        <v>12928</v>
      </c>
      <c r="N303" s="3" t="e">
        <f ca="1">IF(_xludf.TEXTJOIN("; ",TRUE,J303,L303)="","",_xludf.TEXTJOIN("; ",TRUE,J303,L303))</f>
        <v>#NAME?</v>
      </c>
      <c r="O303" s="3">
        <v>105</v>
      </c>
      <c r="P303" s="3"/>
      <c r="Q303" s="3">
        <v>130</v>
      </c>
      <c r="R303" s="3"/>
      <c r="S303" s="3">
        <f t="shared" si="14"/>
        <v>13650</v>
      </c>
      <c r="T303" s="3" t="e">
        <f ca="1">IF(_xludf.TEXTJOIN("; ",TRUE,P303,R303)="","",_xludf.TEXTJOIN("; ",TRUE,P303,R303))</f>
        <v>#NAME?</v>
      </c>
    </row>
    <row r="304" spans="1:20">
      <c r="A304" t="s">
        <v>604</v>
      </c>
      <c r="B304" t="s">
        <v>605</v>
      </c>
      <c r="C304" s="3">
        <v>180</v>
      </c>
      <c r="D304" s="3"/>
      <c r="E304" s="3">
        <v>329</v>
      </c>
      <c r="F304" s="3"/>
      <c r="G304" s="3">
        <f t="shared" si="12"/>
        <v>59220</v>
      </c>
      <c r="H304" s="3" t="e">
        <f ca="1">IF(_xludf.TEXTJOIN("; ",TRUE,D304,F304)="","",_xludf.TEXTJOIN("; ",TRUE,D304,F304))</f>
        <v>#NAME?</v>
      </c>
      <c r="I304" s="3">
        <v>176</v>
      </c>
      <c r="J304" s="3"/>
      <c r="K304" s="3">
        <v>331</v>
      </c>
      <c r="L304" s="3"/>
      <c r="M304" s="3">
        <f t="shared" si="13"/>
        <v>58256</v>
      </c>
      <c r="N304" s="3" t="e">
        <f ca="1">IF(_xludf.TEXTJOIN("; ",TRUE,J304,L304)="","",_xludf.TEXTJOIN("; ",TRUE,J304,L304))</f>
        <v>#NAME?</v>
      </c>
      <c r="O304" s="3">
        <v>181</v>
      </c>
      <c r="P304" s="3"/>
      <c r="Q304" s="3">
        <v>324</v>
      </c>
      <c r="R304" s="3"/>
      <c r="S304" s="3">
        <f t="shared" si="14"/>
        <v>58644</v>
      </c>
      <c r="T304" s="3" t="e">
        <f ca="1">IF(_xludf.TEXTJOIN("; ",TRUE,P304,R304)="","",_xludf.TEXTJOIN("; ",TRUE,P304,R304))</f>
        <v>#NAME?</v>
      </c>
    </row>
    <row r="305" spans="1:20">
      <c r="A305" t="s">
        <v>606</v>
      </c>
      <c r="B305" t="s">
        <v>607</v>
      </c>
      <c r="C305" s="3">
        <v>122</v>
      </c>
      <c r="D305" s="3"/>
      <c r="E305" s="3">
        <v>327</v>
      </c>
      <c r="F305" s="3"/>
      <c r="G305" s="3">
        <f t="shared" si="12"/>
        <v>39894</v>
      </c>
      <c r="H305" s="3" t="e">
        <f ca="1">IF(_xludf.TEXTJOIN("; ",TRUE,D305,F305)="","",_xludf.TEXTJOIN("; ",TRUE,D305,F305))</f>
        <v>#NAME?</v>
      </c>
      <c r="I305" s="3">
        <v>121</v>
      </c>
      <c r="J305" s="3"/>
      <c r="K305" s="3">
        <v>322</v>
      </c>
      <c r="L305" s="3"/>
      <c r="M305" s="3">
        <f t="shared" si="13"/>
        <v>38962</v>
      </c>
      <c r="N305" s="3" t="e">
        <f ca="1">IF(_xludf.TEXTJOIN("; ",TRUE,J305,L305)="","",_xludf.TEXTJOIN("; ",TRUE,J305,L305))</f>
        <v>#NAME?</v>
      </c>
      <c r="O305" s="3">
        <v>123</v>
      </c>
      <c r="P305" s="3"/>
      <c r="Q305" s="3">
        <v>333</v>
      </c>
      <c r="R305" s="3"/>
      <c r="S305" s="3">
        <f t="shared" si="14"/>
        <v>40959</v>
      </c>
      <c r="T305" s="3" t="e">
        <f ca="1">IF(_xludf.TEXTJOIN("; ",TRUE,P305,R305)="","",_xludf.TEXTJOIN("; ",TRUE,P305,R305))</f>
        <v>#NAME?</v>
      </c>
    </row>
    <row r="306" spans="1:20">
      <c r="A306" t="s">
        <v>608</v>
      </c>
      <c r="B306" t="s">
        <v>609</v>
      </c>
      <c r="C306" s="3">
        <v>116</v>
      </c>
      <c r="D306" s="3"/>
      <c r="E306" s="3">
        <v>234</v>
      </c>
      <c r="F306" s="3"/>
      <c r="G306" s="3">
        <f t="shared" si="12"/>
        <v>27144</v>
      </c>
      <c r="H306" s="3" t="e">
        <f ca="1">IF(_xludf.TEXTJOIN("; ",TRUE,D306,F306)="","",_xludf.TEXTJOIN("; ",TRUE,D306,F306))</f>
        <v>#NAME?</v>
      </c>
      <c r="I306" s="3">
        <v>117</v>
      </c>
      <c r="J306" s="3"/>
      <c r="K306" s="3">
        <v>234</v>
      </c>
      <c r="L306" s="3"/>
      <c r="M306" s="3">
        <f t="shared" si="13"/>
        <v>27378</v>
      </c>
      <c r="N306" s="3" t="e">
        <f ca="1">IF(_xludf.TEXTJOIN("; ",TRUE,J306,L306)="","",_xludf.TEXTJOIN("; ",TRUE,J306,L306))</f>
        <v>#NAME?</v>
      </c>
      <c r="O306" s="3">
        <v>115</v>
      </c>
      <c r="P306" s="3"/>
      <c r="Q306" s="3">
        <v>238</v>
      </c>
      <c r="R306" s="3"/>
      <c r="S306" s="3">
        <f t="shared" si="14"/>
        <v>27370</v>
      </c>
      <c r="T306" s="3" t="e">
        <f ca="1">IF(_xludf.TEXTJOIN("; ",TRUE,P306,R306)="","",_xludf.TEXTJOIN("; ",TRUE,P306,R306))</f>
        <v>#NAME?</v>
      </c>
    </row>
    <row r="307" spans="1:20">
      <c r="A307" t="s">
        <v>610</v>
      </c>
      <c r="B307" t="s">
        <v>611</v>
      </c>
      <c r="C307" s="3">
        <v>84</v>
      </c>
      <c r="D307" s="3"/>
      <c r="E307" s="3">
        <v>49</v>
      </c>
      <c r="F307" s="3"/>
      <c r="G307" s="3">
        <f t="shared" si="12"/>
        <v>4116</v>
      </c>
      <c r="H307" s="3" t="e">
        <f ca="1">IF(_xludf.TEXTJOIN("; ",TRUE,D307,F307)="","",_xludf.TEXTJOIN("; ",TRUE,D307,F307))</f>
        <v>#NAME?</v>
      </c>
      <c r="I307" s="3">
        <v>83</v>
      </c>
      <c r="J307" s="3"/>
      <c r="K307" s="3">
        <v>47</v>
      </c>
      <c r="L307" s="3"/>
      <c r="M307" s="3">
        <f t="shared" si="13"/>
        <v>3901</v>
      </c>
      <c r="N307" s="3" t="e">
        <f ca="1">IF(_xludf.TEXTJOIN("; ",TRUE,J307,L307)="","",_xludf.TEXTJOIN("; ",TRUE,J307,L307))</f>
        <v>#NAME?</v>
      </c>
      <c r="O307" s="3">
        <v>80</v>
      </c>
      <c r="P307" s="3"/>
      <c r="Q307" s="3">
        <v>52</v>
      </c>
      <c r="R307" s="3"/>
      <c r="S307" s="3">
        <f t="shared" si="14"/>
        <v>4160</v>
      </c>
      <c r="T307" s="3" t="e">
        <f ca="1">IF(_xludf.TEXTJOIN("; ",TRUE,P307,R307)="","",_xludf.TEXTJOIN("; ",TRUE,P307,R307))</f>
        <v>#NAME?</v>
      </c>
    </row>
    <row r="308" spans="1:20">
      <c r="A308" t="s">
        <v>612</v>
      </c>
      <c r="B308" t="s">
        <v>613</v>
      </c>
      <c r="C308" s="3">
        <v>195</v>
      </c>
      <c r="D308" s="3"/>
      <c r="E308" s="3">
        <v>44</v>
      </c>
      <c r="F308" s="3"/>
      <c r="G308" s="3">
        <f t="shared" si="12"/>
        <v>8580</v>
      </c>
      <c r="H308" s="3" t="e">
        <f ca="1">IF(_xludf.TEXTJOIN("; ",TRUE,D308,F308)="","",_xludf.TEXTJOIN("; ",TRUE,D308,F308))</f>
        <v>#NAME?</v>
      </c>
      <c r="I308" s="3">
        <v>189</v>
      </c>
      <c r="J308" s="3"/>
      <c r="K308" s="3">
        <v>41</v>
      </c>
      <c r="L308" s="3"/>
      <c r="M308" s="3">
        <f t="shared" si="13"/>
        <v>7749</v>
      </c>
      <c r="N308" s="3" t="e">
        <f ca="1">IF(_xludf.TEXTJOIN("; ",TRUE,J308,L308)="","",_xludf.TEXTJOIN("; ",TRUE,J308,L308))</f>
        <v>#NAME?</v>
      </c>
      <c r="O308" s="3">
        <v>217</v>
      </c>
      <c r="P308" s="3"/>
      <c r="Q308" s="3">
        <v>43</v>
      </c>
      <c r="R308" s="3"/>
      <c r="S308" s="3">
        <f t="shared" si="14"/>
        <v>9331</v>
      </c>
      <c r="T308" s="3" t="e">
        <f ca="1">IF(_xludf.TEXTJOIN("; ",TRUE,P308,R308)="","",_xludf.TEXTJOIN("; ",TRUE,P308,R308))</f>
        <v>#NAME?</v>
      </c>
    </row>
    <row r="309" spans="1:20">
      <c r="A309" t="s">
        <v>614</v>
      </c>
      <c r="B309" t="s">
        <v>615</v>
      </c>
      <c r="C309" s="3">
        <v>204</v>
      </c>
      <c r="D309" s="3"/>
      <c r="E309" s="3">
        <v>229</v>
      </c>
      <c r="F309" s="3"/>
      <c r="G309" s="3">
        <f t="shared" si="12"/>
        <v>46716</v>
      </c>
      <c r="H309" s="3" t="e">
        <f ca="1">IF(_xludf.TEXTJOIN("; ",TRUE,D309,F309)="","",_xludf.TEXTJOIN("; ",TRUE,D309,F309))</f>
        <v>#NAME?</v>
      </c>
      <c r="I309" s="3">
        <v>196</v>
      </c>
      <c r="J309" s="3"/>
      <c r="K309" s="3">
        <v>228</v>
      </c>
      <c r="L309" s="3"/>
      <c r="M309" s="3">
        <f t="shared" si="13"/>
        <v>44688</v>
      </c>
      <c r="N309" s="3" t="e">
        <f ca="1">IF(_xludf.TEXTJOIN("; ",TRUE,J309,L309)="","",_xludf.TEXTJOIN("; ",TRUE,J309,L309))</f>
        <v>#NAME?</v>
      </c>
      <c r="O309" s="3">
        <v>195</v>
      </c>
      <c r="P309" s="3"/>
      <c r="Q309" s="3">
        <v>221</v>
      </c>
      <c r="R309" s="3"/>
      <c r="S309" s="3">
        <f t="shared" si="14"/>
        <v>43095</v>
      </c>
      <c r="T309" s="3" t="e">
        <f ca="1">IF(_xludf.TEXTJOIN("; ",TRUE,P309,R309)="","",_xludf.TEXTJOIN("; ",TRUE,P309,R309))</f>
        <v>#NAME?</v>
      </c>
    </row>
    <row r="310" spans="1:20">
      <c r="A310" t="s">
        <v>616</v>
      </c>
      <c r="B310" t="s">
        <v>617</v>
      </c>
      <c r="C310" s="3">
        <v>211</v>
      </c>
      <c r="D310" s="3"/>
      <c r="E310" s="3">
        <v>189</v>
      </c>
      <c r="F310" s="3"/>
      <c r="G310" s="3">
        <f t="shared" si="12"/>
        <v>39879</v>
      </c>
      <c r="H310" s="3" t="e">
        <f ca="1">IF(_xludf.TEXTJOIN("; ",TRUE,D310,F310)="","",_xludf.TEXTJOIN("; ",TRUE,D310,F310))</f>
        <v>#NAME?</v>
      </c>
      <c r="I310" s="3">
        <v>203</v>
      </c>
      <c r="J310" s="3"/>
      <c r="K310" s="3">
        <v>186</v>
      </c>
      <c r="L310" s="3"/>
      <c r="M310" s="3">
        <f t="shared" si="13"/>
        <v>37758</v>
      </c>
      <c r="N310" s="3" t="e">
        <f ca="1">IF(_xludf.TEXTJOIN("; ",TRUE,J310,L310)="","",_xludf.TEXTJOIN("; ",TRUE,J310,L310))</f>
        <v>#NAME?</v>
      </c>
      <c r="O310" s="3">
        <v>207</v>
      </c>
      <c r="P310" s="3"/>
      <c r="Q310" s="3">
        <v>181</v>
      </c>
      <c r="R310" s="3"/>
      <c r="S310" s="3">
        <f t="shared" si="14"/>
        <v>37467</v>
      </c>
      <c r="T310" s="3" t="e">
        <f ca="1">IF(_xludf.TEXTJOIN("; ",TRUE,P310,R310)="","",_xludf.TEXTJOIN("; ",TRUE,P310,R310))</f>
        <v>#NAME?</v>
      </c>
    </row>
    <row r="311" spans="1:20">
      <c r="A311" t="s">
        <v>618</v>
      </c>
      <c r="B311" t="s">
        <v>619</v>
      </c>
      <c r="C311" s="3">
        <v>175</v>
      </c>
      <c r="D311" s="3"/>
      <c r="E311" s="3">
        <v>40</v>
      </c>
      <c r="F311" s="3"/>
      <c r="G311" s="3">
        <f t="shared" si="12"/>
        <v>7000</v>
      </c>
      <c r="H311" s="3" t="e">
        <f ca="1">IF(_xludf.TEXTJOIN("; ",TRUE,D311,F311)="","",_xludf.TEXTJOIN("; ",TRUE,D311,F311))</f>
        <v>#NAME?</v>
      </c>
      <c r="I311" s="3">
        <v>166</v>
      </c>
      <c r="J311" s="3"/>
      <c r="K311" s="3">
        <v>42</v>
      </c>
      <c r="L311" s="3"/>
      <c r="M311" s="3">
        <f t="shared" si="13"/>
        <v>6972</v>
      </c>
      <c r="N311" s="3" t="e">
        <f ca="1">IF(_xludf.TEXTJOIN("; ",TRUE,J311,L311)="","",_xludf.TEXTJOIN("; ",TRUE,J311,L311))</f>
        <v>#NAME?</v>
      </c>
      <c r="O311" s="3">
        <v>139</v>
      </c>
      <c r="P311" s="3"/>
      <c r="Q311" s="3">
        <v>40</v>
      </c>
      <c r="R311" s="3"/>
      <c r="S311" s="3">
        <f t="shared" si="14"/>
        <v>5560</v>
      </c>
      <c r="T311" s="3" t="e">
        <f ca="1">IF(_xludf.TEXTJOIN("; ",TRUE,P311,R311)="","",_xludf.TEXTJOIN("; ",TRUE,P311,R311))</f>
        <v>#NAME?</v>
      </c>
    </row>
    <row r="312" spans="1:20">
      <c r="A312" t="s">
        <v>620</v>
      </c>
      <c r="B312" t="s">
        <v>621</v>
      </c>
      <c r="C312" s="3">
        <v>38</v>
      </c>
      <c r="D312" s="3"/>
      <c r="E312" s="3">
        <v>227</v>
      </c>
      <c r="F312" s="3"/>
      <c r="G312" s="3">
        <f t="shared" si="12"/>
        <v>8626</v>
      </c>
      <c r="H312" s="3" t="e">
        <f ca="1">IF(_xludf.TEXTJOIN("; ",TRUE,D312,F312)="","",_xludf.TEXTJOIN("; ",TRUE,D312,F312))</f>
        <v>#NAME?</v>
      </c>
      <c r="I312" s="3">
        <v>41</v>
      </c>
      <c r="J312" s="3"/>
      <c r="K312" s="3">
        <v>222</v>
      </c>
      <c r="L312" s="3"/>
      <c r="M312" s="3">
        <f t="shared" si="13"/>
        <v>9102</v>
      </c>
      <c r="N312" s="3" t="e">
        <f ca="1">IF(_xludf.TEXTJOIN("; ",TRUE,J312,L312)="","",_xludf.TEXTJOIN("; ",TRUE,J312,L312))</f>
        <v>#NAME?</v>
      </c>
      <c r="O312" s="3">
        <v>40</v>
      </c>
      <c r="P312" s="3"/>
      <c r="Q312" s="3">
        <v>224</v>
      </c>
      <c r="R312" s="3"/>
      <c r="S312" s="3">
        <f t="shared" si="14"/>
        <v>8960</v>
      </c>
      <c r="T312" s="3" t="e">
        <f ca="1">IF(_xludf.TEXTJOIN("; ",TRUE,P312,R312)="","",_xludf.TEXTJOIN("; ",TRUE,P312,R312))</f>
        <v>#NAME?</v>
      </c>
    </row>
    <row r="313" spans="1:20">
      <c r="A313" t="s">
        <v>622</v>
      </c>
      <c r="B313" t="s">
        <v>623</v>
      </c>
      <c r="C313" s="3">
        <v>36</v>
      </c>
      <c r="D313" s="3"/>
      <c r="E313" s="3">
        <v>98</v>
      </c>
      <c r="F313" s="3"/>
      <c r="G313" s="3">
        <f t="shared" si="12"/>
        <v>3528</v>
      </c>
      <c r="H313" s="3" t="e">
        <f ca="1">IF(_xludf.TEXTJOIN("; ",TRUE,D313,F313)="","",_xludf.TEXTJOIN("; ",TRUE,D313,F313))</f>
        <v>#NAME?</v>
      </c>
      <c r="I313" s="3">
        <v>42</v>
      </c>
      <c r="J313" s="3"/>
      <c r="K313" s="3">
        <v>89</v>
      </c>
      <c r="L313" s="3"/>
      <c r="M313" s="3">
        <f t="shared" si="13"/>
        <v>3738</v>
      </c>
      <c r="N313" s="3" t="e">
        <f ca="1">IF(_xludf.TEXTJOIN("; ",TRUE,J313,L313)="","",_xludf.TEXTJOIN("; ",TRUE,J313,L313))</f>
        <v>#NAME?</v>
      </c>
      <c r="O313" s="3">
        <v>38</v>
      </c>
      <c r="P313" s="3"/>
      <c r="Q313" s="3">
        <v>87</v>
      </c>
      <c r="R313" s="3"/>
      <c r="S313" s="3">
        <f t="shared" si="14"/>
        <v>3306</v>
      </c>
      <c r="T313" s="3" t="e">
        <f ca="1">IF(_xludf.TEXTJOIN("; ",TRUE,P313,R313)="","",_xludf.TEXTJOIN("; ",TRUE,P313,R313))</f>
        <v>#NAME?</v>
      </c>
    </row>
    <row r="314" spans="1:20">
      <c r="A314" t="s">
        <v>624</v>
      </c>
      <c r="B314" t="s">
        <v>625</v>
      </c>
      <c r="C314" s="3">
        <v>32</v>
      </c>
      <c r="D314" s="3"/>
      <c r="E314" s="3">
        <v>32</v>
      </c>
      <c r="F314" s="3"/>
      <c r="G314" s="3">
        <f t="shared" si="12"/>
        <v>1024</v>
      </c>
      <c r="H314" s="3" t="e">
        <f ca="1">IF(_xludf.TEXTJOIN("; ",TRUE,D314,F314)="","",_xludf.TEXTJOIN("; ",TRUE,D314,F314))</f>
        <v>#NAME?</v>
      </c>
      <c r="I314" s="3">
        <v>30</v>
      </c>
      <c r="J314" s="3"/>
      <c r="K314" s="3">
        <v>32</v>
      </c>
      <c r="L314" s="3"/>
      <c r="M314" s="3">
        <f t="shared" si="13"/>
        <v>960</v>
      </c>
      <c r="N314" s="3" t="e">
        <f ca="1">IF(_xludf.TEXTJOIN("; ",TRUE,J314,L314)="","",_xludf.TEXTJOIN("; ",TRUE,J314,L314))</f>
        <v>#NAME?</v>
      </c>
      <c r="O314" s="3">
        <v>31</v>
      </c>
      <c r="P314" s="3"/>
      <c r="Q314" s="3">
        <v>34</v>
      </c>
      <c r="R314" s="3"/>
      <c r="S314" s="3">
        <f t="shared" si="14"/>
        <v>1054</v>
      </c>
      <c r="T314" s="3" t="e">
        <f ca="1">IF(_xludf.TEXTJOIN("; ",TRUE,P314,R314)="","",_xludf.TEXTJOIN("; ",TRUE,P314,R314))</f>
        <v>#NAME?</v>
      </c>
    </row>
    <row r="315" spans="1:20">
      <c r="A315" t="s">
        <v>626</v>
      </c>
      <c r="B315" t="s">
        <v>627</v>
      </c>
      <c r="C315" s="3">
        <v>43</v>
      </c>
      <c r="D315" s="3"/>
      <c r="E315" s="3">
        <v>97</v>
      </c>
      <c r="F315" s="3"/>
      <c r="G315" s="3">
        <f t="shared" si="12"/>
        <v>4171</v>
      </c>
      <c r="H315" s="3" t="e">
        <f ca="1">IF(_xludf.TEXTJOIN("; ",TRUE,D315,F315)="","",_xludf.TEXTJOIN("; ",TRUE,D315,F315))</f>
        <v>#NAME?</v>
      </c>
      <c r="I315" s="3">
        <v>43</v>
      </c>
      <c r="J315" s="3"/>
      <c r="K315" s="3">
        <v>101</v>
      </c>
      <c r="L315" s="3"/>
      <c r="M315" s="3">
        <f t="shared" si="13"/>
        <v>4343</v>
      </c>
      <c r="N315" s="3" t="e">
        <f ca="1">IF(_xludf.TEXTJOIN("; ",TRUE,J315,L315)="","",_xludf.TEXTJOIN("; ",TRUE,J315,L315))</f>
        <v>#NAME?</v>
      </c>
      <c r="O315" s="3">
        <v>45</v>
      </c>
      <c r="P315" s="3"/>
      <c r="Q315" s="3">
        <v>103</v>
      </c>
      <c r="R315" s="3"/>
      <c r="S315" s="3">
        <f t="shared" si="14"/>
        <v>4635</v>
      </c>
      <c r="T315" s="3" t="e">
        <f ca="1">IF(_xludf.TEXTJOIN("; ",TRUE,P315,R315)="","",_xludf.TEXTJOIN("; ",TRUE,P315,R315))</f>
        <v>#NAME?</v>
      </c>
    </row>
    <row r="316" spans="1:20">
      <c r="A316" t="s">
        <v>628</v>
      </c>
      <c r="B316" t="s">
        <v>629</v>
      </c>
      <c r="C316" s="3">
        <v>73</v>
      </c>
      <c r="D316" s="3"/>
      <c r="E316" s="3">
        <v>210</v>
      </c>
      <c r="F316" s="3"/>
      <c r="G316" s="3">
        <f t="shared" si="12"/>
        <v>15330</v>
      </c>
      <c r="H316" s="3" t="e">
        <f ca="1">IF(_xludf.TEXTJOIN("; ",TRUE,D316,F316)="","",_xludf.TEXTJOIN("; ",TRUE,D316,F316))</f>
        <v>#NAME?</v>
      </c>
      <c r="I316" s="3">
        <v>75</v>
      </c>
      <c r="J316" s="3"/>
      <c r="K316" s="3">
        <v>210</v>
      </c>
      <c r="L316" s="3"/>
      <c r="M316" s="3">
        <f t="shared" si="13"/>
        <v>15750</v>
      </c>
      <c r="N316" s="3" t="e">
        <f ca="1">IF(_xludf.TEXTJOIN("; ",TRUE,J316,L316)="","",_xludf.TEXTJOIN("; ",TRUE,J316,L316))</f>
        <v>#NAME?</v>
      </c>
      <c r="O316" s="3">
        <v>76</v>
      </c>
      <c r="P316" s="3"/>
      <c r="Q316" s="3">
        <v>209</v>
      </c>
      <c r="R316" s="3"/>
      <c r="S316" s="3">
        <f t="shared" si="14"/>
        <v>15884</v>
      </c>
      <c r="T316" s="3" t="e">
        <f ca="1">IF(_xludf.TEXTJOIN("; ",TRUE,P316,R316)="","",_xludf.TEXTJOIN("; ",TRUE,P316,R316))</f>
        <v>#NAME?</v>
      </c>
    </row>
    <row r="317" spans="1:20">
      <c r="A317" t="s">
        <v>630</v>
      </c>
      <c r="B317" t="s">
        <v>631</v>
      </c>
      <c r="C317" s="3">
        <v>57</v>
      </c>
      <c r="D317" s="3"/>
      <c r="E317" s="3">
        <v>135</v>
      </c>
      <c r="F317" s="3"/>
      <c r="G317" s="3">
        <f t="shared" si="12"/>
        <v>7695</v>
      </c>
      <c r="H317" s="3" t="e">
        <f ca="1">IF(_xludf.TEXTJOIN("; ",TRUE,D317,F317)="","",_xludf.TEXTJOIN("; ",TRUE,D317,F317))</f>
        <v>#NAME?</v>
      </c>
      <c r="I317" s="3">
        <v>62</v>
      </c>
      <c r="J317" s="3"/>
      <c r="K317" s="3">
        <v>134</v>
      </c>
      <c r="L317" s="3"/>
      <c r="M317" s="3">
        <f t="shared" si="13"/>
        <v>8308</v>
      </c>
      <c r="N317" s="3" t="e">
        <f ca="1">IF(_xludf.TEXTJOIN("; ",TRUE,J317,L317)="","",_xludf.TEXTJOIN("; ",TRUE,J317,L317))</f>
        <v>#NAME?</v>
      </c>
      <c r="O317" s="3">
        <v>62</v>
      </c>
      <c r="P317" s="3"/>
      <c r="Q317" s="3">
        <v>133</v>
      </c>
      <c r="R317" s="3"/>
      <c r="S317" s="3">
        <f t="shared" si="14"/>
        <v>8246</v>
      </c>
      <c r="T317" s="3" t="e">
        <f ca="1">IF(_xludf.TEXTJOIN("; ",TRUE,P317,R317)="","",_xludf.TEXTJOIN("; ",TRUE,P317,R317))</f>
        <v>#NAME?</v>
      </c>
    </row>
    <row r="318" spans="1:20">
      <c r="A318" t="s">
        <v>632</v>
      </c>
      <c r="B318" t="s">
        <v>633</v>
      </c>
      <c r="C318" s="3">
        <v>103</v>
      </c>
      <c r="D318" s="3"/>
      <c r="E318" s="3">
        <v>75</v>
      </c>
      <c r="F318" s="3"/>
      <c r="G318" s="3">
        <f t="shared" si="12"/>
        <v>7725</v>
      </c>
      <c r="H318" s="3" t="e">
        <f ca="1">IF(_xludf.TEXTJOIN("; ",TRUE,D318,F318)="","",_xludf.TEXTJOIN("; ",TRUE,D318,F318))</f>
        <v>#NAME?</v>
      </c>
      <c r="I318" s="3">
        <v>98</v>
      </c>
      <c r="J318" s="3"/>
      <c r="K318" s="3">
        <v>76</v>
      </c>
      <c r="L318" s="3"/>
      <c r="M318" s="3">
        <f t="shared" si="13"/>
        <v>7448</v>
      </c>
      <c r="N318" s="3" t="e">
        <f ca="1">IF(_xludf.TEXTJOIN("; ",TRUE,J318,L318)="","",_xludf.TEXTJOIN("; ",TRUE,J318,L318))</f>
        <v>#NAME?</v>
      </c>
      <c r="O318" s="3">
        <v>101</v>
      </c>
      <c r="P318" s="3"/>
      <c r="Q318" s="3">
        <v>76</v>
      </c>
      <c r="R318" s="3"/>
      <c r="S318" s="3">
        <f t="shared" si="14"/>
        <v>7676</v>
      </c>
      <c r="T318" s="3" t="e">
        <f ca="1">IF(_xludf.TEXTJOIN("; ",TRUE,P318,R318)="","",_xludf.TEXTJOIN("; ",TRUE,P318,R318))</f>
        <v>#NAME?</v>
      </c>
    </row>
    <row r="319" spans="1:20">
      <c r="A319" t="s">
        <v>634</v>
      </c>
      <c r="B319" t="s">
        <v>635</v>
      </c>
      <c r="C319" s="3">
        <v>89</v>
      </c>
      <c r="D319" s="3"/>
      <c r="E319" s="3">
        <v>188</v>
      </c>
      <c r="F319" s="3"/>
      <c r="G319" s="3">
        <f t="shared" si="12"/>
        <v>16732</v>
      </c>
      <c r="H319" s="3" t="e">
        <f ca="1">IF(_xludf.TEXTJOIN("; ",TRUE,D319,F319)="","",_xludf.TEXTJOIN("; ",TRUE,D319,F319))</f>
        <v>#NAME?</v>
      </c>
      <c r="I319" s="3">
        <v>82</v>
      </c>
      <c r="J319" s="3"/>
      <c r="K319" s="3">
        <v>197</v>
      </c>
      <c r="L319" s="3"/>
      <c r="M319" s="3">
        <f t="shared" si="13"/>
        <v>16154</v>
      </c>
      <c r="N319" s="3" t="e">
        <f ca="1">IF(_xludf.TEXTJOIN("; ",TRUE,J319,L319)="","",_xludf.TEXTJOIN("; ",TRUE,J319,L319))</f>
        <v>#NAME?</v>
      </c>
      <c r="O319" s="3">
        <v>89</v>
      </c>
      <c r="P319" s="3"/>
      <c r="Q319" s="3">
        <v>199</v>
      </c>
      <c r="R319" s="3"/>
      <c r="S319" s="3">
        <f t="shared" si="14"/>
        <v>17711</v>
      </c>
      <c r="T319" s="3" t="e">
        <f ca="1">IF(_xludf.TEXTJOIN("; ",TRUE,P319,R319)="","",_xludf.TEXTJOIN("; ",TRUE,P319,R319))</f>
        <v>#NAME?</v>
      </c>
    </row>
    <row r="320" spans="1:20">
      <c r="A320" t="s">
        <v>636</v>
      </c>
      <c r="B320" t="s">
        <v>637</v>
      </c>
      <c r="C320" s="3">
        <v>44</v>
      </c>
      <c r="D320" s="3"/>
      <c r="E320" s="3">
        <v>56</v>
      </c>
      <c r="F320" s="3"/>
      <c r="G320" s="3">
        <f t="shared" si="12"/>
        <v>2464</v>
      </c>
      <c r="H320" s="3" t="e">
        <f ca="1">IF(_xludf.TEXTJOIN("; ",TRUE,D320,F320)="","",_xludf.TEXTJOIN("; ",TRUE,D320,F320))</f>
        <v>#NAME?</v>
      </c>
      <c r="I320" s="3">
        <v>39</v>
      </c>
      <c r="J320" s="3"/>
      <c r="K320" s="3">
        <v>63</v>
      </c>
      <c r="L320" s="3"/>
      <c r="M320" s="3">
        <f t="shared" si="13"/>
        <v>2457</v>
      </c>
      <c r="N320" s="3" t="e">
        <f ca="1">IF(_xludf.TEXTJOIN("; ",TRUE,J320,L320)="","",_xludf.TEXTJOIN("; ",TRUE,J320,L320))</f>
        <v>#NAME?</v>
      </c>
      <c r="O320" s="3">
        <v>40</v>
      </c>
      <c r="P320" s="3"/>
      <c r="Q320" s="3">
        <v>62</v>
      </c>
      <c r="R320" s="3"/>
      <c r="S320" s="3">
        <f t="shared" si="14"/>
        <v>2480</v>
      </c>
      <c r="T320" s="3" t="e">
        <f ca="1">IF(_xludf.TEXTJOIN("; ",TRUE,P320,R320)="","",_xludf.TEXTJOIN("; ",TRUE,P320,R320))</f>
        <v>#NAME?</v>
      </c>
    </row>
    <row r="321" spans="1:20">
      <c r="A321" t="s">
        <v>638</v>
      </c>
      <c r="B321" t="s">
        <v>639</v>
      </c>
      <c r="C321" s="3">
        <v>132</v>
      </c>
      <c r="D321" s="3"/>
      <c r="E321" s="3">
        <v>98</v>
      </c>
      <c r="F321" s="3"/>
      <c r="G321" s="3">
        <f t="shared" si="12"/>
        <v>12936</v>
      </c>
      <c r="H321" s="3" t="e">
        <f ca="1">IF(_xludf.TEXTJOIN("; ",TRUE,D321,F321)="","",_xludf.TEXTJOIN("; ",TRUE,D321,F321))</f>
        <v>#NAME?</v>
      </c>
      <c r="I321" s="3">
        <v>122</v>
      </c>
      <c r="J321" s="3"/>
      <c r="K321" s="3">
        <v>103</v>
      </c>
      <c r="L321" s="3"/>
      <c r="M321" s="3">
        <f t="shared" si="13"/>
        <v>12566</v>
      </c>
      <c r="N321" s="3" t="e">
        <f ca="1">IF(_xludf.TEXTJOIN("; ",TRUE,J321,L321)="","",_xludf.TEXTJOIN("; ",TRUE,J321,L321))</f>
        <v>#NAME?</v>
      </c>
      <c r="O321" s="3">
        <v>133</v>
      </c>
      <c r="P321" s="3"/>
      <c r="Q321" s="3">
        <v>105</v>
      </c>
      <c r="R321" s="3"/>
      <c r="S321" s="3">
        <f t="shared" si="14"/>
        <v>13965</v>
      </c>
      <c r="T321" s="3" t="e">
        <f ca="1">IF(_xludf.TEXTJOIN("; ",TRUE,P321,R321)="","",_xludf.TEXTJOIN("; ",TRUE,P321,R321))</f>
        <v>#NAME?</v>
      </c>
    </row>
    <row r="322" spans="1:20">
      <c r="A322" t="s">
        <v>640</v>
      </c>
      <c r="B322" t="s">
        <v>641</v>
      </c>
      <c r="C322" s="3">
        <v>40</v>
      </c>
      <c r="D322" s="3"/>
      <c r="E322" s="3">
        <v>34</v>
      </c>
      <c r="F322" s="3"/>
      <c r="G322" s="3">
        <f t="shared" ref="G322:G385" si="15">IF(OR(C322="",C322=":",E322="",E322=":"),"",C322*E322)</f>
        <v>1360</v>
      </c>
      <c r="H322" s="3" t="e">
        <f ca="1">IF(_xludf.TEXTJOIN("; ",TRUE,D322,F322)="","",_xludf.TEXTJOIN("; ",TRUE,D322,F322))</f>
        <v>#NAME?</v>
      </c>
      <c r="I322" s="3">
        <v>38</v>
      </c>
      <c r="J322" s="3"/>
      <c r="K322" s="3">
        <v>31</v>
      </c>
      <c r="L322" s="3"/>
      <c r="M322" s="3">
        <f t="shared" ref="M322:M385" si="16">IF(OR(I322="",I322=":",K322="",K322=":"),"",I322*K322)</f>
        <v>1178</v>
      </c>
      <c r="N322" s="3" t="e">
        <f ca="1">IF(_xludf.TEXTJOIN("; ",TRUE,J322,L322)="","",_xludf.TEXTJOIN("; ",TRUE,J322,L322))</f>
        <v>#NAME?</v>
      </c>
      <c r="O322" s="3">
        <v>40</v>
      </c>
      <c r="P322" s="3"/>
      <c r="Q322" s="3">
        <v>32</v>
      </c>
      <c r="R322" s="3"/>
      <c r="S322" s="3">
        <f t="shared" ref="S322:S385" si="17">IF(OR(O322="",O322=":",Q322="",Q322=":"),"",O322*Q322)</f>
        <v>1280</v>
      </c>
      <c r="T322" s="3" t="e">
        <f ca="1">IF(_xludf.TEXTJOIN("; ",TRUE,P322,R322)="","",_xludf.TEXTJOIN("; ",TRUE,P322,R322))</f>
        <v>#NAME?</v>
      </c>
    </row>
    <row r="323" spans="1:20">
      <c r="A323" t="s">
        <v>642</v>
      </c>
      <c r="B323" t="s">
        <v>643</v>
      </c>
      <c r="C323" s="3">
        <v>32</v>
      </c>
      <c r="D323" s="3"/>
      <c r="E323" s="3">
        <v>243</v>
      </c>
      <c r="F323" s="3"/>
      <c r="G323" s="3">
        <f t="shared" si="15"/>
        <v>7776</v>
      </c>
      <c r="H323" s="3" t="e">
        <f ca="1">IF(_xludf.TEXTJOIN("; ",TRUE,D323,F323)="","",_xludf.TEXTJOIN("; ",TRUE,D323,F323))</f>
        <v>#NAME?</v>
      </c>
      <c r="I323" s="3">
        <v>28</v>
      </c>
      <c r="J323" s="3"/>
      <c r="K323" s="3">
        <v>250</v>
      </c>
      <c r="L323" s="3"/>
      <c r="M323" s="3">
        <f t="shared" si="16"/>
        <v>7000</v>
      </c>
      <c r="N323" s="3" t="e">
        <f ca="1">IF(_xludf.TEXTJOIN("; ",TRUE,J323,L323)="","",_xludf.TEXTJOIN("; ",TRUE,J323,L323))</f>
        <v>#NAME?</v>
      </c>
      <c r="O323" s="3">
        <v>31</v>
      </c>
      <c r="P323" s="3"/>
      <c r="Q323" s="3">
        <v>245</v>
      </c>
      <c r="R323" s="3"/>
      <c r="S323" s="3">
        <f t="shared" si="17"/>
        <v>7595</v>
      </c>
      <c r="T323" s="3" t="e">
        <f ca="1">IF(_xludf.TEXTJOIN("; ",TRUE,P323,R323)="","",_xludf.TEXTJOIN("; ",TRUE,P323,R323))</f>
        <v>#NAME?</v>
      </c>
    </row>
    <row r="324" spans="1:20">
      <c r="A324" t="s">
        <v>644</v>
      </c>
      <c r="B324" t="s">
        <v>645</v>
      </c>
      <c r="C324" s="3">
        <v>26</v>
      </c>
      <c r="D324" s="3"/>
      <c r="E324" s="3">
        <v>193</v>
      </c>
      <c r="F324" s="3"/>
      <c r="G324" s="3">
        <f t="shared" si="15"/>
        <v>5018</v>
      </c>
      <c r="H324" s="3" t="e">
        <f ca="1">IF(_xludf.TEXTJOIN("; ",TRUE,D324,F324)="","",_xludf.TEXTJOIN("; ",TRUE,D324,F324))</f>
        <v>#NAME?</v>
      </c>
      <c r="I324" s="3">
        <v>22</v>
      </c>
      <c r="J324" s="3"/>
      <c r="K324" s="3">
        <v>202</v>
      </c>
      <c r="L324" s="3"/>
      <c r="M324" s="3">
        <f t="shared" si="16"/>
        <v>4444</v>
      </c>
      <c r="N324" s="3" t="e">
        <f ca="1">IF(_xludf.TEXTJOIN("; ",TRUE,J324,L324)="","",_xludf.TEXTJOIN("; ",TRUE,J324,L324))</f>
        <v>#NAME?</v>
      </c>
      <c r="O324" s="3">
        <v>27</v>
      </c>
      <c r="P324" s="3"/>
      <c r="Q324" s="3">
        <v>198</v>
      </c>
      <c r="R324" s="3"/>
      <c r="S324" s="3">
        <f t="shared" si="17"/>
        <v>5346</v>
      </c>
      <c r="T324" s="3" t="e">
        <f ca="1">IF(_xludf.TEXTJOIN("; ",TRUE,P324,R324)="","",_xludf.TEXTJOIN("; ",TRUE,P324,R324))</f>
        <v>#NAME?</v>
      </c>
    </row>
    <row r="325" spans="1:20">
      <c r="A325" t="s">
        <v>646</v>
      </c>
      <c r="B325" t="s">
        <v>647</v>
      </c>
      <c r="C325" s="3">
        <v>54</v>
      </c>
      <c r="D325" s="3"/>
      <c r="E325" s="3">
        <v>50</v>
      </c>
      <c r="F325" s="3"/>
      <c r="G325" s="3">
        <f t="shared" si="15"/>
        <v>2700</v>
      </c>
      <c r="H325" s="3" t="e">
        <f ca="1">IF(_xludf.TEXTJOIN("; ",TRUE,D325,F325)="","",_xludf.TEXTJOIN("; ",TRUE,D325,F325))</f>
        <v>#NAME?</v>
      </c>
      <c r="I325" s="3">
        <v>53</v>
      </c>
      <c r="J325" s="3"/>
      <c r="K325" s="3">
        <v>48</v>
      </c>
      <c r="L325" s="3"/>
      <c r="M325" s="3">
        <f t="shared" si="16"/>
        <v>2544</v>
      </c>
      <c r="N325" s="3" t="e">
        <f ca="1">IF(_xludf.TEXTJOIN("; ",TRUE,J325,L325)="","",_xludf.TEXTJOIN("; ",TRUE,J325,L325))</f>
        <v>#NAME?</v>
      </c>
      <c r="O325" s="3">
        <v>52</v>
      </c>
      <c r="P325" s="3"/>
      <c r="Q325" s="3">
        <v>47</v>
      </c>
      <c r="R325" s="3"/>
      <c r="S325" s="3">
        <f t="shared" si="17"/>
        <v>2444</v>
      </c>
      <c r="T325" s="3" t="e">
        <f ca="1">IF(_xludf.TEXTJOIN("; ",TRUE,P325,R325)="","",_xludf.TEXTJOIN("; ",TRUE,P325,R325))</f>
        <v>#NAME?</v>
      </c>
    </row>
    <row r="326" spans="1:20">
      <c r="A326" t="s">
        <v>648</v>
      </c>
      <c r="B326" t="s">
        <v>649</v>
      </c>
      <c r="C326" s="3">
        <v>58</v>
      </c>
      <c r="D326" s="3" t="s">
        <v>334</v>
      </c>
      <c r="E326" s="3">
        <v>735</v>
      </c>
      <c r="F326" s="3" t="s">
        <v>334</v>
      </c>
      <c r="G326" s="3">
        <f t="shared" si="15"/>
        <v>42630</v>
      </c>
      <c r="H326" s="3" t="e">
        <f ca="1">IF(_xludf.TEXTJOIN("; ",TRUE,D326,F326)="","",_xludf.TEXTJOIN("; ",TRUE,D326,F326))</f>
        <v>#NAME?</v>
      </c>
      <c r="I326" s="3">
        <v>58</v>
      </c>
      <c r="J326" s="3"/>
      <c r="K326" s="3">
        <v>716</v>
      </c>
      <c r="L326" s="3"/>
      <c r="M326" s="3">
        <f t="shared" si="16"/>
        <v>41528</v>
      </c>
      <c r="N326" s="3" t="e">
        <f ca="1">IF(_xludf.TEXTJOIN("; ",TRUE,J326,L326)="","",_xludf.TEXTJOIN("; ",TRUE,J326,L326))</f>
        <v>#NAME?</v>
      </c>
      <c r="O326" s="3">
        <v>60</v>
      </c>
      <c r="P326" s="3"/>
      <c r="Q326" s="3">
        <v>718</v>
      </c>
      <c r="R326" s="3"/>
      <c r="S326" s="3">
        <f t="shared" si="17"/>
        <v>43080</v>
      </c>
      <c r="T326" s="3" t="e">
        <f ca="1">IF(_xludf.TEXTJOIN("; ",TRUE,P326,R326)="","",_xludf.TEXTJOIN("; ",TRUE,P326,R326))</f>
        <v>#NAME?</v>
      </c>
    </row>
    <row r="327" spans="1:20">
      <c r="A327" t="s">
        <v>650</v>
      </c>
      <c r="B327" t="s">
        <v>651</v>
      </c>
      <c r="C327" s="3">
        <v>59</v>
      </c>
      <c r="D327" s="3" t="s">
        <v>334</v>
      </c>
      <c r="E327" s="3">
        <v>723</v>
      </c>
      <c r="F327" s="3" t="s">
        <v>334</v>
      </c>
      <c r="G327" s="3">
        <f t="shared" si="15"/>
        <v>42657</v>
      </c>
      <c r="H327" s="3" t="e">
        <f ca="1">IF(_xludf.TEXTJOIN("; ",TRUE,D327,F327)="","",_xludf.TEXTJOIN("; ",TRUE,D327,F327))</f>
        <v>#NAME?</v>
      </c>
      <c r="I327" s="3">
        <v>59</v>
      </c>
      <c r="J327" s="3"/>
      <c r="K327" s="3">
        <v>703</v>
      </c>
      <c r="L327" s="3"/>
      <c r="M327" s="3">
        <f t="shared" si="16"/>
        <v>41477</v>
      </c>
      <c r="N327" s="3" t="e">
        <f ca="1">IF(_xludf.TEXTJOIN("; ",TRUE,J327,L327)="","",_xludf.TEXTJOIN("; ",TRUE,J327,L327))</f>
        <v>#NAME?</v>
      </c>
      <c r="O327" s="3">
        <v>61</v>
      </c>
      <c r="P327" s="3"/>
      <c r="Q327" s="3">
        <v>706</v>
      </c>
      <c r="R327" s="3"/>
      <c r="S327" s="3">
        <f t="shared" si="17"/>
        <v>43066</v>
      </c>
      <c r="T327" s="3" t="e">
        <f ca="1">IF(_xludf.TEXTJOIN("; ",TRUE,P327,R327)="","",_xludf.TEXTJOIN("; ",TRUE,P327,R327))</f>
        <v>#NAME?</v>
      </c>
    </row>
    <row r="328" spans="1:20">
      <c r="A328" t="s">
        <v>652</v>
      </c>
      <c r="B328" t="s">
        <v>653</v>
      </c>
      <c r="C328" s="3">
        <v>69</v>
      </c>
      <c r="D328" s="3" t="s">
        <v>334</v>
      </c>
      <c r="E328" s="3">
        <v>330</v>
      </c>
      <c r="F328" s="3" t="s">
        <v>334</v>
      </c>
      <c r="G328" s="3">
        <f t="shared" si="15"/>
        <v>22770</v>
      </c>
      <c r="H328" s="3" t="e">
        <f ca="1">IF(_xludf.TEXTJOIN("; ",TRUE,D328,F328)="","",_xludf.TEXTJOIN("; ",TRUE,D328,F328))</f>
        <v>#NAME?</v>
      </c>
      <c r="I328" s="3">
        <v>73</v>
      </c>
      <c r="J328" s="3"/>
      <c r="K328" s="3">
        <v>317</v>
      </c>
      <c r="L328" s="3"/>
      <c r="M328" s="3">
        <f t="shared" si="16"/>
        <v>23141</v>
      </c>
      <c r="N328" s="3" t="e">
        <f ca="1">IF(_xludf.TEXTJOIN("; ",TRUE,J328,L328)="","",_xludf.TEXTJOIN("; ",TRUE,J328,L328))</f>
        <v>#NAME?</v>
      </c>
      <c r="O328" s="3">
        <v>76</v>
      </c>
      <c r="P328" s="3"/>
      <c r="Q328" s="3">
        <v>316</v>
      </c>
      <c r="R328" s="3"/>
      <c r="S328" s="3">
        <f t="shared" si="17"/>
        <v>24016</v>
      </c>
      <c r="T328" s="3" t="e">
        <f ca="1">IF(_xludf.TEXTJOIN("; ",TRUE,P328,R328)="","",_xludf.TEXTJOIN("; ",TRUE,P328,R328))</f>
        <v>#NAME?</v>
      </c>
    </row>
    <row r="329" spans="1:20">
      <c r="A329" t="s">
        <v>654</v>
      </c>
      <c r="B329" t="s">
        <v>655</v>
      </c>
      <c r="C329" s="3">
        <v>1</v>
      </c>
      <c r="D329" s="3" t="s">
        <v>334</v>
      </c>
      <c r="E329" s="3">
        <v>12</v>
      </c>
      <c r="F329" s="3" t="s">
        <v>334</v>
      </c>
      <c r="G329" s="3">
        <f t="shared" si="15"/>
        <v>12</v>
      </c>
      <c r="H329" s="3" t="e">
        <f ca="1">IF(_xludf.TEXTJOIN("; ",TRUE,D329,F329)="","",_xludf.TEXTJOIN("; ",TRUE,D329,F329))</f>
        <v>#NAME?</v>
      </c>
      <c r="I329" s="3">
        <v>2</v>
      </c>
      <c r="J329" s="3"/>
      <c r="K329" s="3">
        <v>13</v>
      </c>
      <c r="L329" s="3"/>
      <c r="M329" s="3">
        <f t="shared" si="16"/>
        <v>26</v>
      </c>
      <c r="N329" s="3" t="e">
        <f ca="1">IF(_xludf.TEXTJOIN("; ",TRUE,J329,L329)="","",_xludf.TEXTJOIN("; ",TRUE,J329,L329))</f>
        <v>#NAME?</v>
      </c>
      <c r="O329" s="3">
        <v>1</v>
      </c>
      <c r="P329" s="3"/>
      <c r="Q329" s="3">
        <v>13</v>
      </c>
      <c r="R329" s="3"/>
      <c r="S329" s="3">
        <f t="shared" si="17"/>
        <v>13</v>
      </c>
      <c r="T329" s="3" t="e">
        <f ca="1">IF(_xludf.TEXTJOIN("; ",TRUE,P329,R329)="","",_xludf.TEXTJOIN("; ",TRUE,P329,R329))</f>
        <v>#NAME?</v>
      </c>
    </row>
    <row r="330" spans="1:20">
      <c r="A330" t="s">
        <v>656</v>
      </c>
      <c r="B330" t="s">
        <v>657</v>
      </c>
      <c r="C330" s="3">
        <v>44</v>
      </c>
      <c r="D330" s="3" t="s">
        <v>334</v>
      </c>
      <c r="E330" s="3">
        <v>209</v>
      </c>
      <c r="F330" s="3" t="s">
        <v>334</v>
      </c>
      <c r="G330" s="3">
        <f t="shared" si="15"/>
        <v>9196</v>
      </c>
      <c r="H330" s="3" t="e">
        <f ca="1">IF(_xludf.TEXTJOIN("; ",TRUE,D330,F330)="","",_xludf.TEXTJOIN("; ",TRUE,D330,F330))</f>
        <v>#NAME?</v>
      </c>
      <c r="I330" s="3" t="s">
        <v>43</v>
      </c>
      <c r="J330" s="3"/>
      <c r="K330" s="3" t="s">
        <v>43</v>
      </c>
      <c r="L330" s="3"/>
      <c r="M330" s="3" t="str">
        <f t="shared" si="16"/>
        <v/>
      </c>
      <c r="N330" s="3" t="e">
        <f ca="1">IF(_xludf.TEXTJOIN("; ",TRUE,J330,L330)="","",_xludf.TEXTJOIN("; ",TRUE,J330,L330))</f>
        <v>#NAME?</v>
      </c>
      <c r="O330" s="3" t="s">
        <v>43</v>
      </c>
      <c r="P330" s="3"/>
      <c r="Q330" s="3" t="s">
        <v>43</v>
      </c>
      <c r="R330" s="3"/>
      <c r="S330" s="3" t="str">
        <f t="shared" si="17"/>
        <v/>
      </c>
      <c r="T330" s="3" t="e">
        <f ca="1">IF(_xludf.TEXTJOIN("; ",TRUE,P330,R330)="","",_xludf.TEXTJOIN("; ",TRUE,P330,R330))</f>
        <v>#NAME?</v>
      </c>
    </row>
    <row r="331" spans="1:20">
      <c r="A331" t="s">
        <v>658</v>
      </c>
      <c r="B331" t="s">
        <v>659</v>
      </c>
      <c r="C331" s="3">
        <v>77</v>
      </c>
      <c r="D331" s="3" t="s">
        <v>334</v>
      </c>
      <c r="E331" s="3">
        <v>117</v>
      </c>
      <c r="F331" s="3" t="s">
        <v>334</v>
      </c>
      <c r="G331" s="3">
        <f t="shared" si="15"/>
        <v>9009</v>
      </c>
      <c r="H331" s="3" t="e">
        <f ca="1">IF(_xludf.TEXTJOIN("; ",TRUE,D331,F331)="","",_xludf.TEXTJOIN("; ",TRUE,D331,F331))</f>
        <v>#NAME?</v>
      </c>
      <c r="I331" s="3" t="s">
        <v>43</v>
      </c>
      <c r="J331" s="3"/>
      <c r="K331" s="3" t="s">
        <v>43</v>
      </c>
      <c r="L331" s="3"/>
      <c r="M331" s="3" t="str">
        <f t="shared" si="16"/>
        <v/>
      </c>
      <c r="N331" s="3" t="e">
        <f ca="1">IF(_xludf.TEXTJOIN("; ",TRUE,J331,L331)="","",_xludf.TEXTJOIN("; ",TRUE,J331,L331))</f>
        <v>#NAME?</v>
      </c>
      <c r="O331" s="3" t="s">
        <v>43</v>
      </c>
      <c r="P331" s="3"/>
      <c r="Q331" s="3" t="s">
        <v>43</v>
      </c>
      <c r="R331" s="3"/>
      <c r="S331" s="3" t="str">
        <f t="shared" si="17"/>
        <v/>
      </c>
      <c r="T331" s="3" t="e">
        <f ca="1">IF(_xludf.TEXTJOIN("; ",TRUE,P331,R331)="","",_xludf.TEXTJOIN("; ",TRUE,P331,R331))</f>
        <v>#NAME?</v>
      </c>
    </row>
    <row r="332" spans="1:20">
      <c r="A332" t="s">
        <v>660</v>
      </c>
      <c r="B332" t="s">
        <v>661</v>
      </c>
      <c r="C332" s="3">
        <v>27</v>
      </c>
      <c r="D332" s="3" t="s">
        <v>334</v>
      </c>
      <c r="E332" s="3">
        <v>55</v>
      </c>
      <c r="F332" s="3" t="s">
        <v>334</v>
      </c>
      <c r="G332" s="3">
        <f t="shared" si="15"/>
        <v>1485</v>
      </c>
      <c r="H332" s="3" t="e">
        <f ca="1">IF(_xludf.TEXTJOIN("; ",TRUE,D332,F332)="","",_xludf.TEXTJOIN("; ",TRUE,D332,F332))</f>
        <v>#NAME?</v>
      </c>
      <c r="I332" s="3" t="s">
        <v>43</v>
      </c>
      <c r="J332" s="3"/>
      <c r="K332" s="3" t="s">
        <v>43</v>
      </c>
      <c r="L332" s="3"/>
      <c r="M332" s="3" t="str">
        <f t="shared" si="16"/>
        <v/>
      </c>
      <c r="N332" s="3" t="e">
        <f ca="1">IF(_xludf.TEXTJOIN("; ",TRUE,J332,L332)="","",_xludf.TEXTJOIN("; ",TRUE,J332,L332))</f>
        <v>#NAME?</v>
      </c>
      <c r="O332" s="3" t="s">
        <v>43</v>
      </c>
      <c r="P332" s="3"/>
      <c r="Q332" s="3" t="s">
        <v>43</v>
      </c>
      <c r="R332" s="3"/>
      <c r="S332" s="3" t="str">
        <f t="shared" si="17"/>
        <v/>
      </c>
      <c r="T332" s="3" t="e">
        <f ca="1">IF(_xludf.TEXTJOIN("; ",TRUE,P332,R332)="","",_xludf.TEXTJOIN("; ",TRUE,P332,R332))</f>
        <v>#NAME?</v>
      </c>
    </row>
    <row r="333" spans="1:20">
      <c r="A333" t="s">
        <v>662</v>
      </c>
      <c r="B333" t="s">
        <v>663</v>
      </c>
      <c r="C333" s="3" t="s">
        <v>43</v>
      </c>
      <c r="D333" s="3"/>
      <c r="E333" s="3" t="s">
        <v>43</v>
      </c>
      <c r="F333" s="3"/>
      <c r="G333" s="3" t="str">
        <f t="shared" si="15"/>
        <v/>
      </c>
      <c r="H333" s="3" t="e">
        <f ca="1">IF(_xludf.TEXTJOIN("; ",TRUE,D333,F333)="","",_xludf.TEXTJOIN("; ",TRUE,D333,F333))</f>
        <v>#NAME?</v>
      </c>
      <c r="I333" s="3">
        <v>46</v>
      </c>
      <c r="J333" s="3"/>
      <c r="K333" s="3">
        <v>146</v>
      </c>
      <c r="L333" s="3"/>
      <c r="M333" s="3">
        <f t="shared" si="16"/>
        <v>6716</v>
      </c>
      <c r="N333" s="3" t="e">
        <f ca="1">IF(_xludf.TEXTJOIN("; ",TRUE,J333,L333)="","",_xludf.TEXTJOIN("; ",TRUE,J333,L333))</f>
        <v>#NAME?</v>
      </c>
      <c r="O333" s="3">
        <v>43</v>
      </c>
      <c r="P333" s="3"/>
      <c r="Q333" s="3">
        <v>154</v>
      </c>
      <c r="R333" s="3"/>
      <c r="S333" s="3">
        <f t="shared" si="17"/>
        <v>6622</v>
      </c>
      <c r="T333" s="3" t="e">
        <f ca="1">IF(_xludf.TEXTJOIN("; ",TRUE,P333,R333)="","",_xludf.TEXTJOIN("; ",TRUE,P333,R333))</f>
        <v>#NAME?</v>
      </c>
    </row>
    <row r="334" spans="1:20">
      <c r="A334" t="s">
        <v>664</v>
      </c>
      <c r="B334" t="s">
        <v>665</v>
      </c>
      <c r="C334" s="3" t="s">
        <v>43</v>
      </c>
      <c r="D334" s="3"/>
      <c r="E334" s="3" t="s">
        <v>43</v>
      </c>
      <c r="F334" s="3"/>
      <c r="G334" s="3" t="str">
        <f t="shared" si="15"/>
        <v/>
      </c>
      <c r="H334" s="3" t="e">
        <f ca="1">IF(_xludf.TEXTJOIN("; ",TRUE,D334,F334)="","",_xludf.TEXTJOIN("; ",TRUE,D334,F334))</f>
        <v>#NAME?</v>
      </c>
      <c r="I334" s="3">
        <v>14</v>
      </c>
      <c r="J334" s="3"/>
      <c r="K334" s="3">
        <v>73</v>
      </c>
      <c r="L334" s="3"/>
      <c r="M334" s="3">
        <f t="shared" si="16"/>
        <v>1022</v>
      </c>
      <c r="N334" s="3" t="e">
        <f ca="1">IF(_xludf.TEXTJOIN("; ",TRUE,J334,L334)="","",_xludf.TEXTJOIN("; ",TRUE,J334,L334))</f>
        <v>#NAME?</v>
      </c>
      <c r="O334" s="3">
        <v>15</v>
      </c>
      <c r="P334" s="3"/>
      <c r="Q334" s="3">
        <v>74</v>
      </c>
      <c r="R334" s="3"/>
      <c r="S334" s="3">
        <f t="shared" si="17"/>
        <v>1110</v>
      </c>
      <c r="T334" s="3" t="e">
        <f ca="1">IF(_xludf.TEXTJOIN("; ",TRUE,P334,R334)="","",_xludf.TEXTJOIN("; ",TRUE,P334,R334))</f>
        <v>#NAME?</v>
      </c>
    </row>
    <row r="335" spans="1:20">
      <c r="A335" t="s">
        <v>666</v>
      </c>
      <c r="B335" t="s">
        <v>667</v>
      </c>
      <c r="C335" s="3" t="s">
        <v>43</v>
      </c>
      <c r="D335" s="3"/>
      <c r="E335" s="3" t="s">
        <v>43</v>
      </c>
      <c r="F335" s="3"/>
      <c r="G335" s="3" t="str">
        <f t="shared" si="15"/>
        <v/>
      </c>
      <c r="H335" s="3" t="e">
        <f ca="1">IF(_xludf.TEXTJOIN("; ",TRUE,D335,F335)="","",_xludf.TEXTJOIN("; ",TRUE,D335,F335))</f>
        <v>#NAME?</v>
      </c>
      <c r="I335" s="3">
        <v>203</v>
      </c>
      <c r="J335" s="3"/>
      <c r="K335" s="3">
        <v>38</v>
      </c>
      <c r="L335" s="3"/>
      <c r="M335" s="3">
        <f t="shared" si="16"/>
        <v>7714</v>
      </c>
      <c r="N335" s="3" t="e">
        <f ca="1">IF(_xludf.TEXTJOIN("; ",TRUE,J335,L335)="","",_xludf.TEXTJOIN("; ",TRUE,J335,L335))</f>
        <v>#NAME?</v>
      </c>
      <c r="O335" s="3">
        <v>219</v>
      </c>
      <c r="P335" s="3"/>
      <c r="Q335" s="3">
        <v>35</v>
      </c>
      <c r="R335" s="3"/>
      <c r="S335" s="3">
        <f t="shared" si="17"/>
        <v>7665</v>
      </c>
      <c r="T335" s="3" t="e">
        <f ca="1">IF(_xludf.TEXTJOIN("; ",TRUE,P335,R335)="","",_xludf.TEXTJOIN("; ",TRUE,P335,R335))</f>
        <v>#NAME?</v>
      </c>
    </row>
    <row r="336" spans="1:20">
      <c r="A336" t="s">
        <v>668</v>
      </c>
      <c r="B336" t="s">
        <v>669</v>
      </c>
      <c r="C336" s="3" t="s">
        <v>43</v>
      </c>
      <c r="D336" s="3"/>
      <c r="E336" s="3" t="s">
        <v>43</v>
      </c>
      <c r="F336" s="3"/>
      <c r="G336" s="3" t="str">
        <f t="shared" si="15"/>
        <v/>
      </c>
      <c r="H336" s="3" t="e">
        <f ca="1">IF(_xludf.TEXTJOIN("; ",TRUE,D336,F336)="","",_xludf.TEXTJOIN("; ",TRUE,D336,F336))</f>
        <v>#NAME?</v>
      </c>
      <c r="I336" s="3">
        <v>21</v>
      </c>
      <c r="J336" s="3"/>
      <c r="K336" s="3">
        <v>19</v>
      </c>
      <c r="L336" s="3"/>
      <c r="M336" s="3">
        <f t="shared" si="16"/>
        <v>399</v>
      </c>
      <c r="N336" s="3" t="e">
        <f ca="1">IF(_xludf.TEXTJOIN("; ",TRUE,J336,L336)="","",_xludf.TEXTJOIN("; ",TRUE,J336,L336))</f>
        <v>#NAME?</v>
      </c>
      <c r="O336" s="3">
        <v>22</v>
      </c>
      <c r="P336" s="3"/>
      <c r="Q336" s="3">
        <v>18</v>
      </c>
      <c r="R336" s="3"/>
      <c r="S336" s="3">
        <f t="shared" si="17"/>
        <v>396</v>
      </c>
      <c r="T336" s="3" t="e">
        <f ca="1">IF(_xludf.TEXTJOIN("; ",TRUE,P336,R336)="","",_xludf.TEXTJOIN("; ",TRUE,P336,R336))</f>
        <v>#NAME?</v>
      </c>
    </row>
    <row r="337" spans="1:20">
      <c r="A337" t="s">
        <v>670</v>
      </c>
      <c r="B337" t="s">
        <v>671</v>
      </c>
      <c r="C337" s="3" t="s">
        <v>43</v>
      </c>
      <c r="D337" s="3"/>
      <c r="E337" s="3" t="s">
        <v>43</v>
      </c>
      <c r="F337" s="3"/>
      <c r="G337" s="3" t="str">
        <f t="shared" si="15"/>
        <v/>
      </c>
      <c r="H337" s="3" t="e">
        <f ca="1">IF(_xludf.TEXTJOIN("; ",TRUE,D337,F337)="","",_xludf.TEXTJOIN("; ",TRUE,D337,F337))</f>
        <v>#NAME?</v>
      </c>
      <c r="I337" s="3">
        <v>28</v>
      </c>
      <c r="J337" s="3"/>
      <c r="K337" s="3">
        <v>97</v>
      </c>
      <c r="L337" s="3"/>
      <c r="M337" s="3">
        <f t="shared" si="16"/>
        <v>2716</v>
      </c>
      <c r="N337" s="3" t="e">
        <f ca="1">IF(_xludf.TEXTJOIN("; ",TRUE,J337,L337)="","",_xludf.TEXTJOIN("; ",TRUE,J337,L337))</f>
        <v>#NAME?</v>
      </c>
      <c r="O337" s="3">
        <v>30</v>
      </c>
      <c r="P337" s="3"/>
      <c r="Q337" s="3">
        <v>96</v>
      </c>
      <c r="R337" s="3"/>
      <c r="S337" s="3">
        <f t="shared" si="17"/>
        <v>2880</v>
      </c>
      <c r="T337" s="3" t="e">
        <f ca="1">IF(_xludf.TEXTJOIN("; ",TRUE,P337,R337)="","",_xludf.TEXTJOIN("; ",TRUE,P337,R337))</f>
        <v>#NAME?</v>
      </c>
    </row>
    <row r="338" spans="1:20">
      <c r="A338" t="s">
        <v>672</v>
      </c>
      <c r="B338" t="s">
        <v>673</v>
      </c>
      <c r="C338" s="3" t="s">
        <v>43</v>
      </c>
      <c r="D338" s="3" t="s">
        <v>403</v>
      </c>
      <c r="E338" s="3">
        <v>6</v>
      </c>
      <c r="F338" s="3" t="s">
        <v>334</v>
      </c>
      <c r="G338" s="3" t="str">
        <f t="shared" si="15"/>
        <v/>
      </c>
      <c r="H338" s="3" t="e">
        <f ca="1">IF(_xludf.TEXTJOIN("; ",TRUE,D338,F338)="","",_xludf.TEXTJOIN("; ",TRUE,D338,F338))</f>
        <v>#NAME?</v>
      </c>
      <c r="I338" s="3" t="s">
        <v>43</v>
      </c>
      <c r="J338" s="3" t="s">
        <v>44</v>
      </c>
      <c r="K338" s="3">
        <v>7</v>
      </c>
      <c r="L338" s="3"/>
      <c r="M338" s="3" t="str">
        <f t="shared" si="16"/>
        <v/>
      </c>
      <c r="N338" s="3" t="e">
        <f ca="1">IF(_xludf.TEXTJOIN("; ",TRUE,J338,L338)="","",_xludf.TEXTJOIN("; ",TRUE,J338,L338))</f>
        <v>#NAME?</v>
      </c>
      <c r="O338" s="3" t="s">
        <v>43</v>
      </c>
      <c r="P338" s="3" t="s">
        <v>44</v>
      </c>
      <c r="Q338" s="3">
        <v>6</v>
      </c>
      <c r="R338" s="3"/>
      <c r="S338" s="3" t="str">
        <f t="shared" si="17"/>
        <v/>
      </c>
      <c r="T338" s="3" t="e">
        <f ca="1">IF(_xludf.TEXTJOIN("; ",TRUE,P338,R338)="","",_xludf.TEXTJOIN("; ",TRUE,P338,R338))</f>
        <v>#NAME?</v>
      </c>
    </row>
    <row r="339" spans="1:20">
      <c r="A339" t="s">
        <v>674</v>
      </c>
      <c r="B339" t="s">
        <v>673</v>
      </c>
      <c r="C339" s="3" t="s">
        <v>43</v>
      </c>
      <c r="D339" s="3" t="s">
        <v>403</v>
      </c>
      <c r="E339" s="3">
        <v>6</v>
      </c>
      <c r="F339" s="3" t="s">
        <v>334</v>
      </c>
      <c r="G339" s="3" t="str">
        <f t="shared" si="15"/>
        <v/>
      </c>
      <c r="H339" s="3" t="e">
        <f ca="1">IF(_xludf.TEXTJOIN("; ",TRUE,D339,F339)="","",_xludf.TEXTJOIN("; ",TRUE,D339,F339))</f>
        <v>#NAME?</v>
      </c>
      <c r="I339" s="3" t="s">
        <v>43</v>
      </c>
      <c r="J339" s="3" t="s">
        <v>44</v>
      </c>
      <c r="K339" s="3">
        <v>7</v>
      </c>
      <c r="L339" s="3"/>
      <c r="M339" s="3" t="str">
        <f t="shared" si="16"/>
        <v/>
      </c>
      <c r="N339" s="3" t="e">
        <f ca="1">IF(_xludf.TEXTJOIN("; ",TRUE,J339,L339)="","",_xludf.TEXTJOIN("; ",TRUE,J339,L339))</f>
        <v>#NAME?</v>
      </c>
      <c r="O339" s="3" t="s">
        <v>43</v>
      </c>
      <c r="P339" s="3" t="s">
        <v>44</v>
      </c>
      <c r="Q339" s="3">
        <v>6</v>
      </c>
      <c r="R339" s="3"/>
      <c r="S339" s="3" t="str">
        <f t="shared" si="17"/>
        <v/>
      </c>
      <c r="T339" s="3" t="e">
        <f ca="1">IF(_xludf.TEXTJOIN("; ",TRUE,P339,R339)="","",_xludf.TEXTJOIN("; ",TRUE,P339,R339))</f>
        <v>#NAME?</v>
      </c>
    </row>
    <row r="340" spans="1:20">
      <c r="A340" t="s">
        <v>675</v>
      </c>
      <c r="B340" t="s">
        <v>676</v>
      </c>
      <c r="C340" s="3" t="s">
        <v>43</v>
      </c>
      <c r="D340" s="3" t="s">
        <v>403</v>
      </c>
      <c r="E340" s="3">
        <v>6</v>
      </c>
      <c r="F340" s="3" t="s">
        <v>334</v>
      </c>
      <c r="G340" s="3" t="str">
        <f t="shared" si="15"/>
        <v/>
      </c>
      <c r="H340" s="3" t="e">
        <f ca="1">IF(_xludf.TEXTJOIN("; ",TRUE,D340,F340)="","",_xludf.TEXTJOIN("; ",TRUE,D340,F340))</f>
        <v>#NAME?</v>
      </c>
      <c r="I340" s="3" t="s">
        <v>43</v>
      </c>
      <c r="J340" s="3" t="s">
        <v>44</v>
      </c>
      <c r="K340" s="3">
        <v>6</v>
      </c>
      <c r="L340" s="3"/>
      <c r="M340" s="3" t="str">
        <f t="shared" si="16"/>
        <v/>
      </c>
      <c r="N340" s="3" t="e">
        <f ca="1">IF(_xludf.TEXTJOIN("; ",TRUE,J340,L340)="","",_xludf.TEXTJOIN("; ",TRUE,J340,L340))</f>
        <v>#NAME?</v>
      </c>
      <c r="O340" s="3" t="s">
        <v>43</v>
      </c>
      <c r="P340" s="3" t="s">
        <v>44</v>
      </c>
      <c r="Q340" s="3">
        <v>6</v>
      </c>
      <c r="R340" s="3"/>
      <c r="S340" s="3" t="str">
        <f t="shared" si="17"/>
        <v/>
      </c>
      <c r="T340" s="3" t="e">
        <f ca="1">IF(_xludf.TEXTJOIN("; ",TRUE,P340,R340)="","",_xludf.TEXTJOIN("; ",TRUE,P340,R340))</f>
        <v>#NAME?</v>
      </c>
    </row>
    <row r="341" spans="1:20">
      <c r="A341" t="s">
        <v>677</v>
      </c>
      <c r="B341" t="s">
        <v>676</v>
      </c>
      <c r="C341" s="3" t="s">
        <v>43</v>
      </c>
      <c r="D341" s="3" t="s">
        <v>403</v>
      </c>
      <c r="E341" s="3">
        <v>6</v>
      </c>
      <c r="F341" s="3" t="s">
        <v>334</v>
      </c>
      <c r="G341" s="3" t="str">
        <f t="shared" si="15"/>
        <v/>
      </c>
      <c r="H341" s="3" t="e">
        <f ca="1">IF(_xludf.TEXTJOIN("; ",TRUE,D341,F341)="","",_xludf.TEXTJOIN("; ",TRUE,D341,F341))</f>
        <v>#NAME?</v>
      </c>
      <c r="I341" s="3" t="s">
        <v>43</v>
      </c>
      <c r="J341" s="3" t="s">
        <v>44</v>
      </c>
      <c r="K341" s="3">
        <v>6</v>
      </c>
      <c r="L341" s="3"/>
      <c r="M341" s="3" t="str">
        <f t="shared" si="16"/>
        <v/>
      </c>
      <c r="N341" s="3" t="e">
        <f ca="1">IF(_xludf.TEXTJOIN("; ",TRUE,J341,L341)="","",_xludf.TEXTJOIN("; ",TRUE,J341,L341))</f>
        <v>#NAME?</v>
      </c>
      <c r="O341" s="3" t="s">
        <v>43</v>
      </c>
      <c r="P341" s="3" t="s">
        <v>44</v>
      </c>
      <c r="Q341" s="3">
        <v>6</v>
      </c>
      <c r="R341" s="3"/>
      <c r="S341" s="3" t="str">
        <f t="shared" si="17"/>
        <v/>
      </c>
      <c r="T341" s="3" t="e">
        <f ca="1">IF(_xludf.TEXTJOIN("; ",TRUE,P341,R341)="","",_xludf.TEXTJOIN("; ",TRUE,P341,R341))</f>
        <v>#NAME?</v>
      </c>
    </row>
    <row r="342" spans="1:20">
      <c r="A342" t="s">
        <v>678</v>
      </c>
      <c r="B342" t="s">
        <v>68</v>
      </c>
      <c r="C342" s="3" t="s">
        <v>43</v>
      </c>
      <c r="D342" s="3"/>
      <c r="E342" s="3">
        <v>0</v>
      </c>
      <c r="F342" s="3" t="s">
        <v>334</v>
      </c>
      <c r="G342" s="3" t="str">
        <f t="shared" si="15"/>
        <v/>
      </c>
      <c r="H342" s="3" t="e">
        <f ca="1">IF(_xludf.TEXTJOIN("; ",TRUE,D342,F342)="","",_xludf.TEXTJOIN("; ",TRUE,D342,F342))</f>
        <v>#NAME?</v>
      </c>
      <c r="I342" s="3" t="s">
        <v>43</v>
      </c>
      <c r="J342" s="3"/>
      <c r="K342" s="3">
        <v>0</v>
      </c>
      <c r="L342" s="3"/>
      <c r="M342" s="3" t="str">
        <f t="shared" si="16"/>
        <v/>
      </c>
      <c r="N342" s="3" t="e">
        <f ca="1">IF(_xludf.TEXTJOIN("; ",TRUE,J342,L342)="","",_xludf.TEXTJOIN("; ",TRUE,J342,L342))</f>
        <v>#NAME?</v>
      </c>
      <c r="O342" s="3" t="s">
        <v>43</v>
      </c>
      <c r="P342" s="3"/>
      <c r="Q342" s="3">
        <v>0</v>
      </c>
      <c r="R342" s="3"/>
      <c r="S342" s="3" t="str">
        <f t="shared" si="17"/>
        <v/>
      </c>
      <c r="T342" s="3" t="e">
        <f ca="1">IF(_xludf.TEXTJOIN("; ",TRUE,P342,R342)="","",_xludf.TEXTJOIN("; ",TRUE,P342,R342))</f>
        <v>#NAME?</v>
      </c>
    </row>
    <row r="343" spans="1:20">
      <c r="A343" t="s">
        <v>679</v>
      </c>
      <c r="B343" t="s">
        <v>70</v>
      </c>
      <c r="C343" s="3" t="s">
        <v>43</v>
      </c>
      <c r="D343" s="3"/>
      <c r="E343" s="3">
        <v>0</v>
      </c>
      <c r="F343" s="3" t="s">
        <v>334</v>
      </c>
      <c r="G343" s="3" t="str">
        <f t="shared" si="15"/>
        <v/>
      </c>
      <c r="H343" s="3" t="e">
        <f ca="1">IF(_xludf.TEXTJOIN("; ",TRUE,D343,F343)="","",_xludf.TEXTJOIN("; ",TRUE,D343,F343))</f>
        <v>#NAME?</v>
      </c>
      <c r="I343" s="3" t="s">
        <v>43</v>
      </c>
      <c r="J343" s="3"/>
      <c r="K343" s="3">
        <v>0</v>
      </c>
      <c r="L343" s="3"/>
      <c r="M343" s="3" t="str">
        <f t="shared" si="16"/>
        <v/>
      </c>
      <c r="N343" s="3" t="e">
        <f ca="1">IF(_xludf.TEXTJOIN("; ",TRUE,J343,L343)="","",_xludf.TEXTJOIN("; ",TRUE,J343,L343))</f>
        <v>#NAME?</v>
      </c>
      <c r="O343" s="3" t="s">
        <v>43</v>
      </c>
      <c r="P343" s="3"/>
      <c r="Q343" s="3">
        <v>0</v>
      </c>
      <c r="R343" s="3"/>
      <c r="S343" s="3" t="str">
        <f t="shared" si="17"/>
        <v/>
      </c>
      <c r="T343" s="3" t="e">
        <f ca="1">IF(_xludf.TEXTJOIN("; ",TRUE,P343,R343)="","",_xludf.TEXTJOIN("; ",TRUE,P343,R343))</f>
        <v>#NAME?</v>
      </c>
    </row>
    <row r="344" spans="1:20">
      <c r="A344" t="s">
        <v>680</v>
      </c>
      <c r="B344" t="s">
        <v>681</v>
      </c>
      <c r="C344" s="3">
        <v>289</v>
      </c>
      <c r="D344" s="3"/>
      <c r="E344" s="3">
        <v>558</v>
      </c>
      <c r="F344" s="3"/>
      <c r="G344" s="3">
        <f t="shared" si="15"/>
        <v>161262</v>
      </c>
      <c r="H344" s="3" t="e">
        <f ca="1">IF(_xludf.TEXTJOIN("; ",TRUE,D344,F344)="","",_xludf.TEXTJOIN("; ",TRUE,D344,F344))</f>
        <v>#NAME?</v>
      </c>
      <c r="I344" s="3">
        <v>274</v>
      </c>
      <c r="J344" s="3"/>
      <c r="K344" s="3">
        <v>569</v>
      </c>
      <c r="L344" s="3"/>
      <c r="M344" s="3">
        <f t="shared" si="16"/>
        <v>155906</v>
      </c>
      <c r="N344" s="3" t="e">
        <f ca="1">IF(_xludf.TEXTJOIN("; ",TRUE,J344,L344)="","",_xludf.TEXTJOIN("; ",TRUE,J344,L344))</f>
        <v>#NAME?</v>
      </c>
      <c r="O344" s="3">
        <v>272</v>
      </c>
      <c r="P344" s="3"/>
      <c r="Q344" s="3">
        <v>575</v>
      </c>
      <c r="R344" s="3"/>
      <c r="S344" s="3">
        <f t="shared" si="17"/>
        <v>156400</v>
      </c>
      <c r="T344" s="3" t="e">
        <f ca="1">IF(_xludf.TEXTJOIN("; ",TRUE,P344,R344)="","",_xludf.TEXTJOIN("; ",TRUE,P344,R344))</f>
        <v>#NAME?</v>
      </c>
    </row>
    <row r="345" spans="1:20">
      <c r="A345" t="s">
        <v>682</v>
      </c>
      <c r="B345" t="s">
        <v>683</v>
      </c>
      <c r="C345" s="3">
        <v>249</v>
      </c>
      <c r="D345" s="3"/>
      <c r="E345" s="3">
        <v>216</v>
      </c>
      <c r="F345" s="3"/>
      <c r="G345" s="3">
        <f t="shared" si="15"/>
        <v>53784</v>
      </c>
      <c r="H345" s="3" t="e">
        <f ca="1">IF(_xludf.TEXTJOIN("; ",TRUE,D345,F345)="","",_xludf.TEXTJOIN("; ",TRUE,D345,F345))</f>
        <v>#NAME?</v>
      </c>
      <c r="I345" s="3">
        <v>228</v>
      </c>
      <c r="J345" s="3"/>
      <c r="K345" s="3">
        <v>223</v>
      </c>
      <c r="L345" s="3"/>
      <c r="M345" s="3">
        <f t="shared" si="16"/>
        <v>50844</v>
      </c>
      <c r="N345" s="3" t="e">
        <f ca="1">IF(_xludf.TEXTJOIN("; ",TRUE,J345,L345)="","",_xludf.TEXTJOIN("; ",TRUE,J345,L345))</f>
        <v>#NAME?</v>
      </c>
      <c r="O345" s="3">
        <v>230</v>
      </c>
      <c r="P345" s="3"/>
      <c r="Q345" s="3">
        <v>217</v>
      </c>
      <c r="R345" s="3"/>
      <c r="S345" s="3">
        <f t="shared" si="17"/>
        <v>49910</v>
      </c>
      <c r="T345" s="3" t="e">
        <f ca="1">IF(_xludf.TEXTJOIN("; ",TRUE,P345,R345)="","",_xludf.TEXTJOIN("; ",TRUE,P345,R345))</f>
        <v>#NAME?</v>
      </c>
    </row>
    <row r="346" spans="1:20">
      <c r="A346" t="s">
        <v>684</v>
      </c>
      <c r="B346" t="s">
        <v>685</v>
      </c>
      <c r="C346" s="3">
        <v>211</v>
      </c>
      <c r="D346" s="3"/>
      <c r="E346" s="3">
        <v>86</v>
      </c>
      <c r="F346" s="3"/>
      <c r="G346" s="3">
        <f t="shared" si="15"/>
        <v>18146</v>
      </c>
      <c r="H346" s="3" t="e">
        <f ca="1">IF(_xludf.TEXTJOIN("; ",TRUE,D346,F346)="","",_xludf.TEXTJOIN("; ",TRUE,D346,F346))</f>
        <v>#NAME?</v>
      </c>
      <c r="I346" s="3">
        <v>198</v>
      </c>
      <c r="J346" s="3"/>
      <c r="K346" s="3">
        <v>86</v>
      </c>
      <c r="L346" s="3"/>
      <c r="M346" s="3">
        <f t="shared" si="16"/>
        <v>17028</v>
      </c>
      <c r="N346" s="3" t="e">
        <f ca="1">IF(_xludf.TEXTJOIN("; ",TRUE,J346,L346)="","",_xludf.TEXTJOIN("; ",TRUE,J346,L346))</f>
        <v>#NAME?</v>
      </c>
      <c r="O346" s="3">
        <v>190</v>
      </c>
      <c r="P346" s="3"/>
      <c r="Q346" s="3">
        <v>85</v>
      </c>
      <c r="R346" s="3"/>
      <c r="S346" s="3">
        <f t="shared" si="17"/>
        <v>16150</v>
      </c>
      <c r="T346" s="3" t="e">
        <f ca="1">IF(_xludf.TEXTJOIN("; ",TRUE,P346,R346)="","",_xludf.TEXTJOIN("; ",TRUE,P346,R346))</f>
        <v>#NAME?</v>
      </c>
    </row>
    <row r="347" spans="1:20">
      <c r="A347" t="s">
        <v>686</v>
      </c>
      <c r="B347" t="s">
        <v>687</v>
      </c>
      <c r="C347" s="3">
        <v>274</v>
      </c>
      <c r="D347" s="3"/>
      <c r="E347" s="3">
        <v>130</v>
      </c>
      <c r="F347" s="3"/>
      <c r="G347" s="3">
        <f t="shared" si="15"/>
        <v>35620</v>
      </c>
      <c r="H347" s="3" t="e">
        <f ca="1">IF(_xludf.TEXTJOIN("; ",TRUE,D347,F347)="","",_xludf.TEXTJOIN("; ",TRUE,D347,F347))</f>
        <v>#NAME?</v>
      </c>
      <c r="I347" s="3">
        <v>247</v>
      </c>
      <c r="J347" s="3"/>
      <c r="K347" s="3">
        <v>137</v>
      </c>
      <c r="L347" s="3"/>
      <c r="M347" s="3">
        <f t="shared" si="16"/>
        <v>33839</v>
      </c>
      <c r="N347" s="3" t="e">
        <f ca="1">IF(_xludf.TEXTJOIN("; ",TRUE,J347,L347)="","",_xludf.TEXTJOIN("; ",TRUE,J347,L347))</f>
        <v>#NAME?</v>
      </c>
      <c r="O347" s="3">
        <v>255</v>
      </c>
      <c r="P347" s="3"/>
      <c r="Q347" s="3">
        <v>132</v>
      </c>
      <c r="R347" s="3"/>
      <c r="S347" s="3">
        <f t="shared" si="17"/>
        <v>33660</v>
      </c>
      <c r="T347" s="3" t="e">
        <f ca="1">IF(_xludf.TEXTJOIN("; ",TRUE,P347,R347)="","",_xludf.TEXTJOIN("; ",TRUE,P347,R347))</f>
        <v>#NAME?</v>
      </c>
    </row>
    <row r="348" spans="1:20">
      <c r="A348" t="s">
        <v>688</v>
      </c>
      <c r="B348" t="s">
        <v>689</v>
      </c>
      <c r="C348" s="3">
        <v>149</v>
      </c>
      <c r="D348" s="3"/>
      <c r="E348" s="3">
        <v>57</v>
      </c>
      <c r="F348" s="3"/>
      <c r="G348" s="3">
        <f t="shared" si="15"/>
        <v>8493</v>
      </c>
      <c r="H348" s="3" t="e">
        <f ca="1">IF(_xludf.TEXTJOIN("; ",TRUE,D348,F348)="","",_xludf.TEXTJOIN("; ",TRUE,D348,F348))</f>
        <v>#NAME?</v>
      </c>
      <c r="I348" s="3">
        <v>162</v>
      </c>
      <c r="J348" s="3"/>
      <c r="K348" s="3">
        <v>58</v>
      </c>
      <c r="L348" s="3"/>
      <c r="M348" s="3">
        <f t="shared" si="16"/>
        <v>9396</v>
      </c>
      <c r="N348" s="3" t="e">
        <f ca="1">IF(_xludf.TEXTJOIN("; ",TRUE,J348,L348)="","",_xludf.TEXTJOIN("; ",TRUE,J348,L348))</f>
        <v>#NAME?</v>
      </c>
      <c r="O348" s="3">
        <v>149</v>
      </c>
      <c r="P348" s="3"/>
      <c r="Q348" s="3">
        <v>60</v>
      </c>
      <c r="R348" s="3"/>
      <c r="S348" s="3">
        <f t="shared" si="17"/>
        <v>8940</v>
      </c>
      <c r="T348" s="3" t="e">
        <f ca="1">IF(_xludf.TEXTJOIN("; ",TRUE,P348,R348)="","",_xludf.TEXTJOIN("; ",TRUE,P348,R348))</f>
        <v>#NAME?</v>
      </c>
    </row>
    <row r="349" spans="1:20">
      <c r="A349" t="s">
        <v>690</v>
      </c>
      <c r="B349" t="s">
        <v>459</v>
      </c>
      <c r="C349" s="3">
        <v>125</v>
      </c>
      <c r="D349" s="3"/>
      <c r="E349" s="3">
        <v>36</v>
      </c>
      <c r="F349" s="3"/>
      <c r="G349" s="3">
        <f t="shared" si="15"/>
        <v>4500</v>
      </c>
      <c r="H349" s="3" t="e">
        <f ca="1">IF(_xludf.TEXTJOIN("; ",TRUE,D349,F349)="","",_xludf.TEXTJOIN("; ",TRUE,D349,F349))</f>
        <v>#NAME?</v>
      </c>
      <c r="I349" s="3">
        <v>134</v>
      </c>
      <c r="J349" s="3"/>
      <c r="K349" s="3">
        <v>35</v>
      </c>
      <c r="L349" s="3"/>
      <c r="M349" s="3">
        <f t="shared" si="16"/>
        <v>4690</v>
      </c>
      <c r="N349" s="3" t="e">
        <f ca="1">IF(_xludf.TEXTJOIN("; ",TRUE,J349,L349)="","",_xludf.TEXTJOIN("; ",TRUE,J349,L349))</f>
        <v>#NAME?</v>
      </c>
      <c r="O349" s="3">
        <v>148</v>
      </c>
      <c r="P349" s="3"/>
      <c r="Q349" s="3">
        <v>34</v>
      </c>
      <c r="R349" s="3"/>
      <c r="S349" s="3">
        <f t="shared" si="17"/>
        <v>5032</v>
      </c>
      <c r="T349" s="3" t="e">
        <f ca="1">IF(_xludf.TEXTJOIN("; ",TRUE,P349,R349)="","",_xludf.TEXTJOIN("; ",TRUE,P349,R349))</f>
        <v>#NAME?</v>
      </c>
    </row>
    <row r="350" spans="1:20">
      <c r="A350" t="s">
        <v>691</v>
      </c>
      <c r="B350" t="s">
        <v>692</v>
      </c>
      <c r="C350" s="3">
        <v>190</v>
      </c>
      <c r="D350" s="3"/>
      <c r="E350" s="3">
        <v>21</v>
      </c>
      <c r="F350" s="3"/>
      <c r="G350" s="3">
        <f t="shared" si="15"/>
        <v>3990</v>
      </c>
      <c r="H350" s="3" t="e">
        <f ca="1">IF(_xludf.TEXTJOIN("; ",TRUE,D350,F350)="","",_xludf.TEXTJOIN("; ",TRUE,D350,F350))</f>
        <v>#NAME?</v>
      </c>
      <c r="I350" s="3">
        <v>205</v>
      </c>
      <c r="J350" s="3"/>
      <c r="K350" s="3">
        <v>23</v>
      </c>
      <c r="L350" s="3"/>
      <c r="M350" s="3">
        <f t="shared" si="16"/>
        <v>4715</v>
      </c>
      <c r="N350" s="3" t="e">
        <f ca="1">IF(_xludf.TEXTJOIN("; ",TRUE,J350,L350)="","",_xludf.TEXTJOIN("; ",TRUE,J350,L350))</f>
        <v>#NAME?</v>
      </c>
      <c r="O350" s="3">
        <v>150</v>
      </c>
      <c r="P350" s="3"/>
      <c r="Q350" s="3">
        <v>26</v>
      </c>
      <c r="R350" s="3"/>
      <c r="S350" s="3">
        <f t="shared" si="17"/>
        <v>3900</v>
      </c>
      <c r="T350" s="3" t="e">
        <f ca="1">IF(_xludf.TEXTJOIN("; ",TRUE,P350,R350)="","",_xludf.TEXTJOIN("; ",TRUE,P350,R350))</f>
        <v>#NAME?</v>
      </c>
    </row>
    <row r="351" spans="1:20">
      <c r="A351" t="s">
        <v>693</v>
      </c>
      <c r="B351" t="s">
        <v>694</v>
      </c>
      <c r="C351" s="3">
        <v>213</v>
      </c>
      <c r="D351" s="3"/>
      <c r="E351" s="3">
        <v>167</v>
      </c>
      <c r="F351" s="3"/>
      <c r="G351" s="3">
        <f t="shared" si="15"/>
        <v>35571</v>
      </c>
      <c r="H351" s="3" t="e">
        <f ca="1">IF(_xludf.TEXTJOIN("; ",TRUE,D351,F351)="","",_xludf.TEXTJOIN("; ",TRUE,D351,F351))</f>
        <v>#NAME?</v>
      </c>
      <c r="I351" s="3">
        <v>208</v>
      </c>
      <c r="J351" s="3"/>
      <c r="K351" s="3">
        <v>171</v>
      </c>
      <c r="L351" s="3"/>
      <c r="M351" s="3">
        <f t="shared" si="16"/>
        <v>35568</v>
      </c>
      <c r="N351" s="3" t="e">
        <f ca="1">IF(_xludf.TEXTJOIN("; ",TRUE,J351,L351)="","",_xludf.TEXTJOIN("; ",TRUE,J351,L351))</f>
        <v>#NAME?</v>
      </c>
      <c r="O351" s="3">
        <v>201</v>
      </c>
      <c r="P351" s="3"/>
      <c r="Q351" s="3">
        <v>179</v>
      </c>
      <c r="R351" s="3"/>
      <c r="S351" s="3">
        <f t="shared" si="17"/>
        <v>35979</v>
      </c>
      <c r="T351" s="3" t="e">
        <f ca="1">IF(_xludf.TEXTJOIN("; ",TRUE,P351,R351)="","",_xludf.TEXTJOIN("; ",TRUE,P351,R351))</f>
        <v>#NAME?</v>
      </c>
    </row>
    <row r="352" spans="1:20">
      <c r="A352" t="s">
        <v>695</v>
      </c>
      <c r="B352" t="s">
        <v>696</v>
      </c>
      <c r="C352" s="3">
        <v>274</v>
      </c>
      <c r="D352" s="3"/>
      <c r="E352" s="3">
        <v>105</v>
      </c>
      <c r="F352" s="3"/>
      <c r="G352" s="3">
        <f t="shared" si="15"/>
        <v>28770</v>
      </c>
      <c r="H352" s="3" t="e">
        <f ca="1">IF(_xludf.TEXTJOIN("; ",TRUE,D352,F352)="","",_xludf.TEXTJOIN("; ",TRUE,D352,F352))</f>
        <v>#NAME?</v>
      </c>
      <c r="I352" s="3">
        <v>261</v>
      </c>
      <c r="J352" s="3"/>
      <c r="K352" s="3">
        <v>108</v>
      </c>
      <c r="L352" s="3"/>
      <c r="M352" s="3">
        <f t="shared" si="16"/>
        <v>28188</v>
      </c>
      <c r="N352" s="3" t="e">
        <f ca="1">IF(_xludf.TEXTJOIN("; ",TRUE,J352,L352)="","",_xludf.TEXTJOIN("; ",TRUE,J352,L352))</f>
        <v>#NAME?</v>
      </c>
      <c r="O352" s="3">
        <v>232</v>
      </c>
      <c r="P352" s="3"/>
      <c r="Q352" s="3">
        <v>113</v>
      </c>
      <c r="R352" s="3"/>
      <c r="S352" s="3">
        <f t="shared" si="17"/>
        <v>26216</v>
      </c>
      <c r="T352" s="3" t="e">
        <f ca="1">IF(_xludf.TEXTJOIN("; ",TRUE,P352,R352)="","",_xludf.TEXTJOIN("; ",TRUE,P352,R352))</f>
        <v>#NAME?</v>
      </c>
    </row>
    <row r="353" spans="1:20">
      <c r="A353" t="s">
        <v>697</v>
      </c>
      <c r="B353" t="s">
        <v>698</v>
      </c>
      <c r="C353" s="3">
        <v>110</v>
      </c>
      <c r="D353" s="3"/>
      <c r="E353" s="3">
        <v>62</v>
      </c>
      <c r="F353" s="3"/>
      <c r="G353" s="3">
        <f t="shared" si="15"/>
        <v>6820</v>
      </c>
      <c r="H353" s="3" t="e">
        <f ca="1">IF(_xludf.TEXTJOIN("; ",TRUE,D353,F353)="","",_xludf.TEXTJOIN("; ",TRUE,D353,F353))</f>
        <v>#NAME?</v>
      </c>
      <c r="I353" s="3">
        <v>116</v>
      </c>
      <c r="J353" s="3"/>
      <c r="K353" s="3">
        <v>63</v>
      </c>
      <c r="L353" s="3"/>
      <c r="M353" s="3">
        <f t="shared" si="16"/>
        <v>7308</v>
      </c>
      <c r="N353" s="3" t="e">
        <f ca="1">IF(_xludf.TEXTJOIN("; ",TRUE,J353,L353)="","",_xludf.TEXTJOIN("; ",TRUE,J353,L353))</f>
        <v>#NAME?</v>
      </c>
      <c r="O353" s="3">
        <v>149</v>
      </c>
      <c r="P353" s="3"/>
      <c r="Q353" s="3">
        <v>66</v>
      </c>
      <c r="R353" s="3"/>
      <c r="S353" s="3">
        <f t="shared" si="17"/>
        <v>9834</v>
      </c>
      <c r="T353" s="3" t="e">
        <f ca="1">IF(_xludf.TEXTJOIN("; ",TRUE,P353,R353)="","",_xludf.TEXTJOIN("; ",TRUE,P353,R353))</f>
        <v>#NAME?</v>
      </c>
    </row>
    <row r="354" spans="1:20">
      <c r="A354" t="s">
        <v>699</v>
      </c>
      <c r="B354" t="s">
        <v>700</v>
      </c>
      <c r="C354" s="3">
        <v>536</v>
      </c>
      <c r="D354" s="3"/>
      <c r="E354" s="3">
        <v>118</v>
      </c>
      <c r="F354" s="3"/>
      <c r="G354" s="3">
        <f t="shared" si="15"/>
        <v>63248</v>
      </c>
      <c r="H354" s="3" t="e">
        <f ca="1">IF(_xludf.TEXTJOIN("; ",TRUE,D354,F354)="","",_xludf.TEXTJOIN("; ",TRUE,D354,F354))</f>
        <v>#NAME?</v>
      </c>
      <c r="I354" s="3">
        <v>516</v>
      </c>
      <c r="J354" s="3"/>
      <c r="K354" s="3">
        <v>117</v>
      </c>
      <c r="L354" s="3"/>
      <c r="M354" s="3">
        <f t="shared" si="16"/>
        <v>60372</v>
      </c>
      <c r="N354" s="3" t="e">
        <f ca="1">IF(_xludf.TEXTJOIN("; ",TRUE,J354,L354)="","",_xludf.TEXTJOIN("; ",TRUE,J354,L354))</f>
        <v>#NAME?</v>
      </c>
      <c r="O354" s="3">
        <v>519</v>
      </c>
      <c r="P354" s="3"/>
      <c r="Q354" s="3">
        <v>119</v>
      </c>
      <c r="R354" s="3"/>
      <c r="S354" s="3">
        <f t="shared" si="17"/>
        <v>61761</v>
      </c>
      <c r="T354" s="3" t="e">
        <f ca="1">IF(_xludf.TEXTJOIN("; ",TRUE,P354,R354)="","",_xludf.TEXTJOIN("; ",TRUE,P354,R354))</f>
        <v>#NAME?</v>
      </c>
    </row>
    <row r="355" spans="1:20">
      <c r="A355" t="s">
        <v>701</v>
      </c>
      <c r="B355" t="s">
        <v>702</v>
      </c>
      <c r="C355" s="3">
        <v>496</v>
      </c>
      <c r="D355" s="3"/>
      <c r="E355" s="3">
        <v>31</v>
      </c>
      <c r="F355" s="3"/>
      <c r="G355" s="3">
        <f t="shared" si="15"/>
        <v>15376</v>
      </c>
      <c r="H355" s="3" t="e">
        <f ca="1">IF(_xludf.TEXTJOIN("; ",TRUE,D355,F355)="","",_xludf.TEXTJOIN("; ",TRUE,D355,F355))</f>
        <v>#NAME?</v>
      </c>
      <c r="I355" s="3">
        <v>430</v>
      </c>
      <c r="J355" s="3"/>
      <c r="K355" s="3">
        <v>37</v>
      </c>
      <c r="L355" s="3"/>
      <c r="M355" s="3">
        <f t="shared" si="16"/>
        <v>15910</v>
      </c>
      <c r="N355" s="3" t="e">
        <f ca="1">IF(_xludf.TEXTJOIN("; ",TRUE,J355,L355)="","",_xludf.TEXTJOIN("; ",TRUE,J355,L355))</f>
        <v>#NAME?</v>
      </c>
      <c r="O355" s="3">
        <v>385</v>
      </c>
      <c r="P355" s="3"/>
      <c r="Q355" s="3">
        <v>39</v>
      </c>
      <c r="R355" s="3"/>
      <c r="S355" s="3">
        <f t="shared" si="17"/>
        <v>15015</v>
      </c>
      <c r="T355" s="3" t="e">
        <f ca="1">IF(_xludf.TEXTJOIN("; ",TRUE,P355,R355)="","",_xludf.TEXTJOIN("; ",TRUE,P355,R355))</f>
        <v>#NAME?</v>
      </c>
    </row>
    <row r="356" spans="1:20">
      <c r="A356" t="s">
        <v>703</v>
      </c>
      <c r="B356" t="s">
        <v>704</v>
      </c>
      <c r="C356" s="3">
        <v>550</v>
      </c>
      <c r="D356" s="3"/>
      <c r="E356" s="3">
        <v>87</v>
      </c>
      <c r="F356" s="3"/>
      <c r="G356" s="3">
        <f t="shared" si="15"/>
        <v>47850</v>
      </c>
      <c r="H356" s="3" t="e">
        <f ca="1">IF(_xludf.TEXTJOIN("; ",TRUE,D356,F356)="","",_xludf.TEXTJOIN("; ",TRUE,D356,F356))</f>
        <v>#NAME?</v>
      </c>
      <c r="I356" s="3">
        <v>555</v>
      </c>
      <c r="J356" s="3"/>
      <c r="K356" s="3">
        <v>80</v>
      </c>
      <c r="L356" s="3"/>
      <c r="M356" s="3">
        <f t="shared" si="16"/>
        <v>44400</v>
      </c>
      <c r="N356" s="3" t="e">
        <f ca="1">IF(_xludf.TEXTJOIN("; ",TRUE,J356,L356)="","",_xludf.TEXTJOIN("; ",TRUE,J356,L356))</f>
        <v>#NAME?</v>
      </c>
      <c r="O356" s="3">
        <v>584</v>
      </c>
      <c r="P356" s="3"/>
      <c r="Q356" s="3">
        <v>80</v>
      </c>
      <c r="R356" s="3"/>
      <c r="S356" s="3">
        <f t="shared" si="17"/>
        <v>46720</v>
      </c>
      <c r="T356" s="3" t="e">
        <f ca="1">IF(_xludf.TEXTJOIN("; ",TRUE,P356,R356)="","",_xludf.TEXTJOIN("; ",TRUE,P356,R356))</f>
        <v>#NAME?</v>
      </c>
    </row>
    <row r="357" spans="1:20">
      <c r="A357" t="s">
        <v>705</v>
      </c>
      <c r="B357" t="s">
        <v>68</v>
      </c>
      <c r="C357" s="3" t="s">
        <v>43</v>
      </c>
      <c r="D357" s="3"/>
      <c r="E357" s="3">
        <v>0</v>
      </c>
      <c r="F357" s="3"/>
      <c r="G357" s="3" t="str">
        <f t="shared" si="15"/>
        <v/>
      </c>
      <c r="H357" s="3" t="e">
        <f ca="1">IF(_xludf.TEXTJOIN("; ",TRUE,D357,F357)="","",_xludf.TEXTJOIN("; ",TRUE,D357,F357))</f>
        <v>#NAME?</v>
      </c>
      <c r="I357" s="3" t="s">
        <v>43</v>
      </c>
      <c r="J357" s="3"/>
      <c r="K357" s="3">
        <v>0</v>
      </c>
      <c r="L357" s="3"/>
      <c r="M357" s="3" t="str">
        <f t="shared" si="16"/>
        <v/>
      </c>
      <c r="N357" s="3" t="e">
        <f ca="1">IF(_xludf.TEXTJOIN("; ",TRUE,J357,L357)="","",_xludf.TEXTJOIN("; ",TRUE,J357,L357))</f>
        <v>#NAME?</v>
      </c>
      <c r="O357" s="3" t="s">
        <v>43</v>
      </c>
      <c r="P357" s="3"/>
      <c r="Q357" s="3">
        <v>0</v>
      </c>
      <c r="R357" s="3"/>
      <c r="S357" s="3" t="str">
        <f t="shared" si="17"/>
        <v/>
      </c>
      <c r="T357" s="3" t="e">
        <f ca="1">IF(_xludf.TEXTJOIN("; ",TRUE,P357,R357)="","",_xludf.TEXTJOIN("; ",TRUE,P357,R357))</f>
        <v>#NAME?</v>
      </c>
    </row>
    <row r="358" spans="1:20">
      <c r="A358" t="s">
        <v>706</v>
      </c>
      <c r="B358" t="s">
        <v>70</v>
      </c>
      <c r="C358" s="3" t="s">
        <v>43</v>
      </c>
      <c r="D358" s="3"/>
      <c r="E358" s="3">
        <v>0</v>
      </c>
      <c r="F358" s="3"/>
      <c r="G358" s="3" t="str">
        <f t="shared" si="15"/>
        <v/>
      </c>
      <c r="H358" s="3" t="e">
        <f ca="1">IF(_xludf.TEXTJOIN("; ",TRUE,D358,F358)="","",_xludf.TEXTJOIN("; ",TRUE,D358,F358))</f>
        <v>#NAME?</v>
      </c>
      <c r="I358" s="3" t="s">
        <v>43</v>
      </c>
      <c r="J358" s="3"/>
      <c r="K358" s="3">
        <v>0</v>
      </c>
      <c r="L358" s="3"/>
      <c r="M358" s="3" t="str">
        <f t="shared" si="16"/>
        <v/>
      </c>
      <c r="N358" s="3" t="e">
        <f ca="1">IF(_xludf.TEXTJOIN("; ",TRUE,J358,L358)="","",_xludf.TEXTJOIN("; ",TRUE,J358,L358))</f>
        <v>#NAME?</v>
      </c>
      <c r="O358" s="3" t="s">
        <v>43</v>
      </c>
      <c r="P358" s="3"/>
      <c r="Q358" s="3">
        <v>0</v>
      </c>
      <c r="R358" s="3"/>
      <c r="S358" s="3" t="str">
        <f t="shared" si="17"/>
        <v/>
      </c>
      <c r="T358" s="3" t="e">
        <f ca="1">IF(_xludf.TEXTJOIN("; ",TRUE,P358,R358)="","",_xludf.TEXTJOIN("; ",TRUE,P358,R358))</f>
        <v>#NAME?</v>
      </c>
    </row>
    <row r="359" spans="1:20">
      <c r="A359" t="s">
        <v>707</v>
      </c>
      <c r="B359" t="s">
        <v>708</v>
      </c>
      <c r="C359" s="3">
        <v>80</v>
      </c>
      <c r="D359" s="3"/>
      <c r="E359" s="3">
        <v>205</v>
      </c>
      <c r="F359" s="3"/>
      <c r="G359" s="3">
        <f t="shared" si="15"/>
        <v>16400</v>
      </c>
      <c r="H359" s="3" t="e">
        <f ca="1">IF(_xludf.TEXTJOIN("; ",TRUE,D359,F359)="","",_xludf.TEXTJOIN("; ",TRUE,D359,F359))</f>
        <v>#NAME?</v>
      </c>
      <c r="I359" s="3">
        <v>77</v>
      </c>
      <c r="J359" s="3"/>
      <c r="K359" s="3">
        <v>207</v>
      </c>
      <c r="L359" s="3"/>
      <c r="M359" s="3">
        <f t="shared" si="16"/>
        <v>15939</v>
      </c>
      <c r="N359" s="3" t="e">
        <f ca="1">IF(_xludf.TEXTJOIN("; ",TRUE,J359,L359)="","",_xludf.TEXTJOIN("; ",TRUE,J359,L359))</f>
        <v>#NAME?</v>
      </c>
      <c r="O359" s="3">
        <v>81</v>
      </c>
      <c r="P359" s="3"/>
      <c r="Q359" s="3">
        <v>197</v>
      </c>
      <c r="R359" s="3"/>
      <c r="S359" s="3">
        <f t="shared" si="17"/>
        <v>15957</v>
      </c>
      <c r="T359" s="3" t="e">
        <f ca="1">IF(_xludf.TEXTJOIN("; ",TRUE,P359,R359)="","",_xludf.TEXTJOIN("; ",TRUE,P359,R359))</f>
        <v>#NAME?</v>
      </c>
    </row>
    <row r="360" spans="1:20">
      <c r="A360" t="s">
        <v>709</v>
      </c>
      <c r="B360" t="s">
        <v>710</v>
      </c>
      <c r="C360" s="3">
        <v>80</v>
      </c>
      <c r="D360" s="3"/>
      <c r="E360" s="3">
        <v>205</v>
      </c>
      <c r="F360" s="3"/>
      <c r="G360" s="3">
        <f t="shared" si="15"/>
        <v>16400</v>
      </c>
      <c r="H360" s="3" t="e">
        <f ca="1">IF(_xludf.TEXTJOIN("; ",TRUE,D360,F360)="","",_xludf.TEXTJOIN("; ",TRUE,D360,F360))</f>
        <v>#NAME?</v>
      </c>
      <c r="I360" s="3">
        <v>77</v>
      </c>
      <c r="J360" s="3"/>
      <c r="K360" s="3">
        <v>207</v>
      </c>
      <c r="L360" s="3"/>
      <c r="M360" s="3">
        <f t="shared" si="16"/>
        <v>15939</v>
      </c>
      <c r="N360" s="3" t="e">
        <f ca="1">IF(_xludf.TEXTJOIN("; ",TRUE,J360,L360)="","",_xludf.TEXTJOIN("; ",TRUE,J360,L360))</f>
        <v>#NAME?</v>
      </c>
      <c r="O360" s="3">
        <v>81</v>
      </c>
      <c r="P360" s="3"/>
      <c r="Q360" s="3">
        <v>197</v>
      </c>
      <c r="R360" s="3"/>
      <c r="S360" s="3">
        <f t="shared" si="17"/>
        <v>15957</v>
      </c>
      <c r="T360" s="3" t="e">
        <f ca="1">IF(_xludf.TEXTJOIN("; ",TRUE,P360,R360)="","",_xludf.TEXTJOIN("; ",TRUE,P360,R360))</f>
        <v>#NAME?</v>
      </c>
    </row>
    <row r="361" spans="1:20">
      <c r="A361" t="s">
        <v>711</v>
      </c>
      <c r="B361" t="s">
        <v>712</v>
      </c>
      <c r="C361" s="3">
        <v>102</v>
      </c>
      <c r="D361" s="3"/>
      <c r="E361" s="3">
        <v>108</v>
      </c>
      <c r="F361" s="3"/>
      <c r="G361" s="3">
        <f t="shared" si="15"/>
        <v>11016</v>
      </c>
      <c r="H361" s="3" t="e">
        <f ca="1">IF(_xludf.TEXTJOIN("; ",TRUE,D361,F361)="","",_xludf.TEXTJOIN("; ",TRUE,D361,F361))</f>
        <v>#NAME?</v>
      </c>
      <c r="I361" s="3">
        <v>95</v>
      </c>
      <c r="J361" s="3"/>
      <c r="K361" s="3">
        <v>108</v>
      </c>
      <c r="L361" s="3"/>
      <c r="M361" s="3">
        <f t="shared" si="16"/>
        <v>10260</v>
      </c>
      <c r="N361" s="3" t="e">
        <f ca="1">IF(_xludf.TEXTJOIN("; ",TRUE,J361,L361)="","",_xludf.TEXTJOIN("; ",TRUE,J361,L361))</f>
        <v>#NAME?</v>
      </c>
      <c r="O361" s="3">
        <v>101</v>
      </c>
      <c r="P361" s="3"/>
      <c r="Q361" s="3">
        <v>100</v>
      </c>
      <c r="R361" s="3"/>
      <c r="S361" s="3">
        <f t="shared" si="17"/>
        <v>10100</v>
      </c>
      <c r="T361" s="3" t="e">
        <f ca="1">IF(_xludf.TEXTJOIN("; ",TRUE,P361,R361)="","",_xludf.TEXTJOIN("; ",TRUE,P361,R361))</f>
        <v>#NAME?</v>
      </c>
    </row>
    <row r="362" spans="1:20">
      <c r="A362" t="s">
        <v>713</v>
      </c>
      <c r="B362" t="s">
        <v>714</v>
      </c>
      <c r="C362" s="3">
        <v>56</v>
      </c>
      <c r="D362" s="3"/>
      <c r="E362" s="3">
        <v>97</v>
      </c>
      <c r="F362" s="3"/>
      <c r="G362" s="3">
        <f t="shared" si="15"/>
        <v>5432</v>
      </c>
      <c r="H362" s="3" t="e">
        <f ca="1">IF(_xludf.TEXTJOIN("; ",TRUE,D362,F362)="","",_xludf.TEXTJOIN("; ",TRUE,D362,F362))</f>
        <v>#NAME?</v>
      </c>
      <c r="I362" s="3">
        <v>57</v>
      </c>
      <c r="J362" s="3"/>
      <c r="K362" s="3">
        <v>99</v>
      </c>
      <c r="L362" s="3"/>
      <c r="M362" s="3">
        <f t="shared" si="16"/>
        <v>5643</v>
      </c>
      <c r="N362" s="3" t="e">
        <f ca="1">IF(_xludf.TEXTJOIN("; ",TRUE,J362,L362)="","",_xludf.TEXTJOIN("; ",TRUE,J362,L362))</f>
        <v>#NAME?</v>
      </c>
      <c r="O362" s="3">
        <v>60</v>
      </c>
      <c r="P362" s="3"/>
      <c r="Q362" s="3">
        <v>97</v>
      </c>
      <c r="R362" s="3"/>
      <c r="S362" s="3">
        <f t="shared" si="17"/>
        <v>5820</v>
      </c>
      <c r="T362" s="3" t="e">
        <f ca="1">IF(_xludf.TEXTJOIN("; ",TRUE,P362,R362)="","",_xludf.TEXTJOIN("; ",TRUE,P362,R362))</f>
        <v>#NAME?</v>
      </c>
    </row>
    <row r="363" spans="1:20">
      <c r="A363" t="s">
        <v>715</v>
      </c>
      <c r="B363" t="s">
        <v>716</v>
      </c>
      <c r="C363" s="3">
        <v>88</v>
      </c>
      <c r="D363" s="3"/>
      <c r="E363" s="3">
        <v>901</v>
      </c>
      <c r="F363" s="3"/>
      <c r="G363" s="3">
        <f t="shared" si="15"/>
        <v>79288</v>
      </c>
      <c r="H363" s="3" t="e">
        <f ca="1">IF(_xludf.TEXTJOIN("; ",TRUE,D363,F363)="","",_xludf.TEXTJOIN("; ",TRUE,D363,F363))</f>
        <v>#NAME?</v>
      </c>
      <c r="I363" s="3">
        <v>71</v>
      </c>
      <c r="J363" s="3"/>
      <c r="K363" s="3">
        <v>1062</v>
      </c>
      <c r="L363" s="3"/>
      <c r="M363" s="3">
        <f t="shared" si="16"/>
        <v>75402</v>
      </c>
      <c r="N363" s="3" t="e">
        <f ca="1">IF(_xludf.TEXTJOIN("; ",TRUE,J363,L363)="","",_xludf.TEXTJOIN("; ",TRUE,J363,L363))</f>
        <v>#NAME?</v>
      </c>
      <c r="O363" s="3">
        <v>55</v>
      </c>
      <c r="P363" s="3"/>
      <c r="Q363" s="3">
        <v>1365</v>
      </c>
      <c r="R363" s="3"/>
      <c r="S363" s="3">
        <f t="shared" si="17"/>
        <v>75075</v>
      </c>
      <c r="T363" s="3" t="e">
        <f ca="1">IF(_xludf.TEXTJOIN("; ",TRUE,P363,R363)="","",_xludf.TEXTJOIN("; ",TRUE,P363,R363))</f>
        <v>#NAME?</v>
      </c>
    </row>
    <row r="364" spans="1:20">
      <c r="A364" t="s">
        <v>717</v>
      </c>
      <c r="B364" t="s">
        <v>718</v>
      </c>
      <c r="C364" s="3">
        <v>88</v>
      </c>
      <c r="D364" s="3"/>
      <c r="E364" s="3">
        <v>901</v>
      </c>
      <c r="F364" s="3"/>
      <c r="G364" s="3">
        <f t="shared" si="15"/>
        <v>79288</v>
      </c>
      <c r="H364" s="3" t="e">
        <f ca="1">IF(_xludf.TEXTJOIN("; ",TRUE,D364,F364)="","",_xludf.TEXTJOIN("; ",TRUE,D364,F364))</f>
        <v>#NAME?</v>
      </c>
      <c r="I364" s="3">
        <v>71</v>
      </c>
      <c r="J364" s="3"/>
      <c r="K364" s="3">
        <v>1062</v>
      </c>
      <c r="L364" s="3"/>
      <c r="M364" s="3">
        <f t="shared" si="16"/>
        <v>75402</v>
      </c>
      <c r="N364" s="3" t="e">
        <f ca="1">IF(_xludf.TEXTJOIN("; ",TRUE,J364,L364)="","",_xludf.TEXTJOIN("; ",TRUE,J364,L364))</f>
        <v>#NAME?</v>
      </c>
      <c r="O364" s="3">
        <v>55</v>
      </c>
      <c r="P364" s="3"/>
      <c r="Q364" s="3">
        <v>1365</v>
      </c>
      <c r="R364" s="3"/>
      <c r="S364" s="3">
        <f t="shared" si="17"/>
        <v>75075</v>
      </c>
      <c r="T364" s="3" t="e">
        <f ca="1">IF(_xludf.TEXTJOIN("; ",TRUE,P364,R364)="","",_xludf.TEXTJOIN("; ",TRUE,P364,R364))</f>
        <v>#NAME?</v>
      </c>
    </row>
    <row r="365" spans="1:20">
      <c r="A365" t="s">
        <v>719</v>
      </c>
      <c r="B365" t="s">
        <v>720</v>
      </c>
      <c r="C365" s="3">
        <v>78</v>
      </c>
      <c r="D365" s="3"/>
      <c r="E365" s="3">
        <v>318</v>
      </c>
      <c r="F365" s="3"/>
      <c r="G365" s="3">
        <f t="shared" si="15"/>
        <v>24804</v>
      </c>
      <c r="H365" s="3" t="e">
        <f ca="1">IF(_xludf.TEXTJOIN("; ",TRUE,D365,F365)="","",_xludf.TEXTJOIN("; ",TRUE,D365,F365))</f>
        <v>#NAME?</v>
      </c>
      <c r="I365" s="3">
        <v>50</v>
      </c>
      <c r="J365" s="3"/>
      <c r="K365" s="3">
        <v>372</v>
      </c>
      <c r="L365" s="3"/>
      <c r="M365" s="3">
        <f t="shared" si="16"/>
        <v>18600</v>
      </c>
      <c r="N365" s="3" t="e">
        <f ca="1">IF(_xludf.TEXTJOIN("; ",TRUE,J365,L365)="","",_xludf.TEXTJOIN("; ",TRUE,J365,L365))</f>
        <v>#NAME?</v>
      </c>
      <c r="O365" s="3">
        <v>41</v>
      </c>
      <c r="P365" s="3"/>
      <c r="Q365" s="3">
        <v>440</v>
      </c>
      <c r="R365" s="3"/>
      <c r="S365" s="3">
        <f t="shared" si="17"/>
        <v>18040</v>
      </c>
      <c r="T365" s="3" t="e">
        <f ca="1">IF(_xludf.TEXTJOIN("; ",TRUE,P365,R365)="","",_xludf.TEXTJOIN("; ",TRUE,P365,R365))</f>
        <v>#NAME?</v>
      </c>
    </row>
    <row r="366" spans="1:20">
      <c r="A366" t="s">
        <v>721</v>
      </c>
      <c r="B366" t="s">
        <v>722</v>
      </c>
      <c r="C366" s="3">
        <v>88</v>
      </c>
      <c r="D366" s="3"/>
      <c r="E366" s="3">
        <v>302</v>
      </c>
      <c r="F366" s="3"/>
      <c r="G366" s="3">
        <f t="shared" si="15"/>
        <v>26576</v>
      </c>
      <c r="H366" s="3" t="e">
        <f ca="1">IF(_xludf.TEXTJOIN("; ",TRUE,D366,F366)="","",_xludf.TEXTJOIN("; ",TRUE,D366,F366))</f>
        <v>#NAME?</v>
      </c>
      <c r="I366" s="3">
        <v>77</v>
      </c>
      <c r="J366" s="3"/>
      <c r="K366" s="3">
        <v>373</v>
      </c>
      <c r="L366" s="3"/>
      <c r="M366" s="3">
        <f t="shared" si="16"/>
        <v>28721</v>
      </c>
      <c r="N366" s="3" t="e">
        <f ca="1">IF(_xludf.TEXTJOIN("; ",TRUE,J366,L366)="","",_xludf.TEXTJOIN("; ",TRUE,J366,L366))</f>
        <v>#NAME?</v>
      </c>
      <c r="O366" s="3">
        <v>53</v>
      </c>
      <c r="P366" s="3"/>
      <c r="Q366" s="3">
        <v>558</v>
      </c>
      <c r="R366" s="3"/>
      <c r="S366" s="3">
        <f t="shared" si="17"/>
        <v>29574</v>
      </c>
      <c r="T366" s="3" t="e">
        <f ca="1">IF(_xludf.TEXTJOIN("; ",TRUE,P366,R366)="","",_xludf.TEXTJOIN("; ",TRUE,P366,R366))</f>
        <v>#NAME?</v>
      </c>
    </row>
    <row r="367" spans="1:20">
      <c r="A367" t="s">
        <v>723</v>
      </c>
      <c r="B367" t="s">
        <v>724</v>
      </c>
      <c r="C367" s="3">
        <v>113</v>
      </c>
      <c r="D367" s="3"/>
      <c r="E367" s="3">
        <v>147</v>
      </c>
      <c r="F367" s="3"/>
      <c r="G367" s="3">
        <f t="shared" si="15"/>
        <v>16611</v>
      </c>
      <c r="H367" s="3" t="e">
        <f ca="1">IF(_xludf.TEXTJOIN("; ",TRUE,D367,F367)="","",_xludf.TEXTJOIN("; ",TRUE,D367,F367))</f>
        <v>#NAME?</v>
      </c>
      <c r="I367" s="3">
        <v>101</v>
      </c>
      <c r="J367" s="3"/>
      <c r="K367" s="3">
        <v>172</v>
      </c>
      <c r="L367" s="3"/>
      <c r="M367" s="3">
        <f t="shared" si="16"/>
        <v>17372</v>
      </c>
      <c r="N367" s="3" t="e">
        <f ca="1">IF(_xludf.TEXTJOIN("; ",TRUE,J367,L367)="","",_xludf.TEXTJOIN("; ",TRUE,J367,L367))</f>
        <v>#NAME?</v>
      </c>
      <c r="O367" s="3">
        <v>86</v>
      </c>
      <c r="P367" s="3"/>
      <c r="Q367" s="3">
        <v>203</v>
      </c>
      <c r="R367" s="3"/>
      <c r="S367" s="3">
        <f t="shared" si="17"/>
        <v>17458</v>
      </c>
      <c r="T367" s="3" t="e">
        <f ca="1">IF(_xludf.TEXTJOIN("; ",TRUE,P367,R367)="","",_xludf.TEXTJOIN("; ",TRUE,P367,R367))</f>
        <v>#NAME?</v>
      </c>
    </row>
    <row r="368" spans="1:20">
      <c r="A368" t="s">
        <v>725</v>
      </c>
      <c r="B368" t="s">
        <v>726</v>
      </c>
      <c r="C368" s="3">
        <v>83</v>
      </c>
      <c r="D368" s="3"/>
      <c r="E368" s="3">
        <v>134</v>
      </c>
      <c r="F368" s="3"/>
      <c r="G368" s="3">
        <f t="shared" si="15"/>
        <v>11122</v>
      </c>
      <c r="H368" s="3" t="e">
        <f ca="1">IF(_xludf.TEXTJOIN("; ",TRUE,D368,F368)="","",_xludf.TEXTJOIN("; ",TRUE,D368,F368))</f>
        <v>#NAME?</v>
      </c>
      <c r="I368" s="3">
        <v>73</v>
      </c>
      <c r="J368" s="3"/>
      <c r="K368" s="3">
        <v>145</v>
      </c>
      <c r="L368" s="3"/>
      <c r="M368" s="3">
        <f t="shared" si="16"/>
        <v>10585</v>
      </c>
      <c r="N368" s="3" t="e">
        <f ca="1">IF(_xludf.TEXTJOIN("; ",TRUE,J368,L368)="","",_xludf.TEXTJOIN("; ",TRUE,J368,L368))</f>
        <v>#NAME?</v>
      </c>
      <c r="O368" s="3">
        <v>63</v>
      </c>
      <c r="P368" s="3"/>
      <c r="Q368" s="3">
        <v>164</v>
      </c>
      <c r="R368" s="3"/>
      <c r="S368" s="3">
        <f t="shared" si="17"/>
        <v>10332</v>
      </c>
      <c r="T368" s="3" t="e">
        <f ca="1">IF(_xludf.TEXTJOIN("; ",TRUE,P368,R368)="","",_xludf.TEXTJOIN("; ",TRUE,P368,R368))</f>
        <v>#NAME?</v>
      </c>
    </row>
    <row r="369" spans="1:20">
      <c r="A369" t="s">
        <v>727</v>
      </c>
      <c r="B369" t="s">
        <v>68</v>
      </c>
      <c r="C369" s="3" t="s">
        <v>43</v>
      </c>
      <c r="D369" s="3"/>
      <c r="E369" s="3">
        <v>0</v>
      </c>
      <c r="F369" s="3"/>
      <c r="G369" s="3" t="str">
        <f t="shared" si="15"/>
        <v/>
      </c>
      <c r="H369" s="3" t="e">
        <f ca="1">IF(_xludf.TEXTJOIN("; ",TRUE,D369,F369)="","",_xludf.TEXTJOIN("; ",TRUE,D369,F369))</f>
        <v>#NAME?</v>
      </c>
      <c r="I369" s="3" t="s">
        <v>43</v>
      </c>
      <c r="J369" s="3"/>
      <c r="K369" s="3">
        <v>0</v>
      </c>
      <c r="L369" s="3"/>
      <c r="M369" s="3" t="str">
        <f t="shared" si="16"/>
        <v/>
      </c>
      <c r="N369" s="3" t="e">
        <f ca="1">IF(_xludf.TEXTJOIN("; ",TRUE,J369,L369)="","",_xludf.TEXTJOIN("; ",TRUE,J369,L369))</f>
        <v>#NAME?</v>
      </c>
      <c r="O369" s="3" t="s">
        <v>43</v>
      </c>
      <c r="P369" s="3"/>
      <c r="Q369" s="3">
        <v>0</v>
      </c>
      <c r="R369" s="3"/>
      <c r="S369" s="3" t="str">
        <f t="shared" si="17"/>
        <v/>
      </c>
      <c r="T369" s="3" t="e">
        <f ca="1">IF(_xludf.TEXTJOIN("; ",TRUE,P369,R369)="","",_xludf.TEXTJOIN("; ",TRUE,P369,R369))</f>
        <v>#NAME?</v>
      </c>
    </row>
    <row r="370" spans="1:20">
      <c r="A370" t="s">
        <v>728</v>
      </c>
      <c r="B370" t="s">
        <v>70</v>
      </c>
      <c r="C370" s="3" t="s">
        <v>43</v>
      </c>
      <c r="D370" s="3"/>
      <c r="E370" s="3">
        <v>0</v>
      </c>
      <c r="F370" s="3"/>
      <c r="G370" s="3" t="str">
        <f t="shared" si="15"/>
        <v/>
      </c>
      <c r="H370" s="3" t="e">
        <f ca="1">IF(_xludf.TEXTJOIN("; ",TRUE,D370,F370)="","",_xludf.TEXTJOIN("; ",TRUE,D370,F370))</f>
        <v>#NAME?</v>
      </c>
      <c r="I370" s="3" t="s">
        <v>43</v>
      </c>
      <c r="J370" s="3"/>
      <c r="K370" s="3">
        <v>0</v>
      </c>
      <c r="L370" s="3"/>
      <c r="M370" s="3" t="str">
        <f t="shared" si="16"/>
        <v/>
      </c>
      <c r="N370" s="3" t="e">
        <f ca="1">IF(_xludf.TEXTJOIN("; ",TRUE,J370,L370)="","",_xludf.TEXTJOIN("; ",TRUE,J370,L370))</f>
        <v>#NAME?</v>
      </c>
      <c r="O370" s="3" t="s">
        <v>43</v>
      </c>
      <c r="P370" s="3"/>
      <c r="Q370" s="3">
        <v>0</v>
      </c>
      <c r="R370" s="3"/>
      <c r="S370" s="3" t="str">
        <f t="shared" si="17"/>
        <v/>
      </c>
      <c r="T370" s="3" t="e">
        <f ca="1">IF(_xludf.TEXTJOIN("; ",TRUE,P370,R370)="","",_xludf.TEXTJOIN("; ",TRUE,P370,R370))</f>
        <v>#NAME?</v>
      </c>
    </row>
    <row r="371" spans="1:20">
      <c r="A371" t="s">
        <v>729</v>
      </c>
      <c r="B371" t="s">
        <v>730</v>
      </c>
      <c r="C371" s="3">
        <v>30</v>
      </c>
      <c r="D371" s="3" t="s">
        <v>334</v>
      </c>
      <c r="E371" s="3">
        <v>298</v>
      </c>
      <c r="F371" s="3" t="s">
        <v>334</v>
      </c>
      <c r="G371" s="3">
        <f t="shared" si="15"/>
        <v>8940</v>
      </c>
      <c r="H371" s="3" t="e">
        <f ca="1">IF(_xludf.TEXTJOIN("; ",TRUE,D371,F371)="","",_xludf.TEXTJOIN("; ",TRUE,D371,F371))</f>
        <v>#NAME?</v>
      </c>
      <c r="I371" s="3">
        <v>27</v>
      </c>
      <c r="J371" s="3"/>
      <c r="K371" s="3">
        <v>311</v>
      </c>
      <c r="L371" s="3"/>
      <c r="M371" s="3">
        <f t="shared" si="16"/>
        <v>8397</v>
      </c>
      <c r="N371" s="3" t="e">
        <f ca="1">IF(_xludf.TEXTJOIN("; ",TRUE,J371,L371)="","",_xludf.TEXTJOIN("; ",TRUE,J371,L371))</f>
        <v>#NAME?</v>
      </c>
      <c r="O371" s="3">
        <v>24</v>
      </c>
      <c r="P371" s="3"/>
      <c r="Q371" s="3">
        <v>320</v>
      </c>
      <c r="R371" s="3"/>
      <c r="S371" s="3">
        <f t="shared" si="17"/>
        <v>7680</v>
      </c>
      <c r="T371" s="3" t="e">
        <f ca="1">IF(_xludf.TEXTJOIN("; ",TRUE,P371,R371)="","",_xludf.TEXTJOIN("; ",TRUE,P371,R371))</f>
        <v>#NAME?</v>
      </c>
    </row>
    <row r="372" spans="1:20">
      <c r="A372" t="s">
        <v>731</v>
      </c>
      <c r="B372" t="s">
        <v>732</v>
      </c>
      <c r="C372" s="3" t="s">
        <v>43</v>
      </c>
      <c r="D372" s="3" t="s">
        <v>44</v>
      </c>
      <c r="E372" s="3">
        <v>297</v>
      </c>
      <c r="F372" s="3"/>
      <c r="G372" s="3" t="str">
        <f t="shared" si="15"/>
        <v/>
      </c>
      <c r="H372" s="3" t="e">
        <f ca="1">IF(_xludf.TEXTJOIN("; ",TRUE,D372,F372)="","",_xludf.TEXTJOIN("; ",TRUE,D372,F372))</f>
        <v>#NAME?</v>
      </c>
      <c r="I372" s="3" t="s">
        <v>43</v>
      </c>
      <c r="J372" s="3" t="s">
        <v>44</v>
      </c>
      <c r="K372" s="3">
        <v>310</v>
      </c>
      <c r="L372" s="3"/>
      <c r="M372" s="3" t="str">
        <f t="shared" si="16"/>
        <v/>
      </c>
      <c r="N372" s="3" t="e">
        <f ca="1">IF(_xludf.TEXTJOIN("; ",TRUE,J372,L372)="","",_xludf.TEXTJOIN("; ",TRUE,J372,L372))</f>
        <v>#NAME?</v>
      </c>
      <c r="O372" s="3" t="s">
        <v>43</v>
      </c>
      <c r="P372" s="3" t="s">
        <v>44</v>
      </c>
      <c r="Q372" s="3">
        <v>319</v>
      </c>
      <c r="R372" s="3"/>
      <c r="S372" s="3" t="str">
        <f t="shared" si="17"/>
        <v/>
      </c>
      <c r="T372" s="3" t="e">
        <f ca="1">IF(_xludf.TEXTJOIN("; ",TRUE,P372,R372)="","",_xludf.TEXTJOIN("; ",TRUE,P372,R372))</f>
        <v>#NAME?</v>
      </c>
    </row>
    <row r="373" spans="1:20">
      <c r="A373" t="s">
        <v>733</v>
      </c>
      <c r="B373" t="s">
        <v>734</v>
      </c>
      <c r="C373" s="3">
        <v>29</v>
      </c>
      <c r="D373" s="3"/>
      <c r="E373" s="3">
        <v>109</v>
      </c>
      <c r="F373" s="3"/>
      <c r="G373" s="3">
        <f t="shared" si="15"/>
        <v>3161</v>
      </c>
      <c r="H373" s="3" t="e">
        <f ca="1">IF(_xludf.TEXTJOIN("; ",TRUE,D373,F373)="","",_xludf.TEXTJOIN("; ",TRUE,D373,F373))</f>
        <v>#NAME?</v>
      </c>
      <c r="I373" s="3">
        <v>28</v>
      </c>
      <c r="J373" s="3"/>
      <c r="K373" s="3">
        <v>114</v>
      </c>
      <c r="L373" s="3"/>
      <c r="M373" s="3">
        <f t="shared" si="16"/>
        <v>3192</v>
      </c>
      <c r="N373" s="3" t="e">
        <f ca="1">IF(_xludf.TEXTJOIN("; ",TRUE,J373,L373)="","",_xludf.TEXTJOIN("; ",TRUE,J373,L373))</f>
        <v>#NAME?</v>
      </c>
      <c r="O373" s="3">
        <v>28</v>
      </c>
      <c r="P373" s="3"/>
      <c r="Q373" s="3">
        <v>117</v>
      </c>
      <c r="R373" s="3"/>
      <c r="S373" s="3">
        <f t="shared" si="17"/>
        <v>3276</v>
      </c>
      <c r="T373" s="3" t="e">
        <f ca="1">IF(_xludf.TEXTJOIN("; ",TRUE,P373,R373)="","",_xludf.TEXTJOIN("; ",TRUE,P373,R373))</f>
        <v>#NAME?</v>
      </c>
    </row>
    <row r="374" spans="1:20">
      <c r="A374" t="s">
        <v>735</v>
      </c>
      <c r="B374" t="s">
        <v>736</v>
      </c>
      <c r="C374" s="3" t="s">
        <v>43</v>
      </c>
      <c r="D374" s="3" t="s">
        <v>44</v>
      </c>
      <c r="E374" s="3">
        <v>50</v>
      </c>
      <c r="F374" s="3"/>
      <c r="G374" s="3" t="str">
        <f t="shared" si="15"/>
        <v/>
      </c>
      <c r="H374" s="3" t="e">
        <f ca="1">IF(_xludf.TEXTJOIN("; ",TRUE,D374,F374)="","",_xludf.TEXTJOIN("; ",TRUE,D374,F374))</f>
        <v>#NAME?</v>
      </c>
      <c r="I374" s="3" t="s">
        <v>43</v>
      </c>
      <c r="J374" s="3" t="s">
        <v>44</v>
      </c>
      <c r="K374" s="3">
        <v>53</v>
      </c>
      <c r="L374" s="3"/>
      <c r="M374" s="3" t="str">
        <f t="shared" si="16"/>
        <v/>
      </c>
      <c r="N374" s="3" t="e">
        <f ca="1">IF(_xludf.TEXTJOIN("; ",TRUE,J374,L374)="","",_xludf.TEXTJOIN("; ",TRUE,J374,L374))</f>
        <v>#NAME?</v>
      </c>
      <c r="O374" s="3" t="s">
        <v>43</v>
      </c>
      <c r="P374" s="3" t="s">
        <v>44</v>
      </c>
      <c r="Q374" s="3">
        <v>54</v>
      </c>
      <c r="R374" s="3"/>
      <c r="S374" s="3" t="str">
        <f t="shared" si="17"/>
        <v/>
      </c>
      <c r="T374" s="3" t="e">
        <f ca="1">IF(_xludf.TEXTJOIN("; ",TRUE,P374,R374)="","",_xludf.TEXTJOIN("; ",TRUE,P374,R374))</f>
        <v>#NAME?</v>
      </c>
    </row>
    <row r="375" spans="1:20">
      <c r="A375" t="s">
        <v>737</v>
      </c>
      <c r="B375" t="s">
        <v>738</v>
      </c>
      <c r="C375" s="3">
        <v>58</v>
      </c>
      <c r="D375" s="3"/>
      <c r="E375" s="3">
        <v>74</v>
      </c>
      <c r="F375" s="3"/>
      <c r="G375" s="3">
        <f t="shared" si="15"/>
        <v>4292</v>
      </c>
      <c r="H375" s="3" t="e">
        <f ca="1">IF(_xludf.TEXTJOIN("; ",TRUE,D375,F375)="","",_xludf.TEXTJOIN("; ",TRUE,D375,F375))</f>
        <v>#NAME?</v>
      </c>
      <c r="I375" s="3">
        <v>50</v>
      </c>
      <c r="J375" s="3"/>
      <c r="K375" s="3">
        <v>72</v>
      </c>
      <c r="L375" s="3"/>
      <c r="M375" s="3">
        <f t="shared" si="16"/>
        <v>3600</v>
      </c>
      <c r="N375" s="3" t="e">
        <f ca="1">IF(_xludf.TEXTJOIN("; ",TRUE,J375,L375)="","",_xludf.TEXTJOIN("; ",TRUE,J375,L375))</f>
        <v>#NAME?</v>
      </c>
      <c r="O375" s="3">
        <v>38</v>
      </c>
      <c r="P375" s="3"/>
      <c r="Q375" s="3">
        <v>76</v>
      </c>
      <c r="R375" s="3"/>
      <c r="S375" s="3">
        <f t="shared" si="17"/>
        <v>2888</v>
      </c>
      <c r="T375" s="3" t="e">
        <f ca="1">IF(_xludf.TEXTJOIN("; ",TRUE,P375,R375)="","",_xludf.TEXTJOIN("; ",TRUE,P375,R375))</f>
        <v>#NAME?</v>
      </c>
    </row>
    <row r="376" spans="1:20">
      <c r="A376" t="s">
        <v>739</v>
      </c>
      <c r="B376" t="s">
        <v>740</v>
      </c>
      <c r="C376" s="3">
        <v>19</v>
      </c>
      <c r="D376" s="3"/>
      <c r="E376" s="3">
        <v>64</v>
      </c>
      <c r="F376" s="3"/>
      <c r="G376" s="3">
        <f t="shared" si="15"/>
        <v>1216</v>
      </c>
      <c r="H376" s="3" t="e">
        <f ca="1">IF(_xludf.TEXTJOIN("; ",TRUE,D376,F376)="","",_xludf.TEXTJOIN("; ",TRUE,D376,F376))</f>
        <v>#NAME?</v>
      </c>
      <c r="I376" s="3">
        <v>20</v>
      </c>
      <c r="J376" s="3"/>
      <c r="K376" s="3">
        <v>71</v>
      </c>
      <c r="L376" s="3"/>
      <c r="M376" s="3">
        <f t="shared" si="16"/>
        <v>1420</v>
      </c>
      <c r="N376" s="3" t="e">
        <f ca="1">IF(_xludf.TEXTJOIN("; ",TRUE,J376,L376)="","",_xludf.TEXTJOIN("; ",TRUE,J376,L376))</f>
        <v>#NAME?</v>
      </c>
      <c r="O376" s="3">
        <v>19</v>
      </c>
      <c r="P376" s="3"/>
      <c r="Q376" s="3">
        <v>72</v>
      </c>
      <c r="R376" s="3"/>
      <c r="S376" s="3">
        <f t="shared" si="17"/>
        <v>1368</v>
      </c>
      <c r="T376" s="3" t="e">
        <f ca="1">IF(_xludf.TEXTJOIN("; ",TRUE,P376,R376)="","",_xludf.TEXTJOIN("; ",TRUE,P376,R376))</f>
        <v>#NAME?</v>
      </c>
    </row>
    <row r="377" spans="1:20">
      <c r="A377" t="s">
        <v>741</v>
      </c>
      <c r="B377" t="s">
        <v>742</v>
      </c>
      <c r="C377" s="3" t="s">
        <v>43</v>
      </c>
      <c r="D377" s="3" t="s">
        <v>44</v>
      </c>
      <c r="E377" s="3">
        <v>1</v>
      </c>
      <c r="F377" s="3"/>
      <c r="G377" s="3" t="str">
        <f t="shared" si="15"/>
        <v/>
      </c>
      <c r="H377" s="3" t="e">
        <f ca="1">IF(_xludf.TEXTJOIN("; ",TRUE,D377,F377)="","",_xludf.TEXTJOIN("; ",TRUE,D377,F377))</f>
        <v>#NAME?</v>
      </c>
      <c r="I377" s="3" t="s">
        <v>43</v>
      </c>
      <c r="J377" s="3" t="s">
        <v>44</v>
      </c>
      <c r="K377" s="3">
        <v>1</v>
      </c>
      <c r="L377" s="3"/>
      <c r="M377" s="3" t="str">
        <f t="shared" si="16"/>
        <v/>
      </c>
      <c r="N377" s="3" t="e">
        <f ca="1">IF(_xludf.TEXTJOIN("; ",TRUE,J377,L377)="","",_xludf.TEXTJOIN("; ",TRUE,J377,L377))</f>
        <v>#NAME?</v>
      </c>
      <c r="O377" s="3" t="s">
        <v>43</v>
      </c>
      <c r="P377" s="3" t="s">
        <v>44</v>
      </c>
      <c r="Q377" s="3">
        <v>1</v>
      </c>
      <c r="R377" s="3"/>
      <c r="S377" s="3" t="str">
        <f t="shared" si="17"/>
        <v/>
      </c>
      <c r="T377" s="3" t="e">
        <f ca="1">IF(_xludf.TEXTJOIN("; ",TRUE,P377,R377)="","",_xludf.TEXTJOIN("; ",TRUE,P377,R377))</f>
        <v>#NAME?</v>
      </c>
    </row>
    <row r="378" spans="1:20">
      <c r="A378" t="s">
        <v>743</v>
      </c>
      <c r="B378" t="s">
        <v>742</v>
      </c>
      <c r="C378" s="3" t="s">
        <v>43</v>
      </c>
      <c r="D378" s="3" t="s">
        <v>44</v>
      </c>
      <c r="E378" s="3">
        <v>1</v>
      </c>
      <c r="F378" s="3"/>
      <c r="G378" s="3" t="str">
        <f t="shared" si="15"/>
        <v/>
      </c>
      <c r="H378" s="3" t="e">
        <f ca="1">IF(_xludf.TEXTJOIN("; ",TRUE,D378,F378)="","",_xludf.TEXTJOIN("; ",TRUE,D378,F378))</f>
        <v>#NAME?</v>
      </c>
      <c r="I378" s="3" t="s">
        <v>43</v>
      </c>
      <c r="J378" s="3" t="s">
        <v>44</v>
      </c>
      <c r="K378" s="3">
        <v>1</v>
      </c>
      <c r="L378" s="3"/>
      <c r="M378" s="3" t="str">
        <f t="shared" si="16"/>
        <v/>
      </c>
      <c r="N378" s="3" t="e">
        <f ca="1">IF(_xludf.TEXTJOIN("; ",TRUE,J378,L378)="","",_xludf.TEXTJOIN("; ",TRUE,J378,L378))</f>
        <v>#NAME?</v>
      </c>
      <c r="O378" s="3" t="s">
        <v>43</v>
      </c>
      <c r="P378" s="3" t="s">
        <v>44</v>
      </c>
      <c r="Q378" s="3">
        <v>1</v>
      </c>
      <c r="R378" s="3"/>
      <c r="S378" s="3" t="str">
        <f t="shared" si="17"/>
        <v/>
      </c>
      <c r="T378" s="3" t="e">
        <f ca="1">IF(_xludf.TEXTJOIN("; ",TRUE,P378,R378)="","",_xludf.TEXTJOIN("; ",TRUE,P378,R378))</f>
        <v>#NAME?</v>
      </c>
    </row>
    <row r="379" spans="1:20">
      <c r="A379" t="s">
        <v>744</v>
      </c>
      <c r="B379" t="s">
        <v>745</v>
      </c>
      <c r="C379" s="3">
        <v>62</v>
      </c>
      <c r="D379" s="3"/>
      <c r="E379" s="3">
        <v>1483</v>
      </c>
      <c r="F379" s="3"/>
      <c r="G379" s="3">
        <f t="shared" si="15"/>
        <v>91946</v>
      </c>
      <c r="H379" s="3" t="e">
        <f ca="1">IF(_xludf.TEXTJOIN("; ",TRUE,D379,F379)="","",_xludf.TEXTJOIN("; ",TRUE,D379,F379))</f>
        <v>#NAME?</v>
      </c>
      <c r="I379" s="3">
        <v>54</v>
      </c>
      <c r="J379" s="3"/>
      <c r="K379" s="3">
        <v>1603</v>
      </c>
      <c r="L379" s="3"/>
      <c r="M379" s="3">
        <f t="shared" si="16"/>
        <v>86562</v>
      </c>
      <c r="N379" s="3" t="e">
        <f ca="1">IF(_xludf.TEXTJOIN("; ",TRUE,J379,L379)="","",_xludf.TEXTJOIN("; ",TRUE,J379,L379))</f>
        <v>#NAME?</v>
      </c>
      <c r="O379" s="3">
        <v>52</v>
      </c>
      <c r="P379" s="3"/>
      <c r="Q379" s="3">
        <v>1681</v>
      </c>
      <c r="R379" s="3"/>
      <c r="S379" s="3">
        <f t="shared" si="17"/>
        <v>87412</v>
      </c>
      <c r="T379" s="3" t="e">
        <f ca="1">IF(_xludf.TEXTJOIN("; ",TRUE,P379,R379)="","",_xludf.TEXTJOIN("; ",TRUE,P379,R379))</f>
        <v>#NAME?</v>
      </c>
    </row>
    <row r="380" spans="1:20">
      <c r="A380" t="s">
        <v>746</v>
      </c>
      <c r="B380" t="s">
        <v>747</v>
      </c>
      <c r="C380" s="3">
        <v>59</v>
      </c>
      <c r="D380" s="3"/>
      <c r="E380" s="3">
        <v>418</v>
      </c>
      <c r="F380" s="3"/>
      <c r="G380" s="3">
        <f t="shared" si="15"/>
        <v>24662</v>
      </c>
      <c r="H380" s="3" t="e">
        <f ca="1">IF(_xludf.TEXTJOIN("; ",TRUE,D380,F380)="","",_xludf.TEXTJOIN("; ",TRUE,D380,F380))</f>
        <v>#NAME?</v>
      </c>
      <c r="I380" s="3">
        <v>54</v>
      </c>
      <c r="J380" s="3"/>
      <c r="K380" s="3">
        <v>443</v>
      </c>
      <c r="L380" s="3"/>
      <c r="M380" s="3">
        <f t="shared" si="16"/>
        <v>23922</v>
      </c>
      <c r="N380" s="3" t="e">
        <f ca="1">IF(_xludf.TEXTJOIN("; ",TRUE,J380,L380)="","",_xludf.TEXTJOIN("; ",TRUE,J380,L380))</f>
        <v>#NAME?</v>
      </c>
      <c r="O380" s="3">
        <v>50</v>
      </c>
      <c r="P380" s="3"/>
      <c r="Q380" s="3">
        <v>497</v>
      </c>
      <c r="R380" s="3"/>
      <c r="S380" s="3">
        <f t="shared" si="17"/>
        <v>24850</v>
      </c>
      <c r="T380" s="3" t="e">
        <f ca="1">IF(_xludf.TEXTJOIN("; ",TRUE,P380,R380)="","",_xludf.TEXTJOIN("; ",TRUE,P380,R380))</f>
        <v>#NAME?</v>
      </c>
    </row>
    <row r="381" spans="1:20">
      <c r="A381" t="s">
        <v>748</v>
      </c>
      <c r="B381" t="s">
        <v>749</v>
      </c>
      <c r="C381" s="3">
        <v>94</v>
      </c>
      <c r="D381" s="3"/>
      <c r="E381" s="3">
        <v>198</v>
      </c>
      <c r="F381" s="3"/>
      <c r="G381" s="3">
        <f t="shared" si="15"/>
        <v>18612</v>
      </c>
      <c r="H381" s="3" t="e">
        <f ca="1">IF(_xludf.TEXTJOIN("; ",TRUE,D381,F381)="","",_xludf.TEXTJOIN("; ",TRUE,D381,F381))</f>
        <v>#NAME?</v>
      </c>
      <c r="I381" s="3">
        <v>83</v>
      </c>
      <c r="J381" s="3"/>
      <c r="K381" s="3">
        <v>217</v>
      </c>
      <c r="L381" s="3"/>
      <c r="M381" s="3">
        <f t="shared" si="16"/>
        <v>18011</v>
      </c>
      <c r="N381" s="3" t="e">
        <f ca="1">IF(_xludf.TEXTJOIN("; ",TRUE,J381,L381)="","",_xludf.TEXTJOIN("; ",TRUE,J381,L381))</f>
        <v>#NAME?</v>
      </c>
      <c r="O381" s="3">
        <v>75</v>
      </c>
      <c r="P381" s="3"/>
      <c r="Q381" s="3">
        <v>255</v>
      </c>
      <c r="R381" s="3"/>
      <c r="S381" s="3">
        <f t="shared" si="17"/>
        <v>19125</v>
      </c>
      <c r="T381" s="3" t="e">
        <f ca="1">IF(_xludf.TEXTJOIN("; ",TRUE,P381,R381)="","",_xludf.TEXTJOIN("; ",TRUE,P381,R381))</f>
        <v>#NAME?</v>
      </c>
    </row>
    <row r="382" spans="1:20">
      <c r="A382" t="s">
        <v>750</v>
      </c>
      <c r="B382" t="s">
        <v>751</v>
      </c>
      <c r="C382" s="3">
        <v>28</v>
      </c>
      <c r="D382" s="3"/>
      <c r="E382" s="3">
        <v>220</v>
      </c>
      <c r="F382" s="3"/>
      <c r="G382" s="3">
        <f t="shared" si="15"/>
        <v>6160</v>
      </c>
      <c r="H382" s="3" t="e">
        <f ca="1">IF(_xludf.TEXTJOIN("; ",TRUE,D382,F382)="","",_xludf.TEXTJOIN("; ",TRUE,D382,F382))</f>
        <v>#NAME?</v>
      </c>
      <c r="I382" s="3">
        <v>25</v>
      </c>
      <c r="J382" s="3"/>
      <c r="K382" s="3">
        <v>226</v>
      </c>
      <c r="L382" s="3"/>
      <c r="M382" s="3">
        <f t="shared" si="16"/>
        <v>5650</v>
      </c>
      <c r="N382" s="3" t="e">
        <f ca="1">IF(_xludf.TEXTJOIN("; ",TRUE,J382,L382)="","",_xludf.TEXTJOIN("; ",TRUE,J382,L382))</f>
        <v>#NAME?</v>
      </c>
      <c r="O382" s="3">
        <v>23</v>
      </c>
      <c r="P382" s="3"/>
      <c r="Q382" s="3">
        <v>242</v>
      </c>
      <c r="R382" s="3"/>
      <c r="S382" s="3">
        <f t="shared" si="17"/>
        <v>5566</v>
      </c>
      <c r="T382" s="3" t="e">
        <f ca="1">IF(_xludf.TEXTJOIN("; ",TRUE,P382,R382)="","",_xludf.TEXTJOIN("; ",TRUE,P382,R382))</f>
        <v>#NAME?</v>
      </c>
    </row>
    <row r="383" spans="1:20">
      <c r="A383" t="s">
        <v>752</v>
      </c>
      <c r="B383" t="s">
        <v>753</v>
      </c>
      <c r="C383" s="3">
        <v>79</v>
      </c>
      <c r="D383" s="3"/>
      <c r="E383" s="3">
        <v>784</v>
      </c>
      <c r="F383" s="3"/>
      <c r="G383" s="3">
        <f t="shared" si="15"/>
        <v>61936</v>
      </c>
      <c r="H383" s="3" t="e">
        <f ca="1">IF(_xludf.TEXTJOIN("; ",TRUE,D383,F383)="","",_xludf.TEXTJOIN("; ",TRUE,D383,F383))</f>
        <v>#NAME?</v>
      </c>
      <c r="I383" s="3">
        <v>67</v>
      </c>
      <c r="J383" s="3"/>
      <c r="K383" s="3">
        <v>865</v>
      </c>
      <c r="L383" s="3"/>
      <c r="M383" s="3">
        <f t="shared" si="16"/>
        <v>57955</v>
      </c>
      <c r="N383" s="3" t="e">
        <f ca="1">IF(_xludf.TEXTJOIN("; ",TRUE,J383,L383)="","",_xludf.TEXTJOIN("; ",TRUE,J383,L383))</f>
        <v>#NAME?</v>
      </c>
      <c r="O383" s="3">
        <v>66</v>
      </c>
      <c r="P383" s="3"/>
      <c r="Q383" s="3">
        <v>888</v>
      </c>
      <c r="R383" s="3"/>
      <c r="S383" s="3">
        <f t="shared" si="17"/>
        <v>58608</v>
      </c>
      <c r="T383" s="3" t="e">
        <f ca="1">IF(_xludf.TEXTJOIN("; ",TRUE,P383,R383)="","",_xludf.TEXTJOIN("; ",TRUE,P383,R383))</f>
        <v>#NAME?</v>
      </c>
    </row>
    <row r="384" spans="1:20">
      <c r="A384" t="s">
        <v>754</v>
      </c>
      <c r="B384" t="s">
        <v>755</v>
      </c>
      <c r="C384" s="3">
        <v>43</v>
      </c>
      <c r="D384" s="3"/>
      <c r="E384" s="3">
        <v>165</v>
      </c>
      <c r="F384" s="3"/>
      <c r="G384" s="3">
        <f t="shared" si="15"/>
        <v>7095</v>
      </c>
      <c r="H384" s="3" t="e">
        <f ca="1">IF(_xludf.TEXTJOIN("; ",TRUE,D384,F384)="","",_xludf.TEXTJOIN("; ",TRUE,D384,F384))</f>
        <v>#NAME?</v>
      </c>
      <c r="I384" s="3">
        <v>41</v>
      </c>
      <c r="J384" s="3"/>
      <c r="K384" s="3">
        <v>182</v>
      </c>
      <c r="L384" s="3"/>
      <c r="M384" s="3">
        <f t="shared" si="16"/>
        <v>7462</v>
      </c>
      <c r="N384" s="3" t="e">
        <f ca="1">IF(_xludf.TEXTJOIN("; ",TRUE,J384,L384)="","",_xludf.TEXTJOIN("; ",TRUE,J384,L384))</f>
        <v>#NAME?</v>
      </c>
      <c r="O384" s="3">
        <v>32</v>
      </c>
      <c r="P384" s="3"/>
      <c r="Q384" s="3">
        <v>204</v>
      </c>
      <c r="R384" s="3"/>
      <c r="S384" s="3">
        <f t="shared" si="17"/>
        <v>6528</v>
      </c>
      <c r="T384" s="3" t="e">
        <f ca="1">IF(_xludf.TEXTJOIN("; ",TRUE,P384,R384)="","",_xludf.TEXTJOIN("; ",TRUE,P384,R384))</f>
        <v>#NAME?</v>
      </c>
    </row>
    <row r="385" spans="1:20">
      <c r="A385" t="s">
        <v>756</v>
      </c>
      <c r="B385" t="s">
        <v>757</v>
      </c>
      <c r="C385" s="3">
        <v>34</v>
      </c>
      <c r="D385" s="3"/>
      <c r="E385" s="3">
        <v>211</v>
      </c>
      <c r="F385" s="3"/>
      <c r="G385" s="3">
        <f t="shared" si="15"/>
        <v>7174</v>
      </c>
      <c r="H385" s="3" t="e">
        <f ca="1">IF(_xludf.TEXTJOIN("; ",TRUE,D385,F385)="","",_xludf.TEXTJOIN("; ",TRUE,D385,F385))</f>
        <v>#NAME?</v>
      </c>
      <c r="I385" s="3">
        <v>27</v>
      </c>
      <c r="J385" s="3"/>
      <c r="K385" s="3">
        <v>237</v>
      </c>
      <c r="L385" s="3"/>
      <c r="M385" s="3">
        <f t="shared" si="16"/>
        <v>6399</v>
      </c>
      <c r="N385" s="3" t="e">
        <f ca="1">IF(_xludf.TEXTJOIN("; ",TRUE,J385,L385)="","",_xludf.TEXTJOIN("; ",TRUE,J385,L385))</f>
        <v>#NAME?</v>
      </c>
      <c r="O385" s="3">
        <v>26</v>
      </c>
      <c r="P385" s="3"/>
      <c r="Q385" s="3">
        <v>244</v>
      </c>
      <c r="R385" s="3"/>
      <c r="S385" s="3">
        <f t="shared" si="17"/>
        <v>6344</v>
      </c>
      <c r="T385" s="3" t="e">
        <f ca="1">IF(_xludf.TEXTJOIN("; ",TRUE,P385,R385)="","",_xludf.TEXTJOIN("; ",TRUE,P385,R385))</f>
        <v>#NAME?</v>
      </c>
    </row>
    <row r="386" spans="1:20">
      <c r="A386" t="s">
        <v>758</v>
      </c>
      <c r="B386" t="s">
        <v>759</v>
      </c>
      <c r="C386" s="3">
        <v>118</v>
      </c>
      <c r="D386" s="3"/>
      <c r="E386" s="3">
        <v>408</v>
      </c>
      <c r="F386" s="3"/>
      <c r="G386" s="3">
        <f t="shared" ref="G386:G417" si="18">IF(OR(C386="",C386=":",E386="",E386=":"),"",C386*E386)</f>
        <v>48144</v>
      </c>
      <c r="H386" s="3" t="e">
        <f ca="1">IF(_xludf.TEXTJOIN("; ",TRUE,D386,F386)="","",_xludf.TEXTJOIN("; ",TRUE,D386,F386))</f>
        <v>#NAME?</v>
      </c>
      <c r="I386" s="3">
        <v>98</v>
      </c>
      <c r="J386" s="3"/>
      <c r="K386" s="3">
        <v>446</v>
      </c>
      <c r="L386" s="3"/>
      <c r="M386" s="3">
        <f t="shared" ref="M386:M417" si="19">IF(OR(I386="",I386=":",K386="",K386=":"),"",I386*K386)</f>
        <v>43708</v>
      </c>
      <c r="N386" s="3" t="e">
        <f ca="1">IF(_xludf.TEXTJOIN("; ",TRUE,J386,L386)="","",_xludf.TEXTJOIN("; ",TRUE,J386,L386))</f>
        <v>#NAME?</v>
      </c>
      <c r="O386" s="3">
        <v>103</v>
      </c>
      <c r="P386" s="3"/>
      <c r="Q386" s="3">
        <v>440</v>
      </c>
      <c r="R386" s="3"/>
      <c r="S386" s="3">
        <f t="shared" ref="S386:S417" si="20">IF(OR(O386="",O386=":",Q386="",Q386=":"),"",O386*Q386)</f>
        <v>45320</v>
      </c>
      <c r="T386" s="3" t="e">
        <f ca="1">IF(_xludf.TEXTJOIN("; ",TRUE,P386,R386)="","",_xludf.TEXTJOIN("; ",TRUE,P386,R386))</f>
        <v>#NAME?</v>
      </c>
    </row>
    <row r="387" spans="1:20">
      <c r="A387" t="s">
        <v>760</v>
      </c>
      <c r="B387" t="s">
        <v>761</v>
      </c>
      <c r="C387" s="3">
        <v>17</v>
      </c>
      <c r="D387" s="3"/>
      <c r="E387" s="3">
        <v>281</v>
      </c>
      <c r="F387" s="3"/>
      <c r="G387" s="3">
        <f t="shared" si="18"/>
        <v>4777</v>
      </c>
      <c r="H387" s="3" t="e">
        <f ca="1">IF(_xludf.TEXTJOIN("; ",TRUE,D387,F387)="","",_xludf.TEXTJOIN("; ",TRUE,D387,F387))</f>
        <v>#NAME?</v>
      </c>
      <c r="I387" s="3">
        <v>15</v>
      </c>
      <c r="J387" s="3"/>
      <c r="K387" s="3">
        <v>295</v>
      </c>
      <c r="L387" s="3"/>
      <c r="M387" s="3">
        <f t="shared" si="19"/>
        <v>4425</v>
      </c>
      <c r="N387" s="3" t="e">
        <f ca="1">IF(_xludf.TEXTJOIN("; ",TRUE,J387,L387)="","",_xludf.TEXTJOIN("; ",TRUE,J387,L387))</f>
        <v>#NAME?</v>
      </c>
      <c r="O387" s="3">
        <v>15</v>
      </c>
      <c r="P387" s="3"/>
      <c r="Q387" s="3">
        <v>296</v>
      </c>
      <c r="R387" s="3"/>
      <c r="S387" s="3">
        <f t="shared" si="20"/>
        <v>4440</v>
      </c>
      <c r="T387" s="3" t="e">
        <f ca="1">IF(_xludf.TEXTJOIN("; ",TRUE,P387,R387)="","",_xludf.TEXTJOIN("; ",TRUE,P387,R387))</f>
        <v>#NAME?</v>
      </c>
    </row>
    <row r="388" spans="1:20">
      <c r="A388" t="s">
        <v>762</v>
      </c>
      <c r="B388" t="s">
        <v>763</v>
      </c>
      <c r="C388" s="3">
        <v>7</v>
      </c>
      <c r="D388" s="3"/>
      <c r="E388" s="3">
        <v>147</v>
      </c>
      <c r="F388" s="3"/>
      <c r="G388" s="3">
        <f t="shared" si="18"/>
        <v>1029</v>
      </c>
      <c r="H388" s="3" t="e">
        <f ca="1">IF(_xludf.TEXTJOIN("; ",TRUE,D388,F388)="","",_xludf.TEXTJOIN("; ",TRUE,D388,F388))</f>
        <v>#NAME?</v>
      </c>
      <c r="I388" s="3">
        <v>7</v>
      </c>
      <c r="J388" s="3"/>
      <c r="K388" s="3">
        <v>168</v>
      </c>
      <c r="L388" s="3"/>
      <c r="M388" s="3">
        <f t="shared" si="19"/>
        <v>1176</v>
      </c>
      <c r="N388" s="3" t="e">
        <f ca="1">IF(_xludf.TEXTJOIN("; ",TRUE,J388,L388)="","",_xludf.TEXTJOIN("; ",TRUE,J388,L388))</f>
        <v>#NAME?</v>
      </c>
      <c r="O388" s="3">
        <v>7</v>
      </c>
      <c r="P388" s="3"/>
      <c r="Q388" s="3">
        <v>168</v>
      </c>
      <c r="R388" s="3"/>
      <c r="S388" s="3">
        <f t="shared" si="20"/>
        <v>1176</v>
      </c>
      <c r="T388" s="3" t="e">
        <f ca="1">IF(_xludf.TEXTJOIN("; ",TRUE,P388,R388)="","",_xludf.TEXTJOIN("; ",TRUE,P388,R388))</f>
        <v>#NAME?</v>
      </c>
    </row>
    <row r="389" spans="1:20">
      <c r="A389" t="s">
        <v>764</v>
      </c>
      <c r="B389" t="s">
        <v>765</v>
      </c>
      <c r="C389" s="3">
        <v>4</v>
      </c>
      <c r="D389" s="3"/>
      <c r="E389" s="3">
        <v>44</v>
      </c>
      <c r="F389" s="3"/>
      <c r="G389" s="3">
        <f t="shared" si="18"/>
        <v>176</v>
      </c>
      <c r="H389" s="3" t="e">
        <f ca="1">IF(_xludf.TEXTJOIN("; ",TRUE,D389,F389)="","",_xludf.TEXTJOIN("; ",TRUE,D389,F389))</f>
        <v>#NAME?</v>
      </c>
      <c r="I389" s="3">
        <v>4</v>
      </c>
      <c r="J389" s="3"/>
      <c r="K389" s="3">
        <v>41</v>
      </c>
      <c r="L389" s="3"/>
      <c r="M389" s="3">
        <f t="shared" si="19"/>
        <v>164</v>
      </c>
      <c r="N389" s="3" t="e">
        <f ca="1">IF(_xludf.TEXTJOIN("; ",TRUE,J389,L389)="","",_xludf.TEXTJOIN("; ",TRUE,J389,L389))</f>
        <v>#NAME?</v>
      </c>
      <c r="O389" s="3">
        <v>4</v>
      </c>
      <c r="P389" s="3"/>
      <c r="Q389" s="3">
        <v>51</v>
      </c>
      <c r="R389" s="3"/>
      <c r="S389" s="3">
        <f t="shared" si="20"/>
        <v>204</v>
      </c>
      <c r="T389" s="3" t="e">
        <f ca="1">IF(_xludf.TEXTJOIN("; ",TRUE,P389,R389)="","",_xludf.TEXTJOIN("; ",TRUE,P389,R389))</f>
        <v>#NAME?</v>
      </c>
    </row>
    <row r="390" spans="1:20">
      <c r="A390" t="s">
        <v>766</v>
      </c>
      <c r="B390" t="s">
        <v>767</v>
      </c>
      <c r="C390" s="3">
        <v>38</v>
      </c>
      <c r="D390" s="3"/>
      <c r="E390" s="3">
        <v>90</v>
      </c>
      <c r="F390" s="3"/>
      <c r="G390" s="3">
        <f t="shared" si="18"/>
        <v>3420</v>
      </c>
      <c r="H390" s="3" t="e">
        <f ca="1">IF(_xludf.TEXTJOIN("; ",TRUE,D390,F390)="","",_xludf.TEXTJOIN("; ",TRUE,D390,F390))</f>
        <v>#NAME?</v>
      </c>
      <c r="I390" s="3">
        <v>36</v>
      </c>
      <c r="J390" s="3"/>
      <c r="K390" s="3">
        <v>86</v>
      </c>
      <c r="L390" s="3"/>
      <c r="M390" s="3">
        <f t="shared" si="19"/>
        <v>3096</v>
      </c>
      <c r="N390" s="3" t="e">
        <f ca="1">IF(_xludf.TEXTJOIN("; ",TRUE,J390,L390)="","",_xludf.TEXTJOIN("; ",TRUE,J390,L390))</f>
        <v>#NAME?</v>
      </c>
      <c r="O390" s="3">
        <v>39</v>
      </c>
      <c r="P390" s="3"/>
      <c r="Q390" s="3">
        <v>77</v>
      </c>
      <c r="R390" s="3"/>
      <c r="S390" s="3">
        <f t="shared" si="20"/>
        <v>3003</v>
      </c>
      <c r="T390" s="3" t="e">
        <f ca="1">IF(_xludf.TEXTJOIN("; ",TRUE,P390,R390)="","",_xludf.TEXTJOIN("; ",TRUE,P390,R390))</f>
        <v>#NAME?</v>
      </c>
    </row>
    <row r="391" spans="1:20">
      <c r="A391" t="s">
        <v>768</v>
      </c>
      <c r="B391" t="s">
        <v>769</v>
      </c>
      <c r="C391" s="3" t="s">
        <v>43</v>
      </c>
      <c r="D391" s="3"/>
      <c r="E391" s="3" t="s">
        <v>43</v>
      </c>
      <c r="F391" s="3"/>
      <c r="G391" s="3" t="str">
        <f t="shared" si="18"/>
        <v/>
      </c>
      <c r="H391" s="3" t="e">
        <f ca="1">IF(_xludf.TEXTJOIN("; ",TRUE,D391,F391)="","",_xludf.TEXTJOIN("; ",TRUE,D391,F391))</f>
        <v>#NAME?</v>
      </c>
      <c r="I391" s="3">
        <v>3</v>
      </c>
      <c r="J391" s="3"/>
      <c r="K391" s="3">
        <v>16</v>
      </c>
      <c r="L391" s="3"/>
      <c r="M391" s="3">
        <f t="shared" si="19"/>
        <v>48</v>
      </c>
      <c r="N391" s="3" t="e">
        <f ca="1">IF(_xludf.TEXTJOIN("; ",TRUE,J391,L391)="","",_xludf.TEXTJOIN("; ",TRUE,J391,L391))</f>
        <v>#NAME?</v>
      </c>
      <c r="O391" s="3">
        <v>3</v>
      </c>
      <c r="P391" s="3"/>
      <c r="Q391" s="3">
        <v>16</v>
      </c>
      <c r="R391" s="3"/>
      <c r="S391" s="3">
        <f t="shared" si="20"/>
        <v>48</v>
      </c>
      <c r="T391" s="3" t="e">
        <f ca="1">IF(_xludf.TEXTJOIN("; ",TRUE,P391,R391)="","",_xludf.TEXTJOIN("; ",TRUE,P391,R391))</f>
        <v>#NAME?</v>
      </c>
    </row>
    <row r="392" spans="1:20">
      <c r="A392" t="s">
        <v>770</v>
      </c>
      <c r="B392" t="s">
        <v>771</v>
      </c>
      <c r="C392" s="3" t="s">
        <v>43</v>
      </c>
      <c r="D392" s="3"/>
      <c r="E392" s="3" t="s">
        <v>43</v>
      </c>
      <c r="F392" s="3"/>
      <c r="G392" s="3" t="str">
        <f t="shared" si="18"/>
        <v/>
      </c>
      <c r="H392" s="3" t="e">
        <f ca="1">IF(_xludf.TEXTJOIN("; ",TRUE,D392,F392)="","",_xludf.TEXTJOIN("; ",TRUE,D392,F392))</f>
        <v>#NAME?</v>
      </c>
      <c r="I392" s="3">
        <v>3</v>
      </c>
      <c r="J392" s="3"/>
      <c r="K392" s="3">
        <v>16</v>
      </c>
      <c r="L392" s="3"/>
      <c r="M392" s="3">
        <f t="shared" si="19"/>
        <v>48</v>
      </c>
      <c r="N392" s="3" t="e">
        <f ca="1">IF(_xludf.TEXTJOIN("; ",TRUE,J392,L392)="","",_xludf.TEXTJOIN("; ",TRUE,J392,L392))</f>
        <v>#NAME?</v>
      </c>
      <c r="O392" s="3" t="s">
        <v>43</v>
      </c>
      <c r="P392" s="3"/>
      <c r="Q392" s="3" t="s">
        <v>43</v>
      </c>
      <c r="R392" s="3"/>
      <c r="S392" s="3" t="str">
        <f t="shared" si="20"/>
        <v/>
      </c>
      <c r="T392" s="3" t="e">
        <f ca="1">IF(_xludf.TEXTJOIN("; ",TRUE,P392,R392)="","",_xludf.TEXTJOIN("; ",TRUE,P392,R392))</f>
        <v>#NAME?</v>
      </c>
    </row>
    <row r="393" spans="1:20">
      <c r="A393" t="s">
        <v>772</v>
      </c>
      <c r="B393" t="s">
        <v>771</v>
      </c>
      <c r="C393" s="3" t="s">
        <v>43</v>
      </c>
      <c r="D393" s="3"/>
      <c r="E393" s="3" t="s">
        <v>43</v>
      </c>
      <c r="F393" s="3"/>
      <c r="G393" s="3" t="str">
        <f t="shared" si="18"/>
        <v/>
      </c>
      <c r="H393" s="3" t="e">
        <f ca="1">IF(_xludf.TEXTJOIN("; ",TRUE,D393,F393)="","",_xludf.TEXTJOIN("; ",TRUE,D393,F393))</f>
        <v>#NAME?</v>
      </c>
      <c r="I393" s="3">
        <v>3</v>
      </c>
      <c r="J393" s="3"/>
      <c r="K393" s="3">
        <v>16</v>
      </c>
      <c r="L393" s="3"/>
      <c r="M393" s="3">
        <f t="shared" si="19"/>
        <v>48</v>
      </c>
      <c r="N393" s="3" t="e">
        <f ca="1">IF(_xludf.TEXTJOIN("; ",TRUE,J393,L393)="","",_xludf.TEXTJOIN("; ",TRUE,J393,L393))</f>
        <v>#NAME?</v>
      </c>
      <c r="O393" s="3" t="s">
        <v>43</v>
      </c>
      <c r="P393" s="3"/>
      <c r="Q393" s="3" t="s">
        <v>43</v>
      </c>
      <c r="R393" s="3"/>
      <c r="S393" s="3" t="str">
        <f t="shared" si="20"/>
        <v/>
      </c>
      <c r="T393" s="3" t="e">
        <f ca="1">IF(_xludf.TEXTJOIN("; ",TRUE,P393,R393)="","",_xludf.TEXTJOIN("; ",TRUE,P393,R393))</f>
        <v>#NAME?</v>
      </c>
    </row>
    <row r="394" spans="1:20">
      <c r="A394" t="s">
        <v>773</v>
      </c>
      <c r="B394" t="s">
        <v>774</v>
      </c>
      <c r="C394" s="3">
        <v>18</v>
      </c>
      <c r="D394" s="3"/>
      <c r="E394" s="3">
        <v>156</v>
      </c>
      <c r="F394" s="3"/>
      <c r="G394" s="3">
        <f t="shared" si="18"/>
        <v>2808</v>
      </c>
      <c r="H394" s="3" t="e">
        <f ca="1">IF(_xludf.TEXTJOIN("; ",TRUE,D394,F394)="","",_xludf.TEXTJOIN("; ",TRUE,D394,F394))</f>
        <v>#NAME?</v>
      </c>
      <c r="I394" s="3">
        <v>19</v>
      </c>
      <c r="J394" s="3"/>
      <c r="K394" s="3">
        <v>161</v>
      </c>
      <c r="L394" s="3"/>
      <c r="M394" s="3">
        <f t="shared" si="19"/>
        <v>3059</v>
      </c>
      <c r="N394" s="3" t="e">
        <f ca="1">IF(_xludf.TEXTJOIN("; ",TRUE,J394,L394)="","",_xludf.TEXTJOIN("; ",TRUE,J394,L394))</f>
        <v>#NAME?</v>
      </c>
      <c r="O394" s="3">
        <v>17</v>
      </c>
      <c r="P394" s="3"/>
      <c r="Q394" s="3">
        <v>167</v>
      </c>
      <c r="R394" s="3"/>
      <c r="S394" s="3">
        <f t="shared" si="20"/>
        <v>2839</v>
      </c>
      <c r="T394" s="3" t="e">
        <f ca="1">IF(_xludf.TEXTJOIN("; ",TRUE,P394,R394)="","",_xludf.TEXTJOIN("; ",TRUE,P394,R394))</f>
        <v>#NAME?</v>
      </c>
    </row>
    <row r="395" spans="1:20">
      <c r="A395" t="s">
        <v>775</v>
      </c>
      <c r="B395" t="s">
        <v>776</v>
      </c>
      <c r="C395" s="3">
        <v>43</v>
      </c>
      <c r="D395" s="3"/>
      <c r="E395" s="3">
        <v>20</v>
      </c>
      <c r="F395" s="3"/>
      <c r="G395" s="3">
        <f t="shared" si="18"/>
        <v>860</v>
      </c>
      <c r="H395" s="3" t="e">
        <f ca="1">IF(_xludf.TEXTJOIN("; ",TRUE,D395,F395)="","",_xludf.TEXTJOIN("; ",TRUE,D395,F395))</f>
        <v>#NAME?</v>
      </c>
      <c r="I395" s="3">
        <v>40</v>
      </c>
      <c r="J395" s="3"/>
      <c r="K395" s="3">
        <v>22</v>
      </c>
      <c r="L395" s="3"/>
      <c r="M395" s="3">
        <f t="shared" si="19"/>
        <v>880</v>
      </c>
      <c r="N395" s="3" t="e">
        <f ca="1">IF(_xludf.TEXTJOIN("; ",TRUE,J395,L395)="","",_xludf.TEXTJOIN("; ",TRUE,J395,L395))</f>
        <v>#NAME?</v>
      </c>
      <c r="O395" s="3">
        <v>43</v>
      </c>
      <c r="P395" s="3"/>
      <c r="Q395" s="3">
        <v>21</v>
      </c>
      <c r="R395" s="3"/>
      <c r="S395" s="3">
        <f t="shared" si="20"/>
        <v>903</v>
      </c>
      <c r="T395" s="3" t="e">
        <f ca="1">IF(_xludf.TEXTJOIN("; ",TRUE,P395,R395)="","",_xludf.TEXTJOIN("; ",TRUE,P395,R395))</f>
        <v>#NAME?</v>
      </c>
    </row>
    <row r="396" spans="1:20">
      <c r="A396" t="s">
        <v>777</v>
      </c>
      <c r="B396" t="s">
        <v>778</v>
      </c>
      <c r="C396" s="3">
        <v>11</v>
      </c>
      <c r="D396" s="3"/>
      <c r="E396" s="3">
        <v>18</v>
      </c>
      <c r="F396" s="3"/>
      <c r="G396" s="3">
        <f t="shared" si="18"/>
        <v>198</v>
      </c>
      <c r="H396" s="3" t="e">
        <f ca="1">IF(_xludf.TEXTJOIN("; ",TRUE,D396,F396)="","",_xludf.TEXTJOIN("; ",TRUE,D396,F396))</f>
        <v>#NAME?</v>
      </c>
      <c r="I396" s="3">
        <v>12</v>
      </c>
      <c r="J396" s="3"/>
      <c r="K396" s="3">
        <v>16</v>
      </c>
      <c r="L396" s="3"/>
      <c r="M396" s="3">
        <f t="shared" si="19"/>
        <v>192</v>
      </c>
      <c r="N396" s="3" t="e">
        <f ca="1">IF(_xludf.TEXTJOIN("; ",TRUE,J396,L396)="","",_xludf.TEXTJOIN("; ",TRUE,J396,L396))</f>
        <v>#NAME?</v>
      </c>
      <c r="O396" s="3">
        <v>11</v>
      </c>
      <c r="P396" s="3"/>
      <c r="Q396" s="3">
        <v>17</v>
      </c>
      <c r="R396" s="3"/>
      <c r="S396" s="3">
        <f t="shared" si="20"/>
        <v>187</v>
      </c>
      <c r="T396" s="3" t="e">
        <f ca="1">IF(_xludf.TEXTJOIN("; ",TRUE,P396,R396)="","",_xludf.TEXTJOIN("; ",TRUE,P396,R396))</f>
        <v>#NAME?</v>
      </c>
    </row>
    <row r="397" spans="1:20">
      <c r="A397" t="s">
        <v>779</v>
      </c>
      <c r="B397" t="s">
        <v>780</v>
      </c>
      <c r="C397" s="3">
        <v>7</v>
      </c>
      <c r="D397" s="3"/>
      <c r="E397" s="3">
        <v>9</v>
      </c>
      <c r="F397" s="3"/>
      <c r="G397" s="3">
        <f t="shared" si="18"/>
        <v>63</v>
      </c>
      <c r="H397" s="3" t="e">
        <f ca="1">IF(_xludf.TEXTJOIN("; ",TRUE,D397,F397)="","",_xludf.TEXTJOIN("; ",TRUE,D397,F397))</f>
        <v>#NAME?</v>
      </c>
      <c r="I397" s="3">
        <v>6</v>
      </c>
      <c r="J397" s="3"/>
      <c r="K397" s="3">
        <v>9</v>
      </c>
      <c r="L397" s="3"/>
      <c r="M397" s="3">
        <f t="shared" si="19"/>
        <v>54</v>
      </c>
      <c r="N397" s="3" t="e">
        <f ca="1">IF(_xludf.TEXTJOIN("; ",TRUE,J397,L397)="","",_xludf.TEXTJOIN("; ",TRUE,J397,L397))</f>
        <v>#NAME?</v>
      </c>
      <c r="O397" s="3">
        <v>6</v>
      </c>
      <c r="P397" s="3"/>
      <c r="Q397" s="3">
        <v>9</v>
      </c>
      <c r="R397" s="3"/>
      <c r="S397" s="3">
        <f t="shared" si="20"/>
        <v>54</v>
      </c>
      <c r="T397" s="3" t="e">
        <f ca="1">IF(_xludf.TEXTJOIN("; ",TRUE,P397,R397)="","",_xludf.TEXTJOIN("; ",TRUE,P397,R397))</f>
        <v>#NAME?</v>
      </c>
    </row>
    <row r="398" spans="1:20">
      <c r="A398" t="s">
        <v>781</v>
      </c>
      <c r="B398" t="s">
        <v>782</v>
      </c>
      <c r="C398" s="3">
        <v>15</v>
      </c>
      <c r="D398" s="3"/>
      <c r="E398" s="3">
        <v>51</v>
      </c>
      <c r="F398" s="3"/>
      <c r="G398" s="3">
        <f t="shared" si="18"/>
        <v>765</v>
      </c>
      <c r="H398" s="3" t="e">
        <f ca="1">IF(_xludf.TEXTJOIN("; ",TRUE,D398,F398)="","",_xludf.TEXTJOIN("; ",TRUE,D398,F398))</f>
        <v>#NAME?</v>
      </c>
      <c r="I398" s="3">
        <v>18</v>
      </c>
      <c r="J398" s="3"/>
      <c r="K398" s="3">
        <v>53</v>
      </c>
      <c r="L398" s="3"/>
      <c r="M398" s="3">
        <f t="shared" si="19"/>
        <v>954</v>
      </c>
      <c r="N398" s="3" t="e">
        <f ca="1">IF(_xludf.TEXTJOIN("; ",TRUE,J398,L398)="","",_xludf.TEXTJOIN("; ",TRUE,J398,L398))</f>
        <v>#NAME?</v>
      </c>
      <c r="O398" s="3">
        <v>18</v>
      </c>
      <c r="P398" s="3"/>
      <c r="Q398" s="3">
        <v>55</v>
      </c>
      <c r="R398" s="3"/>
      <c r="S398" s="3">
        <f t="shared" si="20"/>
        <v>990</v>
      </c>
      <c r="T398" s="3" t="e">
        <f ca="1">IF(_xludf.TEXTJOIN("; ",TRUE,P398,R398)="","",_xludf.TEXTJOIN("; ",TRUE,P398,R398))</f>
        <v>#NAME?</v>
      </c>
    </row>
    <row r="399" spans="1:20">
      <c r="A399" t="s">
        <v>783</v>
      </c>
      <c r="B399" t="s">
        <v>784</v>
      </c>
      <c r="C399" s="3">
        <v>12</v>
      </c>
      <c r="D399" s="3"/>
      <c r="E399" s="3">
        <v>26</v>
      </c>
      <c r="F399" s="3"/>
      <c r="G399" s="3">
        <f t="shared" si="18"/>
        <v>312</v>
      </c>
      <c r="H399" s="3" t="e">
        <f ca="1">IF(_xludf.TEXTJOIN("; ",TRUE,D399,F399)="","",_xludf.TEXTJOIN("; ",TRUE,D399,F399))</f>
        <v>#NAME?</v>
      </c>
      <c r="I399" s="3">
        <v>12</v>
      </c>
      <c r="J399" s="3"/>
      <c r="K399" s="3">
        <v>26</v>
      </c>
      <c r="L399" s="3"/>
      <c r="M399" s="3">
        <f t="shared" si="19"/>
        <v>312</v>
      </c>
      <c r="N399" s="3" t="e">
        <f ca="1">IF(_xludf.TEXTJOIN("; ",TRUE,J399,L399)="","",_xludf.TEXTJOIN("; ",TRUE,J399,L399))</f>
        <v>#NAME?</v>
      </c>
      <c r="O399" s="3">
        <v>12</v>
      </c>
      <c r="P399" s="3"/>
      <c r="Q399" s="3">
        <v>27</v>
      </c>
      <c r="R399" s="3"/>
      <c r="S399" s="3">
        <f t="shared" si="20"/>
        <v>324</v>
      </c>
      <c r="T399" s="3" t="e">
        <f ca="1">IF(_xludf.TEXTJOIN("; ",TRUE,P399,R399)="","",_xludf.TEXTJOIN("; ",TRUE,P399,R399))</f>
        <v>#NAME?</v>
      </c>
    </row>
    <row r="400" spans="1:20">
      <c r="A400" t="s">
        <v>785</v>
      </c>
      <c r="B400" t="s">
        <v>786</v>
      </c>
      <c r="C400" s="3">
        <v>16</v>
      </c>
      <c r="D400" s="3"/>
      <c r="E400" s="3">
        <v>32</v>
      </c>
      <c r="F400" s="3"/>
      <c r="G400" s="3">
        <f t="shared" si="18"/>
        <v>512</v>
      </c>
      <c r="H400" s="3" t="e">
        <f ca="1">IF(_xludf.TEXTJOIN("; ",TRUE,D400,F400)="","",_xludf.TEXTJOIN("; ",TRUE,D400,F400))</f>
        <v>#NAME?</v>
      </c>
      <c r="I400" s="3">
        <v>19</v>
      </c>
      <c r="J400" s="3"/>
      <c r="K400" s="3">
        <v>35</v>
      </c>
      <c r="L400" s="3"/>
      <c r="M400" s="3">
        <f t="shared" si="19"/>
        <v>665</v>
      </c>
      <c r="N400" s="3" t="e">
        <f ca="1">IF(_xludf.TEXTJOIN("; ",TRUE,J400,L400)="","",_xludf.TEXTJOIN("; ",TRUE,J400,L400))</f>
        <v>#NAME?</v>
      </c>
      <c r="O400" s="3">
        <v>10</v>
      </c>
      <c r="P400" s="3"/>
      <c r="Q400" s="3">
        <v>38</v>
      </c>
      <c r="R400" s="3"/>
      <c r="S400" s="3">
        <f t="shared" si="20"/>
        <v>380</v>
      </c>
      <c r="T400" s="3" t="e">
        <f ca="1">IF(_xludf.TEXTJOIN("; ",TRUE,P400,R400)="","",_xludf.TEXTJOIN("; ",TRUE,P400,R400))</f>
        <v>#NAME?</v>
      </c>
    </row>
    <row r="401" spans="1:20">
      <c r="A401" t="s">
        <v>787</v>
      </c>
      <c r="B401" t="s">
        <v>788</v>
      </c>
      <c r="C401" s="3" t="s">
        <v>43</v>
      </c>
      <c r="D401" s="3"/>
      <c r="E401" s="3" t="s">
        <v>43</v>
      </c>
      <c r="F401" s="3"/>
      <c r="G401" s="3" t="str">
        <f t="shared" si="18"/>
        <v/>
      </c>
      <c r="H401" s="3" t="e">
        <f ca="1">IF(_xludf.TEXTJOIN("; ",TRUE,D401,F401)="","",_xludf.TEXTJOIN("; ",TRUE,D401,F401))</f>
        <v>#NAME?</v>
      </c>
      <c r="I401" s="3" t="s">
        <v>43</v>
      </c>
      <c r="J401" s="3"/>
      <c r="K401" s="3" t="s">
        <v>43</v>
      </c>
      <c r="L401" s="3"/>
      <c r="M401" s="3" t="str">
        <f t="shared" si="19"/>
        <v/>
      </c>
      <c r="N401" s="3" t="e">
        <f ca="1">IF(_xludf.TEXTJOIN("; ",TRUE,J401,L401)="","",_xludf.TEXTJOIN("; ",TRUE,J401,L401))</f>
        <v>#NAME?</v>
      </c>
      <c r="O401" s="3" t="s">
        <v>43</v>
      </c>
      <c r="P401" s="3"/>
      <c r="Q401" s="3" t="s">
        <v>43</v>
      </c>
      <c r="R401" s="3"/>
      <c r="S401" s="3" t="str">
        <f t="shared" si="20"/>
        <v/>
      </c>
      <c r="T401" s="3" t="e">
        <f ca="1">IF(_xludf.TEXTJOIN("; ",TRUE,P401,R401)="","",_xludf.TEXTJOIN("; ",TRUE,P401,R401))</f>
        <v>#NAME?</v>
      </c>
    </row>
    <row r="402" spans="1:20">
      <c r="A402" t="s">
        <v>789</v>
      </c>
      <c r="B402" t="s">
        <v>790</v>
      </c>
      <c r="C402" s="3">
        <v>360</v>
      </c>
      <c r="D402" s="3"/>
      <c r="E402" s="3">
        <v>52</v>
      </c>
      <c r="F402" s="3"/>
      <c r="G402" s="3">
        <f t="shared" si="18"/>
        <v>18720</v>
      </c>
      <c r="H402" s="3" t="e">
        <f ca="1">IF(_xludf.TEXTJOIN("; ",TRUE,D402,F402)="","",_xludf.TEXTJOIN("; ",TRUE,D402,F402))</f>
        <v>#NAME?</v>
      </c>
      <c r="I402" s="3">
        <v>459</v>
      </c>
      <c r="J402" s="3"/>
      <c r="K402" s="3">
        <v>48</v>
      </c>
      <c r="L402" s="3"/>
      <c r="M402" s="3">
        <f t="shared" si="19"/>
        <v>22032</v>
      </c>
      <c r="N402" s="3" t="e">
        <f ca="1">IF(_xludf.TEXTJOIN("; ",TRUE,J402,L402)="","",_xludf.TEXTJOIN("; ",TRUE,J402,L402))</f>
        <v>#NAME?</v>
      </c>
      <c r="O402" s="3">
        <v>483</v>
      </c>
      <c r="P402" s="3"/>
      <c r="Q402" s="3">
        <v>60</v>
      </c>
      <c r="R402" s="3"/>
      <c r="S402" s="3">
        <f t="shared" si="20"/>
        <v>28980</v>
      </c>
      <c r="T402" s="3" t="e">
        <f ca="1">IF(_xludf.TEXTJOIN("; ",TRUE,P402,R402)="","",_xludf.TEXTJOIN("; ",TRUE,P402,R402))</f>
        <v>#NAME?</v>
      </c>
    </row>
    <row r="403" spans="1:20">
      <c r="A403" t="s">
        <v>791</v>
      </c>
      <c r="B403" t="s">
        <v>792</v>
      </c>
      <c r="C403" s="3">
        <v>360</v>
      </c>
      <c r="D403" s="3"/>
      <c r="E403" s="3">
        <v>52</v>
      </c>
      <c r="F403" s="3"/>
      <c r="G403" s="3">
        <f t="shared" si="18"/>
        <v>18720</v>
      </c>
      <c r="H403" s="3" t="e">
        <f ca="1">IF(_xludf.TEXTJOIN("; ",TRUE,D403,F403)="","",_xludf.TEXTJOIN("; ",TRUE,D403,F403))</f>
        <v>#NAME?</v>
      </c>
      <c r="I403" s="3">
        <v>459</v>
      </c>
      <c r="J403" s="3"/>
      <c r="K403" s="3">
        <v>48</v>
      </c>
      <c r="L403" s="3"/>
      <c r="M403" s="3">
        <f t="shared" si="19"/>
        <v>22032</v>
      </c>
      <c r="N403" s="3" t="e">
        <f ca="1">IF(_xludf.TEXTJOIN("; ",TRUE,J403,L403)="","",_xludf.TEXTJOIN("; ",TRUE,J403,L403))</f>
        <v>#NAME?</v>
      </c>
      <c r="O403" s="3">
        <v>483</v>
      </c>
      <c r="P403" s="3"/>
      <c r="Q403" s="3">
        <v>60</v>
      </c>
      <c r="R403" s="3"/>
      <c r="S403" s="3">
        <f t="shared" si="20"/>
        <v>28980</v>
      </c>
      <c r="T403" s="3" t="e">
        <f ca="1">IF(_xludf.TEXTJOIN("; ",TRUE,P403,R403)="","",_xludf.TEXTJOIN("; ",TRUE,P403,R403))</f>
        <v>#NAME?</v>
      </c>
    </row>
    <row r="404" spans="1:20">
      <c r="A404" t="s">
        <v>793</v>
      </c>
      <c r="B404" t="s">
        <v>792</v>
      </c>
      <c r="C404" s="3">
        <v>360</v>
      </c>
      <c r="D404" s="3"/>
      <c r="E404" s="3">
        <v>52</v>
      </c>
      <c r="F404" s="3"/>
      <c r="G404" s="3">
        <f t="shared" si="18"/>
        <v>18720</v>
      </c>
      <c r="H404" s="3" t="e">
        <f ca="1">IF(_xludf.TEXTJOIN("; ",TRUE,D404,F404)="","",_xludf.TEXTJOIN("; ",TRUE,D404,F404))</f>
        <v>#NAME?</v>
      </c>
      <c r="I404" s="3">
        <v>459</v>
      </c>
      <c r="J404" s="3"/>
      <c r="K404" s="3">
        <v>48</v>
      </c>
      <c r="L404" s="3"/>
      <c r="M404" s="3">
        <f t="shared" si="19"/>
        <v>22032</v>
      </c>
      <c r="N404" s="3" t="e">
        <f ca="1">IF(_xludf.TEXTJOIN("; ",TRUE,J404,L404)="","",_xludf.TEXTJOIN("; ",TRUE,J404,L404))</f>
        <v>#NAME?</v>
      </c>
      <c r="O404" s="3">
        <v>483</v>
      </c>
      <c r="P404" s="3"/>
      <c r="Q404" s="3">
        <v>60</v>
      </c>
      <c r="R404" s="3"/>
      <c r="S404" s="3">
        <f t="shared" si="20"/>
        <v>28980</v>
      </c>
      <c r="T404" s="3" t="e">
        <f ca="1">IF(_xludf.TEXTJOIN("; ",TRUE,P404,R404)="","",_xludf.TEXTJOIN("; ",TRUE,P404,R404))</f>
        <v>#NAME?</v>
      </c>
    </row>
    <row r="405" spans="1:20">
      <c r="A405" t="s">
        <v>794</v>
      </c>
      <c r="B405" t="s">
        <v>795</v>
      </c>
      <c r="C405" s="3" t="s">
        <v>43</v>
      </c>
      <c r="D405" s="3"/>
      <c r="E405" s="3" t="s">
        <v>43</v>
      </c>
      <c r="F405" s="3"/>
      <c r="G405" s="3" t="str">
        <f t="shared" si="18"/>
        <v/>
      </c>
      <c r="H405" s="3" t="e">
        <f ca="1">IF(_xludf.TEXTJOIN("; ",TRUE,D405,F405)="","",_xludf.TEXTJOIN("; ",TRUE,D405,F405))</f>
        <v>#NAME?</v>
      </c>
      <c r="I405" s="3" t="s">
        <v>43</v>
      </c>
      <c r="J405" s="3"/>
      <c r="K405" s="3" t="s">
        <v>43</v>
      </c>
      <c r="L405" s="3"/>
      <c r="M405" s="3" t="str">
        <f t="shared" si="19"/>
        <v/>
      </c>
      <c r="N405" s="3" t="e">
        <f ca="1">IF(_xludf.TEXTJOIN("; ",TRUE,J405,L405)="","",_xludf.TEXTJOIN("; ",TRUE,J405,L405))</f>
        <v>#NAME?</v>
      </c>
      <c r="O405" s="3">
        <v>199</v>
      </c>
      <c r="P405" s="3"/>
      <c r="Q405" s="3">
        <v>340</v>
      </c>
      <c r="R405" s="3"/>
      <c r="S405" s="3">
        <f t="shared" si="20"/>
        <v>67660</v>
      </c>
      <c r="T405" s="3" t="e">
        <f ca="1">IF(_xludf.TEXTJOIN("; ",TRUE,P405,R405)="","",_xludf.TEXTJOIN("; ",TRUE,P405,R405))</f>
        <v>#NAME?</v>
      </c>
    </row>
    <row r="406" spans="1:20">
      <c r="A406" t="s">
        <v>796</v>
      </c>
      <c r="B406" t="s">
        <v>797</v>
      </c>
      <c r="C406" s="3" t="s">
        <v>43</v>
      </c>
      <c r="D406" s="3"/>
      <c r="E406" s="3" t="s">
        <v>43</v>
      </c>
      <c r="F406" s="3"/>
      <c r="G406" s="3" t="str">
        <f t="shared" si="18"/>
        <v/>
      </c>
      <c r="H406" s="3" t="e">
        <f ca="1">IF(_xludf.TEXTJOIN("; ",TRUE,D406,F406)="","",_xludf.TEXTJOIN("; ",TRUE,D406,F406))</f>
        <v>#NAME?</v>
      </c>
      <c r="I406" s="3" t="s">
        <v>43</v>
      </c>
      <c r="J406" s="3"/>
      <c r="K406" s="3" t="s">
        <v>43</v>
      </c>
      <c r="L406" s="3"/>
      <c r="M406" s="3" t="str">
        <f t="shared" si="19"/>
        <v/>
      </c>
      <c r="N406" s="3" t="e">
        <f ca="1">IF(_xludf.TEXTJOIN("; ",TRUE,J406,L406)="","",_xludf.TEXTJOIN("; ",TRUE,J406,L406))</f>
        <v>#NAME?</v>
      </c>
      <c r="O406" s="3">
        <v>144</v>
      </c>
      <c r="P406" s="3"/>
      <c r="Q406" s="3">
        <v>145</v>
      </c>
      <c r="R406" s="3"/>
      <c r="S406" s="3">
        <f t="shared" si="20"/>
        <v>20880</v>
      </c>
      <c r="T406" s="3" t="e">
        <f ca="1">IF(_xludf.TEXTJOIN("; ",TRUE,P406,R406)="","",_xludf.TEXTJOIN("; ",TRUE,P406,R406))</f>
        <v>#NAME?</v>
      </c>
    </row>
    <row r="407" spans="1:20">
      <c r="A407" t="s">
        <v>798</v>
      </c>
      <c r="B407" t="s">
        <v>799</v>
      </c>
      <c r="C407" s="3" t="s">
        <v>43</v>
      </c>
      <c r="D407" s="3"/>
      <c r="E407" s="3" t="s">
        <v>43</v>
      </c>
      <c r="F407" s="3"/>
      <c r="G407" s="3" t="str">
        <f t="shared" si="18"/>
        <v/>
      </c>
      <c r="H407" s="3" t="e">
        <f ca="1">IF(_xludf.TEXTJOIN("; ",TRUE,D407,F407)="","",_xludf.TEXTJOIN("; ",TRUE,D407,F407))</f>
        <v>#NAME?</v>
      </c>
      <c r="I407" s="3" t="s">
        <v>43</v>
      </c>
      <c r="J407" s="3"/>
      <c r="K407" s="3" t="s">
        <v>43</v>
      </c>
      <c r="L407" s="3"/>
      <c r="M407" s="3" t="str">
        <f t="shared" si="19"/>
        <v/>
      </c>
      <c r="N407" s="3" t="e">
        <f ca="1">IF(_xludf.TEXTJOIN("; ",TRUE,J407,L407)="","",_xludf.TEXTJOIN("; ",TRUE,J407,L407))</f>
        <v>#NAME?</v>
      </c>
      <c r="O407" s="3">
        <v>67</v>
      </c>
      <c r="P407" s="3"/>
      <c r="Q407" s="3">
        <v>68</v>
      </c>
      <c r="R407" s="3"/>
      <c r="S407" s="3">
        <f t="shared" si="20"/>
        <v>4556</v>
      </c>
      <c r="T407" s="3" t="e">
        <f ca="1">IF(_xludf.TEXTJOIN("; ",TRUE,P407,R407)="","",_xludf.TEXTJOIN("; ",TRUE,P407,R407))</f>
        <v>#NAME?</v>
      </c>
    </row>
    <row r="408" spans="1:20">
      <c r="A408" t="s">
        <v>800</v>
      </c>
      <c r="B408" t="s">
        <v>801</v>
      </c>
      <c r="C408" s="3" t="s">
        <v>43</v>
      </c>
      <c r="D408" s="3"/>
      <c r="E408" s="3" t="s">
        <v>43</v>
      </c>
      <c r="F408" s="3"/>
      <c r="G408" s="3" t="str">
        <f t="shared" si="18"/>
        <v/>
      </c>
      <c r="H408" s="3" t="e">
        <f ca="1">IF(_xludf.TEXTJOIN("; ",TRUE,D408,F408)="","",_xludf.TEXTJOIN("; ",TRUE,D408,F408))</f>
        <v>#NAME?</v>
      </c>
      <c r="I408" s="3" t="s">
        <v>43</v>
      </c>
      <c r="J408" s="3"/>
      <c r="K408" s="3" t="s">
        <v>43</v>
      </c>
      <c r="L408" s="3"/>
      <c r="M408" s="3" t="str">
        <f t="shared" si="19"/>
        <v/>
      </c>
      <c r="N408" s="3" t="e">
        <f ca="1">IF(_xludf.TEXTJOIN("; ",TRUE,J408,L408)="","",_xludf.TEXTJOIN("; ",TRUE,J408,L408))</f>
        <v>#NAME?</v>
      </c>
      <c r="O408" s="3">
        <v>212</v>
      </c>
      <c r="P408" s="3"/>
      <c r="Q408" s="3">
        <v>77</v>
      </c>
      <c r="R408" s="3"/>
      <c r="S408" s="3">
        <f t="shared" si="20"/>
        <v>16324</v>
      </c>
      <c r="T408" s="3" t="e">
        <f ca="1">IF(_xludf.TEXTJOIN("; ",TRUE,P408,R408)="","",_xludf.TEXTJOIN("; ",TRUE,P408,R408))</f>
        <v>#NAME?</v>
      </c>
    </row>
    <row r="409" spans="1:20">
      <c r="A409" t="s">
        <v>802</v>
      </c>
      <c r="B409" t="s">
        <v>803</v>
      </c>
      <c r="C409" s="3" t="s">
        <v>43</v>
      </c>
      <c r="D409" s="3"/>
      <c r="E409" s="3" t="s">
        <v>43</v>
      </c>
      <c r="F409" s="3"/>
      <c r="G409" s="3" t="str">
        <f t="shared" si="18"/>
        <v/>
      </c>
      <c r="H409" s="3" t="e">
        <f ca="1">IF(_xludf.TEXTJOIN("; ",TRUE,D409,F409)="","",_xludf.TEXTJOIN("; ",TRUE,D409,F409))</f>
        <v>#NAME?</v>
      </c>
      <c r="I409" s="3" t="s">
        <v>43</v>
      </c>
      <c r="J409" s="3"/>
      <c r="K409" s="3" t="s">
        <v>43</v>
      </c>
      <c r="L409" s="3"/>
      <c r="M409" s="3" t="str">
        <f t="shared" si="19"/>
        <v/>
      </c>
      <c r="N409" s="3" t="e">
        <f ca="1">IF(_xludf.TEXTJOIN("; ",TRUE,J409,L409)="","",_xludf.TEXTJOIN("; ",TRUE,J409,L409))</f>
        <v>#NAME?</v>
      </c>
      <c r="O409" s="3">
        <v>239</v>
      </c>
      <c r="P409" s="3"/>
      <c r="Q409" s="3">
        <v>195</v>
      </c>
      <c r="R409" s="3"/>
      <c r="S409" s="3">
        <f t="shared" si="20"/>
        <v>46605</v>
      </c>
      <c r="T409" s="3" t="e">
        <f ca="1">IF(_xludf.TEXTJOIN("; ",TRUE,P409,R409)="","",_xludf.TEXTJOIN("; ",TRUE,P409,R409))</f>
        <v>#NAME?</v>
      </c>
    </row>
    <row r="410" spans="1:20">
      <c r="A410" t="s">
        <v>804</v>
      </c>
      <c r="B410" t="s">
        <v>805</v>
      </c>
      <c r="C410" s="3" t="s">
        <v>43</v>
      </c>
      <c r="D410" s="3"/>
      <c r="E410" s="3" t="s">
        <v>43</v>
      </c>
      <c r="F410" s="3"/>
      <c r="G410" s="3" t="str">
        <f t="shared" si="18"/>
        <v/>
      </c>
      <c r="H410" s="3" t="e">
        <f ca="1">IF(_xludf.TEXTJOIN("; ",TRUE,D410,F410)="","",_xludf.TEXTJOIN("; ",TRUE,D410,F410))</f>
        <v>#NAME?</v>
      </c>
      <c r="I410" s="3" t="s">
        <v>43</v>
      </c>
      <c r="J410" s="3"/>
      <c r="K410" s="3" t="s">
        <v>43</v>
      </c>
      <c r="L410" s="3"/>
      <c r="M410" s="3" t="str">
        <f t="shared" si="19"/>
        <v/>
      </c>
      <c r="N410" s="3" t="e">
        <f ca="1">IF(_xludf.TEXTJOIN("; ",TRUE,J410,L410)="","",_xludf.TEXTJOIN("; ",TRUE,J410,L410))</f>
        <v>#NAME?</v>
      </c>
      <c r="O410" s="3">
        <v>154</v>
      </c>
      <c r="P410" s="3"/>
      <c r="Q410" s="3">
        <v>141</v>
      </c>
      <c r="R410" s="3"/>
      <c r="S410" s="3">
        <f t="shared" si="20"/>
        <v>21714</v>
      </c>
      <c r="T410" s="3" t="e">
        <f ca="1">IF(_xludf.TEXTJOIN("; ",TRUE,P410,R410)="","",_xludf.TEXTJOIN("; ",TRUE,P410,R410))</f>
        <v>#NAME?</v>
      </c>
    </row>
    <row r="411" spans="1:20">
      <c r="A411" t="s">
        <v>806</v>
      </c>
      <c r="B411" t="s">
        <v>807</v>
      </c>
      <c r="C411" s="3" t="s">
        <v>43</v>
      </c>
      <c r="D411" s="3"/>
      <c r="E411" s="3" t="s">
        <v>43</v>
      </c>
      <c r="F411" s="3"/>
      <c r="G411" s="3" t="str">
        <f t="shared" si="18"/>
        <v/>
      </c>
      <c r="H411" s="3" t="e">
        <f ca="1">IF(_xludf.TEXTJOIN("; ",TRUE,D411,F411)="","",_xludf.TEXTJOIN("; ",TRUE,D411,F411))</f>
        <v>#NAME?</v>
      </c>
      <c r="I411" s="3" t="s">
        <v>43</v>
      </c>
      <c r="J411" s="3"/>
      <c r="K411" s="3" t="s">
        <v>43</v>
      </c>
      <c r="L411" s="3"/>
      <c r="M411" s="3" t="str">
        <f t="shared" si="19"/>
        <v/>
      </c>
      <c r="N411" s="3" t="e">
        <f ca="1">IF(_xludf.TEXTJOIN("; ",TRUE,J411,L411)="","",_xludf.TEXTJOIN("; ",TRUE,J411,L411))</f>
        <v>#NAME?</v>
      </c>
      <c r="O411" s="3">
        <v>462</v>
      </c>
      <c r="P411" s="3"/>
      <c r="Q411" s="3">
        <v>54</v>
      </c>
      <c r="R411" s="3"/>
      <c r="S411" s="3">
        <f t="shared" si="20"/>
        <v>24948</v>
      </c>
      <c r="T411" s="3" t="e">
        <f ca="1">IF(_xludf.TEXTJOIN("; ",TRUE,P411,R411)="","",_xludf.TEXTJOIN("; ",TRUE,P411,R411))</f>
        <v>#NAME?</v>
      </c>
    </row>
    <row r="412" spans="1:20">
      <c r="A412" t="s">
        <v>808</v>
      </c>
      <c r="C412" s="3"/>
      <c r="D412" s="3"/>
      <c r="E412" s="3"/>
      <c r="F412" s="3"/>
      <c r="G412" s="3" t="str">
        <f t="shared" si="18"/>
        <v/>
      </c>
      <c r="H412" s="3" t="e">
        <f ca="1">IF(_xludf.TEXTJOIN("; ",TRUE,D412,F412)="","",_xludf.TEXTJOIN("; ",TRUE,D412,F412))</f>
        <v>#NAME?</v>
      </c>
      <c r="I412" s="3"/>
      <c r="J412" s="3"/>
      <c r="K412" s="3"/>
      <c r="L412" s="3"/>
      <c r="M412" s="3" t="str">
        <f t="shared" si="19"/>
        <v/>
      </c>
      <c r="N412" s="3" t="e">
        <f ca="1">IF(_xludf.TEXTJOIN("; ",TRUE,J412,L412)="","",_xludf.TEXTJOIN("; ",TRUE,J412,L412))</f>
        <v>#NAME?</v>
      </c>
      <c r="O412" s="3"/>
      <c r="P412" s="3"/>
      <c r="Q412" s="3"/>
      <c r="R412" s="3"/>
      <c r="S412" s="3" t="str">
        <f t="shared" si="20"/>
        <v/>
      </c>
      <c r="T412" s="3" t="e">
        <f ca="1">IF(_xludf.TEXTJOIN("; ",TRUE,P412,R412)="","",_xludf.TEXTJOIN("; ",TRUE,P412,R412))</f>
        <v>#NAME?</v>
      </c>
    </row>
    <row r="413" spans="1:20">
      <c r="A413" t="s">
        <v>43</v>
      </c>
      <c r="B413" t="s">
        <v>809</v>
      </c>
      <c r="C413" s="3"/>
      <c r="D413" s="3"/>
      <c r="E413" s="3"/>
      <c r="F413" s="3"/>
      <c r="G413" s="3" t="str">
        <f t="shared" si="18"/>
        <v/>
      </c>
      <c r="H413" s="3" t="e">
        <f ca="1">IF(_xludf.TEXTJOIN("; ",TRUE,D413,F413)="","",_xludf.TEXTJOIN("; ",TRUE,D413,F413))</f>
        <v>#NAME?</v>
      </c>
      <c r="I413" s="3"/>
      <c r="J413" s="3"/>
      <c r="K413" s="3"/>
      <c r="L413" s="3"/>
      <c r="M413" s="3" t="str">
        <f t="shared" si="19"/>
        <v/>
      </c>
      <c r="N413" s="3" t="e">
        <f ca="1">IF(_xludf.TEXTJOIN("; ",TRUE,J413,L413)="","",_xludf.TEXTJOIN("; ",TRUE,J413,L413))</f>
        <v>#NAME?</v>
      </c>
      <c r="O413" s="3"/>
      <c r="P413" s="3"/>
      <c r="Q413" s="3"/>
      <c r="R413" s="3"/>
      <c r="S413" s="3" t="str">
        <f t="shared" si="20"/>
        <v/>
      </c>
      <c r="T413" s="3" t="e">
        <f ca="1">IF(_xludf.TEXTJOIN("; ",TRUE,P413,R413)="","",_xludf.TEXTJOIN("; ",TRUE,P413,R413))</f>
        <v>#NAME?</v>
      </c>
    </row>
    <row r="414" spans="1:20">
      <c r="A414" t="s">
        <v>810</v>
      </c>
      <c r="C414" s="3"/>
      <c r="D414" s="3"/>
      <c r="E414" s="3"/>
      <c r="F414" s="3"/>
      <c r="G414" s="3" t="str">
        <f t="shared" si="18"/>
        <v/>
      </c>
      <c r="H414" s="3" t="e">
        <f ca="1">IF(_xludf.TEXTJOIN("; ",TRUE,D414,F414)="","",_xludf.TEXTJOIN("; ",TRUE,D414,F414))</f>
        <v>#NAME?</v>
      </c>
      <c r="I414" s="3"/>
      <c r="J414" s="3"/>
      <c r="K414" s="3"/>
      <c r="L414" s="3"/>
      <c r="M414" s="3" t="str">
        <f t="shared" si="19"/>
        <v/>
      </c>
      <c r="N414" s="3" t="e">
        <f ca="1">IF(_xludf.TEXTJOIN("; ",TRUE,J414,L414)="","",_xludf.TEXTJOIN("; ",TRUE,J414,L414))</f>
        <v>#NAME?</v>
      </c>
      <c r="O414" s="3"/>
      <c r="P414" s="3"/>
      <c r="Q414" s="3"/>
      <c r="R414" s="3"/>
      <c r="S414" s="3" t="str">
        <f t="shared" si="20"/>
        <v/>
      </c>
      <c r="T414" s="3" t="e">
        <f ca="1">IF(_xludf.TEXTJOIN("; ",TRUE,P414,R414)="","",_xludf.TEXTJOIN("; ",TRUE,P414,R414))</f>
        <v>#NAME?</v>
      </c>
    </row>
    <row r="415" spans="1:20">
      <c r="A415" t="s">
        <v>334</v>
      </c>
      <c r="B415" t="s">
        <v>811</v>
      </c>
      <c r="C415" s="3"/>
      <c r="D415" s="3"/>
      <c r="E415" s="3"/>
      <c r="F415" s="3"/>
      <c r="G415" s="3" t="str">
        <f t="shared" si="18"/>
        <v/>
      </c>
      <c r="H415" s="3" t="e">
        <f ca="1">IF(_xludf.TEXTJOIN("; ",TRUE,D415,F415)="","",_xludf.TEXTJOIN("; ",TRUE,D415,F415))</f>
        <v>#NAME?</v>
      </c>
      <c r="I415" s="3"/>
      <c r="J415" s="3"/>
      <c r="K415" s="3"/>
      <c r="L415" s="3"/>
      <c r="M415" s="3" t="str">
        <f t="shared" si="19"/>
        <v/>
      </c>
      <c r="N415" s="3" t="e">
        <f ca="1">IF(_xludf.TEXTJOIN("; ",TRUE,J415,L415)="","",_xludf.TEXTJOIN("; ",TRUE,J415,L415))</f>
        <v>#NAME?</v>
      </c>
      <c r="O415" s="3"/>
      <c r="P415" s="3"/>
      <c r="Q415" s="3"/>
      <c r="R415" s="3"/>
      <c r="S415" s="3" t="str">
        <f t="shared" si="20"/>
        <v/>
      </c>
      <c r="T415" s="3" t="e">
        <f ca="1">IF(_xludf.TEXTJOIN("; ",TRUE,P415,R415)="","",_xludf.TEXTJOIN("; ",TRUE,P415,R415))</f>
        <v>#NAME?</v>
      </c>
    </row>
    <row r="416" spans="1:20">
      <c r="A416" t="s">
        <v>812</v>
      </c>
      <c r="C416" s="3"/>
      <c r="D416" s="3"/>
      <c r="E416" s="3"/>
      <c r="F416" s="3"/>
      <c r="G416" s="3" t="str">
        <f t="shared" si="18"/>
        <v/>
      </c>
      <c r="H416" s="3" t="e">
        <f ca="1">IF(_xludf.TEXTJOIN("; ",TRUE,D416,F416)="","",_xludf.TEXTJOIN("; ",TRUE,D416,F416))</f>
        <v>#NAME?</v>
      </c>
      <c r="I416" s="3"/>
      <c r="J416" s="3"/>
      <c r="K416" s="3"/>
      <c r="L416" s="3"/>
      <c r="M416" s="3" t="str">
        <f t="shared" si="19"/>
        <v/>
      </c>
      <c r="N416" s="3" t="e">
        <f ca="1">IF(_xludf.TEXTJOIN("; ",TRUE,J416,L416)="","",_xludf.TEXTJOIN("; ",TRUE,J416,L416))</f>
        <v>#NAME?</v>
      </c>
      <c r="O416" s="3"/>
      <c r="P416" s="3"/>
      <c r="Q416" s="3"/>
      <c r="R416" s="3"/>
      <c r="S416" s="3" t="str">
        <f t="shared" si="20"/>
        <v/>
      </c>
      <c r="T416" s="3" t="e">
        <f ca="1">IF(_xludf.TEXTJOIN("; ",TRUE,P416,R416)="","",_xludf.TEXTJOIN("; ",TRUE,P416,R416))</f>
        <v>#NAME?</v>
      </c>
    </row>
    <row r="417" spans="1:20">
      <c r="A417" t="s">
        <v>44</v>
      </c>
      <c r="B417" t="s">
        <v>813</v>
      </c>
      <c r="C417" s="3"/>
      <c r="D417" s="3"/>
      <c r="E417" s="3"/>
      <c r="F417" s="3"/>
      <c r="G417" s="3" t="str">
        <f t="shared" si="18"/>
        <v/>
      </c>
      <c r="H417" s="3" t="e">
        <f ca="1">IF(_xludf.TEXTJOIN("; ",TRUE,D417,F417)="","",_xludf.TEXTJOIN("; ",TRUE,D417,F417))</f>
        <v>#NAME?</v>
      </c>
      <c r="I417" s="3"/>
      <c r="J417" s="3"/>
      <c r="K417" s="3"/>
      <c r="L417" s="3"/>
      <c r="M417" s="3" t="str">
        <f t="shared" si="19"/>
        <v/>
      </c>
      <c r="N417" s="3" t="e">
        <f ca="1">IF(_xludf.TEXTJOIN("; ",TRUE,J417,L417)="","",_xludf.TEXTJOIN("; ",TRUE,J417,L417))</f>
        <v>#NAME?</v>
      </c>
      <c r="O417" s="3"/>
      <c r="P417" s="3"/>
      <c r="Q417" s="3"/>
      <c r="R417" s="3"/>
      <c r="S417" s="3" t="str">
        <f t="shared" si="20"/>
        <v/>
      </c>
      <c r="T417" s="3" t="e">
        <f ca="1">IF(_xludf.TEXTJOIN("; ",TRUE,P417,R417)="","",_xludf.TEXTJOIN("; ",TRUE,P417,R417))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68"/>
  <sheetViews>
    <sheetView tabSelected="1" zoomScale="150" zoomScaleNormal="150" workbookViewId="0">
      <pane ySplit="1" topLeftCell="A112" activePane="bottomLeft" state="frozen"/>
      <selection activeCell="B1" sqref="B1"/>
      <selection pane="bottomLeft" activeCell="Y133" sqref="Y133:Y145"/>
    </sheetView>
  </sheetViews>
  <sheetFormatPr baseColWidth="10" defaultColWidth="8.83203125" defaultRowHeight="14"/>
  <cols>
    <col min="1" max="1" width="18" bestFit="1" customWidth="1"/>
    <col min="2" max="2" width="51.5" bestFit="1" customWidth="1"/>
    <col min="3" max="3" width="7.1640625" bestFit="1" customWidth="1"/>
    <col min="4" max="4" width="9.5" bestFit="1" customWidth="1"/>
    <col min="5" max="5" width="7.1640625" bestFit="1" customWidth="1"/>
    <col min="6" max="6" width="9.5" bestFit="1" customWidth="1"/>
    <col min="7" max="7" width="7.1640625" bestFit="1" customWidth="1"/>
    <col min="8" max="8" width="9.5" bestFit="1" customWidth="1"/>
    <col min="9" max="9" width="7.1640625" bestFit="1" customWidth="1"/>
    <col min="10" max="10" width="9.5" bestFit="1" customWidth="1"/>
    <col min="11" max="11" width="7.1640625" bestFit="1" customWidth="1"/>
    <col min="12" max="12" width="9.5" bestFit="1" customWidth="1"/>
    <col min="13" max="13" width="7.1640625" bestFit="1" customWidth="1"/>
    <col min="14" max="14" width="9.5" bestFit="1" customWidth="1"/>
    <col min="15" max="15" width="7.1640625" bestFit="1" customWidth="1"/>
    <col min="16" max="16" width="9.5" bestFit="1" customWidth="1"/>
    <col min="17" max="17" width="7.1640625" bestFit="1" customWidth="1"/>
    <col min="18" max="18" width="9.5" bestFit="1" customWidth="1"/>
    <col min="19" max="19" width="7.1640625" bestFit="1" customWidth="1"/>
    <col min="20" max="20" width="9.5" bestFit="1" customWidth="1"/>
    <col min="21" max="21" width="7.1640625" bestFit="1" customWidth="1"/>
    <col min="22" max="22" width="9.5" bestFit="1" customWidth="1"/>
    <col min="23" max="23" width="7.1640625" bestFit="1" customWidth="1"/>
    <col min="24" max="24" width="9.5" bestFit="1" customWidth="1"/>
    <col min="25" max="25" width="7.1640625" bestFit="1" customWidth="1"/>
    <col min="26" max="26" width="9.5" bestFit="1" customWidth="1"/>
    <col min="27" max="27" width="7.1640625" bestFit="1" customWidth="1"/>
    <col min="28" max="28" width="9.5" bestFit="1" customWidth="1"/>
    <col min="29" max="29" width="7.1640625" bestFit="1" customWidth="1"/>
    <col min="30" max="30" width="9.5" bestFit="1" customWidth="1"/>
    <col min="31" max="31" width="7.1640625" bestFit="1" customWidth="1"/>
    <col min="32" max="32" width="9.5" bestFit="1" customWidth="1"/>
    <col min="33" max="33" width="7.1640625" bestFit="1" customWidth="1"/>
    <col min="34" max="34" width="9.5" bestFit="1" customWidth="1"/>
  </cols>
  <sheetData>
    <row r="1" spans="1:34" ht="15">
      <c r="A1" s="1" t="s">
        <v>16</v>
      </c>
      <c r="B1" s="1" t="s">
        <v>17</v>
      </c>
      <c r="C1" s="1" t="s">
        <v>814</v>
      </c>
      <c r="D1" s="1" t="s">
        <v>815</v>
      </c>
      <c r="E1" s="1" t="s">
        <v>816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  <c r="K1" s="1" t="s">
        <v>822</v>
      </c>
      <c r="L1" s="1" t="s">
        <v>823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834</v>
      </c>
      <c r="X1" s="1" t="s">
        <v>835</v>
      </c>
      <c r="Y1" s="1" t="s">
        <v>836</v>
      </c>
      <c r="Z1" s="1" t="s">
        <v>837</v>
      </c>
      <c r="AA1" s="1" t="s">
        <v>838</v>
      </c>
      <c r="AB1" s="1" t="s">
        <v>839</v>
      </c>
      <c r="AC1" s="1" t="s">
        <v>840</v>
      </c>
      <c r="AD1" s="1" t="s">
        <v>841</v>
      </c>
      <c r="AE1" s="1" t="s">
        <v>842</v>
      </c>
      <c r="AF1" s="1" t="s">
        <v>843</v>
      </c>
      <c r="AG1" s="1" t="s">
        <v>844</v>
      </c>
      <c r="AH1" s="1" t="s">
        <v>845</v>
      </c>
    </row>
    <row r="2" spans="1:34">
      <c r="A2" t="s">
        <v>36</v>
      </c>
      <c r="B2" t="s">
        <v>37</v>
      </c>
      <c r="C2" s="2">
        <v>42525</v>
      </c>
      <c r="D2" s="2"/>
      <c r="E2" s="2">
        <v>38750</v>
      </c>
      <c r="F2" s="2"/>
      <c r="G2" s="2">
        <v>34965</v>
      </c>
      <c r="H2" s="2"/>
      <c r="I2" s="2">
        <v>36814</v>
      </c>
      <c r="J2" s="2"/>
      <c r="K2" s="2">
        <v>38445</v>
      </c>
      <c r="L2" s="2"/>
      <c r="M2" s="2">
        <v>36982</v>
      </c>
      <c r="N2" s="2"/>
      <c r="O2" s="2">
        <v>35162</v>
      </c>
      <c r="P2" s="2"/>
      <c r="Q2" s="2">
        <v>29556</v>
      </c>
      <c r="R2" s="2"/>
      <c r="S2" s="2">
        <v>28187</v>
      </c>
      <c r="T2" s="2"/>
      <c r="U2" s="2">
        <v>29211</v>
      </c>
      <c r="V2" s="2"/>
      <c r="W2" s="2">
        <v>30287</v>
      </c>
      <c r="X2" s="2" t="s">
        <v>334</v>
      </c>
      <c r="Y2" s="2">
        <v>30720</v>
      </c>
      <c r="Z2" s="2"/>
      <c r="AA2" s="2">
        <v>30550</v>
      </c>
      <c r="AB2" s="2"/>
      <c r="AC2" s="2">
        <f>Post2020_Derivation!G2</f>
        <v>29232</v>
      </c>
      <c r="AD2" s="2" t="e">
        <f ca="1">IF(Post2020_Derivation!H2="","",Post2020_Derivation!H2)</f>
        <v>#NAME?</v>
      </c>
      <c r="AE2" s="2">
        <f>Post2020_Derivation!M2</f>
        <v>30951</v>
      </c>
      <c r="AF2" s="2" t="e">
        <f ca="1">IF(Post2020_Derivation!N2="","",Post2020_Derivation!N2)</f>
        <v>#NAME?</v>
      </c>
      <c r="AG2" s="2">
        <f>Post2020_Derivation!S2</f>
        <v>29707</v>
      </c>
      <c r="AH2" s="2" t="e">
        <f ca="1">IF(Post2020_Derivation!T2="","",Post2020_Derivation!T2)</f>
        <v>#NAME?</v>
      </c>
    </row>
    <row r="3" spans="1:34">
      <c r="A3" t="s">
        <v>38</v>
      </c>
      <c r="B3" t="s">
        <v>39</v>
      </c>
      <c r="C3" s="2" t="s">
        <v>43</v>
      </c>
      <c r="D3" s="2" t="s">
        <v>44</v>
      </c>
      <c r="E3" s="2">
        <v>4351</v>
      </c>
      <c r="F3" s="2"/>
      <c r="G3" s="2">
        <v>3734</v>
      </c>
      <c r="H3" s="2"/>
      <c r="I3" s="2">
        <v>4048</v>
      </c>
      <c r="J3" s="2"/>
      <c r="K3" s="2">
        <v>4409</v>
      </c>
      <c r="L3" s="2"/>
      <c r="M3" s="2">
        <v>4174</v>
      </c>
      <c r="N3" s="2"/>
      <c r="O3" s="2">
        <v>3872</v>
      </c>
      <c r="P3" s="2"/>
      <c r="Q3" s="2">
        <v>3975</v>
      </c>
      <c r="R3" s="2"/>
      <c r="S3" s="2">
        <v>3993</v>
      </c>
      <c r="T3" s="2"/>
      <c r="U3" s="2">
        <v>4227</v>
      </c>
      <c r="V3" s="2"/>
      <c r="W3" s="2">
        <v>3029</v>
      </c>
      <c r="X3" s="2" t="s">
        <v>334</v>
      </c>
      <c r="Y3" s="2">
        <v>3318</v>
      </c>
      <c r="Z3" s="2"/>
      <c r="AA3" s="2">
        <v>3602</v>
      </c>
      <c r="AB3" s="2"/>
      <c r="AC3" s="2">
        <f>Post2020_Derivation!G3</f>
        <v>3570</v>
      </c>
      <c r="AD3" s="2" t="e">
        <f ca="1">IF(Post2020_Derivation!H3="","",Post2020_Derivation!H3)</f>
        <v>#NAME?</v>
      </c>
      <c r="AE3" s="2">
        <f>Post2020_Derivation!M3</f>
        <v>4032</v>
      </c>
      <c r="AF3" s="2" t="e">
        <f ca="1">IF(Post2020_Derivation!N3="","",Post2020_Derivation!N3)</f>
        <v>#NAME?</v>
      </c>
      <c r="AG3" s="2">
        <f>Post2020_Derivation!S3</f>
        <v>3600</v>
      </c>
      <c r="AH3" s="2" t="e">
        <f ca="1">IF(Post2020_Derivation!T3="","",Post2020_Derivation!T3)</f>
        <v>#NAME?</v>
      </c>
    </row>
    <row r="4" spans="1:34">
      <c r="A4" t="s">
        <v>40</v>
      </c>
      <c r="B4" t="s">
        <v>39</v>
      </c>
      <c r="C4" s="2" t="s">
        <v>43</v>
      </c>
      <c r="D4" s="2" t="s">
        <v>44</v>
      </c>
      <c r="E4" s="2">
        <v>4351</v>
      </c>
      <c r="F4" s="2"/>
      <c r="G4" s="2">
        <v>3734</v>
      </c>
      <c r="H4" s="2"/>
      <c r="I4" s="2">
        <v>4048</v>
      </c>
      <c r="J4" s="2"/>
      <c r="K4" s="2">
        <v>4409</v>
      </c>
      <c r="L4" s="2"/>
      <c r="M4" s="2">
        <v>4174</v>
      </c>
      <c r="N4" s="2"/>
      <c r="O4" s="2">
        <v>3872</v>
      </c>
      <c r="P4" s="2"/>
      <c r="Q4" s="2">
        <v>3975</v>
      </c>
      <c r="R4" s="2"/>
      <c r="S4" s="2">
        <v>3993</v>
      </c>
      <c r="T4" s="2"/>
      <c r="U4" s="2">
        <v>4227</v>
      </c>
      <c r="V4" s="2"/>
      <c r="W4" s="2">
        <v>3029</v>
      </c>
      <c r="X4" s="2" t="s">
        <v>334</v>
      </c>
      <c r="Y4" s="2">
        <v>3318</v>
      </c>
      <c r="Z4" s="2"/>
      <c r="AA4" s="2">
        <v>3602</v>
      </c>
      <c r="AB4" s="2"/>
      <c r="AC4" s="2">
        <f>Post2020_Derivation!G4</f>
        <v>3570</v>
      </c>
      <c r="AD4" s="2" t="e">
        <f ca="1">IF(Post2020_Derivation!H4="","",Post2020_Derivation!H4)</f>
        <v>#NAME?</v>
      </c>
      <c r="AE4" s="2">
        <f>Post2020_Derivation!M4</f>
        <v>4032</v>
      </c>
      <c r="AF4" s="2" t="e">
        <f ca="1">IF(Post2020_Derivation!N4="","",Post2020_Derivation!N4)</f>
        <v>#NAME?</v>
      </c>
      <c r="AG4" s="2">
        <f>Post2020_Derivation!S4</f>
        <v>3600</v>
      </c>
      <c r="AH4" s="2" t="e">
        <f ca="1">IF(Post2020_Derivation!T4="","",Post2020_Derivation!T4)</f>
        <v>#NAME?</v>
      </c>
    </row>
    <row r="5" spans="1:34">
      <c r="A5" t="s">
        <v>41</v>
      </c>
      <c r="B5" t="s">
        <v>42</v>
      </c>
      <c r="C5" s="2" t="s">
        <v>43</v>
      </c>
      <c r="D5" s="2" t="s">
        <v>44</v>
      </c>
      <c r="E5" s="2">
        <v>31353</v>
      </c>
      <c r="F5" s="2"/>
      <c r="G5" s="2">
        <v>28488</v>
      </c>
      <c r="H5" s="2"/>
      <c r="I5" s="2">
        <v>30028</v>
      </c>
      <c r="J5" s="2"/>
      <c r="K5" s="2">
        <v>31594</v>
      </c>
      <c r="L5" s="2"/>
      <c r="M5" s="2">
        <v>30256</v>
      </c>
      <c r="N5" s="2"/>
      <c r="O5" s="2">
        <v>28881</v>
      </c>
      <c r="P5" s="2"/>
      <c r="Q5" s="2">
        <v>23810</v>
      </c>
      <c r="R5" s="2"/>
      <c r="S5" s="2">
        <v>22279</v>
      </c>
      <c r="T5" s="2"/>
      <c r="U5" s="2">
        <v>22882</v>
      </c>
      <c r="V5" s="2"/>
      <c r="W5" s="2">
        <v>25248</v>
      </c>
      <c r="X5" s="2" t="s">
        <v>334</v>
      </c>
      <c r="Y5" s="2">
        <v>25493</v>
      </c>
      <c r="Z5" s="2"/>
      <c r="AA5" s="2">
        <v>25439</v>
      </c>
      <c r="AB5" s="2"/>
      <c r="AC5" s="2" t="str">
        <f>Post2020_Derivation!G5</f>
        <v/>
      </c>
      <c r="AD5" s="2" t="e">
        <f ca="1">IF(Post2020_Derivation!H5="","",Post2020_Derivation!H5)</f>
        <v>#NAME?</v>
      </c>
      <c r="AE5" s="2">
        <f>Post2020_Derivation!M5</f>
        <v>25280</v>
      </c>
      <c r="AF5" s="2" t="e">
        <f ca="1">IF(Post2020_Derivation!N5="","",Post2020_Derivation!N5)</f>
        <v>#NAME?</v>
      </c>
      <c r="AG5" s="2">
        <f>Post2020_Derivation!S5</f>
        <v>24500</v>
      </c>
      <c r="AH5" s="2" t="e">
        <f ca="1">IF(Post2020_Derivation!T5="","",Post2020_Derivation!T5)</f>
        <v>#NAME?</v>
      </c>
    </row>
    <row r="6" spans="1:34">
      <c r="A6" t="s">
        <v>45</v>
      </c>
      <c r="B6" t="s">
        <v>46</v>
      </c>
      <c r="C6" s="2">
        <v>11865</v>
      </c>
      <c r="D6" s="2"/>
      <c r="E6" s="2" t="s">
        <v>43</v>
      </c>
      <c r="F6" s="2" t="s">
        <v>44</v>
      </c>
      <c r="G6" s="2">
        <v>8162</v>
      </c>
      <c r="H6" s="2"/>
      <c r="I6" s="2">
        <v>8661</v>
      </c>
      <c r="J6" s="2"/>
      <c r="K6" s="2">
        <v>9043</v>
      </c>
      <c r="L6" s="2"/>
      <c r="M6" s="2">
        <v>8723</v>
      </c>
      <c r="N6" s="2"/>
      <c r="O6" s="2">
        <v>8105</v>
      </c>
      <c r="P6" s="2"/>
      <c r="Q6" s="2">
        <v>7377</v>
      </c>
      <c r="R6" s="2"/>
      <c r="S6" s="2">
        <v>6414</v>
      </c>
      <c r="T6" s="2"/>
      <c r="U6" s="2">
        <v>6422</v>
      </c>
      <c r="V6" s="2"/>
      <c r="W6" s="2">
        <v>6668</v>
      </c>
      <c r="X6" s="2" t="s">
        <v>334</v>
      </c>
      <c r="Y6" s="2">
        <v>6920</v>
      </c>
      <c r="Z6" s="2"/>
      <c r="AA6" s="2">
        <v>6470</v>
      </c>
      <c r="AB6" s="2"/>
      <c r="AC6" s="2">
        <f>Post2020_Derivation!G6</f>
        <v>6160</v>
      </c>
      <c r="AD6" s="2" t="e">
        <f ca="1">IF(Post2020_Derivation!H6="","",Post2020_Derivation!H6)</f>
        <v>#NAME?</v>
      </c>
      <c r="AE6" s="2">
        <f>Post2020_Derivation!M6</f>
        <v>6080</v>
      </c>
      <c r="AF6" s="2" t="e">
        <f ca="1">IF(Post2020_Derivation!N6="","",Post2020_Derivation!N6)</f>
        <v>#NAME?</v>
      </c>
      <c r="AG6" s="2">
        <f>Post2020_Derivation!S6</f>
        <v>5928</v>
      </c>
      <c r="AH6" s="2" t="e">
        <f ca="1">IF(Post2020_Derivation!T6="","",Post2020_Derivation!T6)</f>
        <v>#NAME?</v>
      </c>
    </row>
    <row r="7" spans="1:34">
      <c r="A7" t="s">
        <v>47</v>
      </c>
      <c r="B7" t="s">
        <v>48</v>
      </c>
      <c r="C7" s="2" t="s">
        <v>43</v>
      </c>
      <c r="D7" s="2" t="s">
        <v>44</v>
      </c>
      <c r="E7" s="2" t="s">
        <v>43</v>
      </c>
      <c r="F7" s="2" t="s">
        <v>44</v>
      </c>
      <c r="G7" s="2" t="s">
        <v>43</v>
      </c>
      <c r="H7" s="2" t="s">
        <v>44</v>
      </c>
      <c r="I7" s="2">
        <v>7927</v>
      </c>
      <c r="J7" s="2"/>
      <c r="K7" s="2">
        <v>8951</v>
      </c>
      <c r="L7" s="2"/>
      <c r="M7" s="2">
        <v>8304</v>
      </c>
      <c r="N7" s="2"/>
      <c r="O7" s="2">
        <v>7891</v>
      </c>
      <c r="P7" s="2"/>
      <c r="Q7" s="2">
        <v>3442</v>
      </c>
      <c r="R7" s="2"/>
      <c r="S7" s="2">
        <v>3319</v>
      </c>
      <c r="T7" s="2"/>
      <c r="U7" s="2">
        <v>3781</v>
      </c>
      <c r="V7" s="2"/>
      <c r="W7" s="2">
        <v>3879</v>
      </c>
      <c r="X7" s="2" t="s">
        <v>334</v>
      </c>
      <c r="Y7" s="2">
        <v>3741</v>
      </c>
      <c r="Z7" s="2"/>
      <c r="AA7" s="2">
        <v>3598</v>
      </c>
      <c r="AB7" s="2"/>
      <c r="AC7" s="2" t="str">
        <f>Post2020_Derivation!G7</f>
        <v/>
      </c>
      <c r="AD7" s="2" t="e">
        <f ca="1">IF(Post2020_Derivation!H7="","",Post2020_Derivation!H7)</f>
        <v>#NAME?</v>
      </c>
      <c r="AE7" s="2">
        <f>Post2020_Derivation!M7</f>
        <v>3010</v>
      </c>
      <c r="AF7" s="2" t="e">
        <f ca="1">IF(Post2020_Derivation!N7="","",Post2020_Derivation!N7)</f>
        <v>#NAME?</v>
      </c>
      <c r="AG7" s="2">
        <f>Post2020_Derivation!S7</f>
        <v>3102</v>
      </c>
      <c r="AH7" s="2" t="e">
        <f ca="1">IF(Post2020_Derivation!T7="","",Post2020_Derivation!T7)</f>
        <v>#NAME?</v>
      </c>
    </row>
    <row r="8" spans="1:34">
      <c r="A8" t="s">
        <v>49</v>
      </c>
      <c r="B8" t="s">
        <v>50</v>
      </c>
      <c r="C8" s="2" t="s">
        <v>43</v>
      </c>
      <c r="D8" s="2" t="s">
        <v>44</v>
      </c>
      <c r="E8" s="2">
        <v>7394</v>
      </c>
      <c r="F8" s="2"/>
      <c r="G8" s="2">
        <v>8713</v>
      </c>
      <c r="H8" s="2"/>
      <c r="I8" s="2">
        <v>9102</v>
      </c>
      <c r="J8" s="2"/>
      <c r="K8" s="2">
        <v>9908</v>
      </c>
      <c r="L8" s="2"/>
      <c r="M8" s="2">
        <v>9656</v>
      </c>
      <c r="N8" s="2"/>
      <c r="O8" s="2">
        <v>9619</v>
      </c>
      <c r="P8" s="2"/>
      <c r="Q8" s="2">
        <v>9907</v>
      </c>
      <c r="R8" s="2"/>
      <c r="S8" s="2">
        <v>9726</v>
      </c>
      <c r="T8" s="2"/>
      <c r="U8" s="2">
        <v>9846</v>
      </c>
      <c r="V8" s="2"/>
      <c r="W8" s="2">
        <v>11061</v>
      </c>
      <c r="X8" s="2" t="s">
        <v>334</v>
      </c>
      <c r="Y8" s="2">
        <v>11352</v>
      </c>
      <c r="Z8" s="2"/>
      <c r="AA8" s="2">
        <v>11568</v>
      </c>
      <c r="AB8" s="2"/>
      <c r="AC8" s="2">
        <f>Post2020_Derivation!G8</f>
        <v>11536</v>
      </c>
      <c r="AD8" s="2" t="e">
        <f ca="1">IF(Post2020_Derivation!H8="","",Post2020_Derivation!H8)</f>
        <v>#NAME?</v>
      </c>
      <c r="AE8" s="2">
        <f>Post2020_Derivation!M8</f>
        <v>12584</v>
      </c>
      <c r="AF8" s="2" t="e">
        <f ca="1">IF(Post2020_Derivation!N8="","",Post2020_Derivation!N8)</f>
        <v>#NAME?</v>
      </c>
      <c r="AG8" s="2">
        <f>Post2020_Derivation!S8</f>
        <v>12480</v>
      </c>
      <c r="AH8" s="2" t="e">
        <f ca="1">IF(Post2020_Derivation!T8="","",Post2020_Derivation!T8)</f>
        <v>#NAME?</v>
      </c>
    </row>
    <row r="9" spans="1:34">
      <c r="A9" t="s">
        <v>51</v>
      </c>
      <c r="B9" t="s">
        <v>52</v>
      </c>
      <c r="C9" s="2" t="s">
        <v>43</v>
      </c>
      <c r="D9" s="2" t="s">
        <v>44</v>
      </c>
      <c r="E9" s="2">
        <v>2172</v>
      </c>
      <c r="F9" s="2"/>
      <c r="G9" s="2" t="s">
        <v>43</v>
      </c>
      <c r="H9" s="2" t="s">
        <v>44</v>
      </c>
      <c r="I9" s="2">
        <v>1887</v>
      </c>
      <c r="J9" s="2"/>
      <c r="K9" s="2">
        <v>1837</v>
      </c>
      <c r="L9" s="2"/>
      <c r="M9" s="2">
        <v>1811</v>
      </c>
      <c r="N9" s="2"/>
      <c r="O9" s="2">
        <v>1688</v>
      </c>
      <c r="P9" s="2"/>
      <c r="Q9" s="2">
        <v>1435</v>
      </c>
      <c r="R9" s="2"/>
      <c r="S9" s="2">
        <v>1355</v>
      </c>
      <c r="T9" s="2"/>
      <c r="U9" s="2">
        <v>1252</v>
      </c>
      <c r="V9" s="2"/>
      <c r="W9" s="2">
        <v>1259</v>
      </c>
      <c r="X9" s="2" t="s">
        <v>334</v>
      </c>
      <c r="Y9" s="2">
        <v>1116</v>
      </c>
      <c r="Z9" s="2"/>
      <c r="AA9" s="2">
        <v>1386</v>
      </c>
      <c r="AB9" s="2"/>
      <c r="AC9" s="2">
        <f>Post2020_Derivation!G9</f>
        <v>1260</v>
      </c>
      <c r="AD9" s="2" t="e">
        <f ca="1">IF(Post2020_Derivation!H9="","",Post2020_Derivation!H9)</f>
        <v>#NAME?</v>
      </c>
      <c r="AE9" s="2">
        <f>Post2020_Derivation!M9</f>
        <v>1178</v>
      </c>
      <c r="AF9" s="2" t="e">
        <f ca="1">IF(Post2020_Derivation!N9="","",Post2020_Derivation!N9)</f>
        <v>#NAME?</v>
      </c>
      <c r="AG9" s="2">
        <f>Post2020_Derivation!S9</f>
        <v>864</v>
      </c>
      <c r="AH9" s="2" t="e">
        <f ca="1">IF(Post2020_Derivation!T9="","",Post2020_Derivation!T9)</f>
        <v>#NAME?</v>
      </c>
    </row>
    <row r="10" spans="1:34">
      <c r="A10" t="s">
        <v>53</v>
      </c>
      <c r="B10" t="s">
        <v>54</v>
      </c>
      <c r="C10" s="2">
        <v>2447</v>
      </c>
      <c r="D10" s="2"/>
      <c r="E10" s="2">
        <v>2218</v>
      </c>
      <c r="F10" s="2"/>
      <c r="G10" s="2">
        <v>1997</v>
      </c>
      <c r="H10" s="2"/>
      <c r="I10" s="2">
        <v>2451</v>
      </c>
      <c r="J10" s="2"/>
      <c r="K10" s="2">
        <v>1855</v>
      </c>
      <c r="L10" s="2"/>
      <c r="M10" s="2">
        <v>1762</v>
      </c>
      <c r="N10" s="2"/>
      <c r="O10" s="2">
        <v>1578</v>
      </c>
      <c r="P10" s="2"/>
      <c r="Q10" s="2">
        <v>1649</v>
      </c>
      <c r="R10" s="2"/>
      <c r="S10" s="2">
        <v>1465</v>
      </c>
      <c r="T10" s="2"/>
      <c r="U10" s="2">
        <v>1581</v>
      </c>
      <c r="V10" s="2"/>
      <c r="W10" s="2">
        <v>2381</v>
      </c>
      <c r="X10" s="2" t="s">
        <v>334</v>
      </c>
      <c r="Y10" s="2">
        <v>2364</v>
      </c>
      <c r="Z10" s="2"/>
      <c r="AA10" s="2">
        <v>2417</v>
      </c>
      <c r="AB10" s="2"/>
      <c r="AC10" s="2">
        <f>Post2020_Derivation!G10</f>
        <v>2553</v>
      </c>
      <c r="AD10" s="2" t="e">
        <f ca="1">IF(Post2020_Derivation!H10="","",Post2020_Derivation!H10)</f>
        <v>#NAME?</v>
      </c>
      <c r="AE10" s="2">
        <f>Post2020_Derivation!M10</f>
        <v>2496</v>
      </c>
      <c r="AF10" s="2" t="e">
        <f ca="1">IF(Post2020_Derivation!N10="","",Post2020_Derivation!N10)</f>
        <v>#NAME?</v>
      </c>
      <c r="AG10" s="2">
        <f>Post2020_Derivation!S10</f>
        <v>2208</v>
      </c>
      <c r="AH10" s="2" t="e">
        <f ca="1">IF(Post2020_Derivation!T10="","",Post2020_Derivation!T10)</f>
        <v>#NAME?</v>
      </c>
    </row>
    <row r="11" spans="1:34">
      <c r="A11" t="s">
        <v>55</v>
      </c>
      <c r="B11" t="s">
        <v>56</v>
      </c>
      <c r="C11" s="2" t="s">
        <v>43</v>
      </c>
      <c r="D11" s="2" t="s">
        <v>44</v>
      </c>
      <c r="E11" s="2">
        <v>3031</v>
      </c>
      <c r="F11" s="2"/>
      <c r="G11" s="2">
        <v>2726</v>
      </c>
      <c r="H11" s="2"/>
      <c r="I11" s="2">
        <v>2731</v>
      </c>
      <c r="J11" s="2"/>
      <c r="K11" s="2">
        <v>2438</v>
      </c>
      <c r="L11" s="2"/>
      <c r="M11" s="2">
        <v>2534</v>
      </c>
      <c r="N11" s="2"/>
      <c r="O11" s="2">
        <v>2341</v>
      </c>
      <c r="P11" s="2"/>
      <c r="Q11" s="2">
        <v>1745</v>
      </c>
      <c r="R11" s="2"/>
      <c r="S11" s="2">
        <v>1897</v>
      </c>
      <c r="T11" s="2"/>
      <c r="U11" s="2">
        <v>2051</v>
      </c>
      <c r="V11" s="2"/>
      <c r="W11" s="2">
        <v>1918</v>
      </c>
      <c r="X11" s="2" t="s">
        <v>334</v>
      </c>
      <c r="Y11" s="2">
        <v>1870</v>
      </c>
      <c r="Z11" s="2"/>
      <c r="AA11" s="2">
        <v>1492</v>
      </c>
      <c r="AB11" s="2"/>
      <c r="AC11" s="2" t="str">
        <f>Post2020_Derivation!G11</f>
        <v/>
      </c>
      <c r="AD11" s="2" t="e">
        <f ca="1">IF(Post2020_Derivation!H11="","",Post2020_Derivation!H11)</f>
        <v>#NAME?</v>
      </c>
      <c r="AE11" s="2">
        <f>Post2020_Derivation!M11</f>
        <v>1368</v>
      </c>
      <c r="AF11" s="2" t="e">
        <f ca="1">IF(Post2020_Derivation!N11="","",Post2020_Derivation!N11)</f>
        <v>#NAME?</v>
      </c>
      <c r="AG11" s="2">
        <f>Post2020_Derivation!S11</f>
        <v>1248</v>
      </c>
      <c r="AH11" s="2" t="e">
        <f ca="1">IF(Post2020_Derivation!T11="","",Post2020_Derivation!T11)</f>
        <v>#NAME?</v>
      </c>
    </row>
    <row r="12" spans="1:34">
      <c r="A12" t="s">
        <v>57</v>
      </c>
      <c r="B12" t="s">
        <v>58</v>
      </c>
      <c r="C12" s="2" t="s">
        <v>43</v>
      </c>
      <c r="D12" s="2" t="s">
        <v>44</v>
      </c>
      <c r="E12" s="2">
        <v>15</v>
      </c>
      <c r="F12" s="2"/>
      <c r="G12" s="2" t="s">
        <v>43</v>
      </c>
      <c r="H12" s="2" t="s">
        <v>44</v>
      </c>
      <c r="I12" s="2">
        <v>101</v>
      </c>
      <c r="J12" s="2"/>
      <c r="K12" s="2">
        <v>124</v>
      </c>
      <c r="L12" s="2"/>
      <c r="M12" s="2">
        <v>135</v>
      </c>
      <c r="N12" s="2"/>
      <c r="O12" s="2">
        <v>107</v>
      </c>
      <c r="P12" s="2"/>
      <c r="Q12" s="2">
        <v>101</v>
      </c>
      <c r="R12" s="2"/>
      <c r="S12" s="2">
        <v>97</v>
      </c>
      <c r="T12" s="2"/>
      <c r="U12" s="2">
        <v>127</v>
      </c>
      <c r="V12" s="2"/>
      <c r="W12" s="2" t="s">
        <v>43</v>
      </c>
      <c r="X12" s="2" t="s">
        <v>403</v>
      </c>
      <c r="Y12" s="2" t="s">
        <v>43</v>
      </c>
      <c r="Z12" s="2" t="s">
        <v>44</v>
      </c>
      <c r="AA12" s="2">
        <v>154</v>
      </c>
      <c r="AB12" s="2"/>
      <c r="AC12" s="2">
        <f>Post2020_Derivation!G12</f>
        <v>108</v>
      </c>
      <c r="AD12" s="2" t="e">
        <f ca="1">IF(Post2020_Derivation!H12="","",Post2020_Derivation!H12)</f>
        <v>#NAME?</v>
      </c>
      <c r="AE12" s="2">
        <f>Post2020_Derivation!M12</f>
        <v>132</v>
      </c>
      <c r="AF12" s="2" t="e">
        <f ca="1">IF(Post2020_Derivation!N12="","",Post2020_Derivation!N12)</f>
        <v>#NAME?</v>
      </c>
      <c r="AG12" s="2">
        <f>Post2020_Derivation!S12</f>
        <v>126</v>
      </c>
      <c r="AH12" s="2" t="e">
        <f ca="1">IF(Post2020_Derivation!T12="","",Post2020_Derivation!T12)</f>
        <v>#NAME?</v>
      </c>
    </row>
    <row r="13" spans="1:34">
      <c r="A13" t="s">
        <v>59</v>
      </c>
      <c r="B13" t="s">
        <v>60</v>
      </c>
      <c r="C13" s="2" t="s">
        <v>43</v>
      </c>
      <c r="D13" s="2" t="s">
        <v>44</v>
      </c>
      <c r="E13" s="2">
        <v>1101</v>
      </c>
      <c r="F13" s="2"/>
      <c r="G13" s="2" t="s">
        <v>43</v>
      </c>
      <c r="H13" s="2" t="s">
        <v>44</v>
      </c>
      <c r="I13" s="2" t="s">
        <v>43</v>
      </c>
      <c r="J13" s="2" t="s">
        <v>44</v>
      </c>
      <c r="K13" s="2">
        <v>1367</v>
      </c>
      <c r="L13" s="2"/>
      <c r="M13" s="2" t="s">
        <v>43</v>
      </c>
      <c r="N13" s="2" t="s">
        <v>44</v>
      </c>
      <c r="O13" s="2">
        <v>1364</v>
      </c>
      <c r="P13" s="2"/>
      <c r="Q13" s="2">
        <v>263</v>
      </c>
      <c r="R13" s="2"/>
      <c r="S13" s="2">
        <v>443</v>
      </c>
      <c r="T13" s="2"/>
      <c r="U13" s="2">
        <v>459</v>
      </c>
      <c r="V13" s="2"/>
      <c r="W13" s="2" t="s">
        <v>43</v>
      </c>
      <c r="X13" s="2" t="s">
        <v>403</v>
      </c>
      <c r="Y13" s="2" t="s">
        <v>43</v>
      </c>
      <c r="Z13" s="2" t="s">
        <v>44</v>
      </c>
      <c r="AA13" s="2">
        <v>470</v>
      </c>
      <c r="AB13" s="2"/>
      <c r="AC13" s="2">
        <f>Post2020_Derivation!G13</f>
        <v>322</v>
      </c>
      <c r="AD13" s="2" t="e">
        <f ca="1">IF(Post2020_Derivation!H13="","",Post2020_Derivation!H13)</f>
        <v>#NAME?</v>
      </c>
      <c r="AE13" s="2">
        <f>Post2020_Derivation!M13</f>
        <v>310</v>
      </c>
      <c r="AF13" s="2" t="e">
        <f ca="1">IF(Post2020_Derivation!N13="","",Post2020_Derivation!N13)</f>
        <v>#NAME?</v>
      </c>
      <c r="AG13" s="2" t="str">
        <f>Post2020_Derivation!S13</f>
        <v/>
      </c>
      <c r="AH13" s="2" t="e">
        <f ca="1">IF(Post2020_Derivation!T13="","",Post2020_Derivation!T13)</f>
        <v>#NAME?</v>
      </c>
    </row>
    <row r="14" spans="1:34">
      <c r="A14" t="s">
        <v>61</v>
      </c>
      <c r="B14" t="s">
        <v>62</v>
      </c>
      <c r="C14" s="2" t="s">
        <v>43</v>
      </c>
      <c r="D14" s="2" t="s">
        <v>44</v>
      </c>
      <c r="E14" s="2">
        <v>1140</v>
      </c>
      <c r="F14" s="2"/>
      <c r="G14" s="2" t="s">
        <v>43</v>
      </c>
      <c r="H14" s="2" t="s">
        <v>44</v>
      </c>
      <c r="I14" s="2" t="s">
        <v>43</v>
      </c>
      <c r="J14" s="2" t="s">
        <v>44</v>
      </c>
      <c r="K14" s="2">
        <v>625</v>
      </c>
      <c r="L14" s="2"/>
      <c r="M14" s="2">
        <v>667</v>
      </c>
      <c r="N14" s="2"/>
      <c r="O14" s="2">
        <v>589</v>
      </c>
      <c r="P14" s="2"/>
      <c r="Q14" s="2">
        <v>1094</v>
      </c>
      <c r="R14" s="2"/>
      <c r="S14" s="2">
        <v>1086</v>
      </c>
      <c r="T14" s="2"/>
      <c r="U14" s="2">
        <v>1167</v>
      </c>
      <c r="V14" s="2"/>
      <c r="W14" s="2">
        <v>475</v>
      </c>
      <c r="X14" s="2" t="s">
        <v>334</v>
      </c>
      <c r="Y14" s="2" t="s">
        <v>43</v>
      </c>
      <c r="Z14" s="2" t="s">
        <v>44</v>
      </c>
      <c r="AA14" s="2">
        <v>571</v>
      </c>
      <c r="AB14" s="2"/>
      <c r="AC14" s="2" t="str">
        <f>Post2020_Derivation!G14</f>
        <v/>
      </c>
      <c r="AD14" s="2" t="e">
        <f ca="1">IF(Post2020_Derivation!H14="","",Post2020_Derivation!H14)</f>
        <v>#NAME?</v>
      </c>
      <c r="AE14" s="2">
        <f>Post2020_Derivation!M14</f>
        <v>650</v>
      </c>
      <c r="AF14" s="2" t="e">
        <f ca="1">IF(Post2020_Derivation!N14="","",Post2020_Derivation!N14)</f>
        <v>#NAME?</v>
      </c>
      <c r="AG14" s="2">
        <f>Post2020_Derivation!S14</f>
        <v>624</v>
      </c>
      <c r="AH14" s="2" t="e">
        <f ca="1">IF(Post2020_Derivation!T14="","",Post2020_Derivation!T14)</f>
        <v>#NAME?</v>
      </c>
    </row>
    <row r="15" spans="1:34">
      <c r="A15" t="s">
        <v>63</v>
      </c>
      <c r="B15" t="s">
        <v>64</v>
      </c>
      <c r="C15" s="2" t="s">
        <v>43</v>
      </c>
      <c r="D15" s="2" t="s">
        <v>44</v>
      </c>
      <c r="E15" s="2" t="s">
        <v>43</v>
      </c>
      <c r="F15" s="2" t="s">
        <v>44</v>
      </c>
      <c r="G15" s="2" t="s">
        <v>43</v>
      </c>
      <c r="H15" s="2" t="s">
        <v>44</v>
      </c>
      <c r="I15" s="2" t="s">
        <v>43</v>
      </c>
      <c r="J15" s="2" t="s">
        <v>44</v>
      </c>
      <c r="K15" s="2" t="s">
        <v>43</v>
      </c>
      <c r="L15" s="2" t="s">
        <v>44</v>
      </c>
      <c r="M15" s="2" t="s">
        <v>43</v>
      </c>
      <c r="N15" s="2" t="s">
        <v>44</v>
      </c>
      <c r="O15" s="2" t="s">
        <v>43</v>
      </c>
      <c r="P15" s="2" t="s">
        <v>44</v>
      </c>
      <c r="Q15" s="2">
        <v>233</v>
      </c>
      <c r="R15" s="2"/>
      <c r="S15" s="2" t="s">
        <v>43</v>
      </c>
      <c r="T15" s="2" t="s">
        <v>44</v>
      </c>
      <c r="U15" s="2">
        <v>237</v>
      </c>
      <c r="V15" s="2"/>
      <c r="W15" s="2" t="s">
        <v>43</v>
      </c>
      <c r="X15" s="2" t="s">
        <v>403</v>
      </c>
      <c r="Y15" s="2">
        <v>248</v>
      </c>
      <c r="Z15" s="2"/>
      <c r="AA15" s="2" t="s">
        <v>43</v>
      </c>
      <c r="AB15" s="2" t="s">
        <v>44</v>
      </c>
      <c r="AC15" s="2">
        <f>Post2020_Derivation!G15</f>
        <v>232</v>
      </c>
      <c r="AD15" s="2" t="e">
        <f ca="1">IF(Post2020_Derivation!H15="","",Post2020_Derivation!H15)</f>
        <v>#NAME?</v>
      </c>
      <c r="AE15" s="2">
        <f>Post2020_Derivation!M15</f>
        <v>231</v>
      </c>
      <c r="AF15" s="2" t="e">
        <f ca="1">IF(Post2020_Derivation!N15="","",Post2020_Derivation!N15)</f>
        <v>#NAME?</v>
      </c>
      <c r="AG15" s="2" t="str">
        <f>Post2020_Derivation!S15</f>
        <v/>
      </c>
      <c r="AH15" s="2" t="e">
        <f ca="1">IF(Post2020_Derivation!T15="","",Post2020_Derivation!T15)</f>
        <v>#NAME?</v>
      </c>
    </row>
    <row r="16" spans="1:34">
      <c r="A16" t="s">
        <v>65</v>
      </c>
      <c r="B16" t="s">
        <v>66</v>
      </c>
      <c r="C16" s="2">
        <v>466</v>
      </c>
      <c r="D16" s="2"/>
      <c r="E16" s="2" t="s">
        <v>43</v>
      </c>
      <c r="F16" s="2" t="s">
        <v>44</v>
      </c>
      <c r="G16" s="2">
        <v>75</v>
      </c>
      <c r="H16" s="2"/>
      <c r="I16" s="2">
        <v>59</v>
      </c>
      <c r="J16" s="2"/>
      <c r="K16" s="2" t="s">
        <v>43</v>
      </c>
      <c r="L16" s="2" t="s">
        <v>44</v>
      </c>
      <c r="M16" s="2">
        <v>36</v>
      </c>
      <c r="N16" s="2"/>
      <c r="O16" s="2" t="s">
        <v>43</v>
      </c>
      <c r="P16" s="2" t="s">
        <v>44</v>
      </c>
      <c r="Q16" s="2">
        <v>54</v>
      </c>
      <c r="R16" s="2"/>
      <c r="S16" s="2" t="s">
        <v>43</v>
      </c>
      <c r="T16" s="2" t="s">
        <v>44</v>
      </c>
      <c r="U16" s="2">
        <v>61</v>
      </c>
      <c r="V16" s="2"/>
      <c r="W16" s="2">
        <v>37</v>
      </c>
      <c r="X16" s="2" t="s">
        <v>334</v>
      </c>
      <c r="Y16" s="2">
        <v>45</v>
      </c>
      <c r="Z16" s="2"/>
      <c r="AA16" s="2" t="s">
        <v>43</v>
      </c>
      <c r="AB16" s="2" t="s">
        <v>44</v>
      </c>
      <c r="AC16" s="2">
        <f>Post2020_Derivation!G16</f>
        <v>60</v>
      </c>
      <c r="AD16" s="2" t="e">
        <f ca="1">IF(Post2020_Derivation!H16="","",Post2020_Derivation!H16)</f>
        <v>#NAME?</v>
      </c>
      <c r="AE16" s="2">
        <f>Post2020_Derivation!M16</f>
        <v>72</v>
      </c>
      <c r="AF16" s="2" t="e">
        <f ca="1">IF(Post2020_Derivation!N16="","",Post2020_Derivation!N16)</f>
        <v>#NAME?</v>
      </c>
      <c r="AG16" s="2" t="str">
        <f>Post2020_Derivation!S16</f>
        <v/>
      </c>
      <c r="AH16" s="2" t="e">
        <f ca="1">IF(Post2020_Derivation!T16="","",Post2020_Derivation!T16)</f>
        <v>#NAME?</v>
      </c>
    </row>
    <row r="17" spans="1:34">
      <c r="A17" t="s">
        <v>71</v>
      </c>
      <c r="B17" t="s">
        <v>72</v>
      </c>
      <c r="C17" s="2">
        <v>10479</v>
      </c>
      <c r="D17" s="2"/>
      <c r="E17" s="2">
        <v>10570</v>
      </c>
      <c r="F17" s="2"/>
      <c r="G17" s="2">
        <v>10164</v>
      </c>
      <c r="H17" s="2"/>
      <c r="I17" s="2">
        <v>12813</v>
      </c>
      <c r="J17" s="2"/>
      <c r="K17" s="2">
        <v>12789</v>
      </c>
      <c r="L17" s="2"/>
      <c r="M17" s="2">
        <v>12800</v>
      </c>
      <c r="N17" s="2"/>
      <c r="O17" s="2">
        <v>17665</v>
      </c>
      <c r="P17" s="2"/>
      <c r="Q17" s="2">
        <v>21021</v>
      </c>
      <c r="R17" s="2"/>
      <c r="S17" s="2">
        <v>22051</v>
      </c>
      <c r="T17" s="2"/>
      <c r="U17" s="2">
        <v>24488</v>
      </c>
      <c r="V17" s="2"/>
      <c r="W17" s="2">
        <v>23946</v>
      </c>
      <c r="X17" s="2" t="s">
        <v>334</v>
      </c>
      <c r="Y17" s="2">
        <v>22566</v>
      </c>
      <c r="Z17" s="2"/>
      <c r="AA17" s="2">
        <v>25345</v>
      </c>
      <c r="AB17" s="2"/>
      <c r="AC17" s="2">
        <f>Post2020_Derivation!G19</f>
        <v>26364</v>
      </c>
      <c r="AD17" s="2" t="e">
        <f ca="1">IF(Post2020_Derivation!H19="","",Post2020_Derivation!H19)</f>
        <v>#NAME?</v>
      </c>
      <c r="AE17" s="2">
        <f>Post2020_Derivation!M19</f>
        <v>25265</v>
      </c>
      <c r="AF17" s="2" t="e">
        <f ca="1">IF(Post2020_Derivation!N19="","",Post2020_Derivation!N19)</f>
        <v>#NAME?</v>
      </c>
      <c r="AG17" s="2">
        <f>Post2020_Derivation!S19</f>
        <v>25440</v>
      </c>
      <c r="AH17" s="2" t="e">
        <f ca="1">IF(Post2020_Derivation!T19="","",Post2020_Derivation!T19)</f>
        <v>#NAME?</v>
      </c>
    </row>
    <row r="18" spans="1:34">
      <c r="A18" t="s">
        <v>73</v>
      </c>
      <c r="B18" t="s">
        <v>74</v>
      </c>
      <c r="C18" s="2">
        <v>6485</v>
      </c>
      <c r="D18" s="2"/>
      <c r="E18" s="2">
        <v>7088</v>
      </c>
      <c r="F18" s="2"/>
      <c r="G18" s="2">
        <v>7725</v>
      </c>
      <c r="H18" s="2"/>
      <c r="I18" s="2">
        <v>8840</v>
      </c>
      <c r="J18" s="2"/>
      <c r="K18" s="2">
        <v>8389</v>
      </c>
      <c r="L18" s="2"/>
      <c r="M18" s="2">
        <v>8985</v>
      </c>
      <c r="N18" s="2"/>
      <c r="O18" s="2">
        <v>12540</v>
      </c>
      <c r="P18" s="2"/>
      <c r="Q18" s="2">
        <v>15140</v>
      </c>
      <c r="R18" s="2"/>
      <c r="S18" s="2">
        <v>15905</v>
      </c>
      <c r="T18" s="2"/>
      <c r="U18" s="2">
        <v>16577</v>
      </c>
      <c r="V18" s="2"/>
      <c r="W18" s="2">
        <v>15124</v>
      </c>
      <c r="X18" s="2" t="s">
        <v>334</v>
      </c>
      <c r="Y18" s="2">
        <v>12728</v>
      </c>
      <c r="Z18" s="2"/>
      <c r="AA18" s="2">
        <v>12787</v>
      </c>
      <c r="AB18" s="2"/>
      <c r="AC18" s="2">
        <f>Post2020_Derivation!G20</f>
        <v>12482</v>
      </c>
      <c r="AD18" s="2" t="e">
        <f ca="1">IF(Post2020_Derivation!H20="","",Post2020_Derivation!H20)</f>
        <v>#NAME?</v>
      </c>
      <c r="AE18" s="2">
        <f>Post2020_Derivation!M20</f>
        <v>12665</v>
      </c>
      <c r="AF18" s="2" t="e">
        <f ca="1">IF(Post2020_Derivation!N20="","",Post2020_Derivation!N20)</f>
        <v>#NAME?</v>
      </c>
      <c r="AG18" s="2">
        <f>Post2020_Derivation!S20</f>
        <v>12792</v>
      </c>
      <c r="AH18" s="2" t="e">
        <f ca="1">IF(Post2020_Derivation!T20="","",Post2020_Derivation!T20)</f>
        <v>#NAME?</v>
      </c>
    </row>
    <row r="19" spans="1:34">
      <c r="A19" t="s">
        <v>75</v>
      </c>
      <c r="B19" t="s">
        <v>76</v>
      </c>
      <c r="C19" s="2">
        <v>109</v>
      </c>
      <c r="D19" s="2"/>
      <c r="E19" s="2">
        <v>53</v>
      </c>
      <c r="F19" s="2"/>
      <c r="G19" s="2">
        <v>28</v>
      </c>
      <c r="H19" s="2"/>
      <c r="I19" s="2">
        <v>35</v>
      </c>
      <c r="J19" s="2"/>
      <c r="K19" s="2">
        <v>56</v>
      </c>
      <c r="L19" s="2"/>
      <c r="M19" s="2">
        <v>94</v>
      </c>
      <c r="N19" s="2"/>
      <c r="O19" s="2">
        <v>299</v>
      </c>
      <c r="P19" s="2"/>
      <c r="Q19" s="2">
        <v>336</v>
      </c>
      <c r="R19" s="2"/>
      <c r="S19" s="2" t="s">
        <v>43</v>
      </c>
      <c r="T19" s="2" t="s">
        <v>44</v>
      </c>
      <c r="U19" s="2" t="s">
        <v>43</v>
      </c>
      <c r="V19" s="2" t="s">
        <v>44</v>
      </c>
      <c r="W19" s="2" t="s">
        <v>43</v>
      </c>
      <c r="X19" s="2" t="s">
        <v>403</v>
      </c>
      <c r="Y19" s="2">
        <v>2216</v>
      </c>
      <c r="Z19" s="2"/>
      <c r="AA19" s="2">
        <v>2810</v>
      </c>
      <c r="AB19" s="2"/>
      <c r="AC19" s="2">
        <f>Post2020_Derivation!G21</f>
        <v>3723</v>
      </c>
      <c r="AD19" s="2" t="e">
        <f ca="1">IF(Post2020_Derivation!H21="","",Post2020_Derivation!H21)</f>
        <v>#NAME?</v>
      </c>
      <c r="AE19" s="2">
        <f>Post2020_Derivation!M21</f>
        <v>4148</v>
      </c>
      <c r="AF19" s="2" t="e">
        <f ca="1">IF(Post2020_Derivation!N21="","",Post2020_Derivation!N21)</f>
        <v>#NAME?</v>
      </c>
      <c r="AG19" s="2">
        <f>Post2020_Derivation!S21</f>
        <v>4432</v>
      </c>
      <c r="AH19" s="2" t="e">
        <f ca="1">IF(Post2020_Derivation!T21="","",Post2020_Derivation!T21)</f>
        <v>#NAME?</v>
      </c>
    </row>
    <row r="20" spans="1:34">
      <c r="A20" t="s">
        <v>77</v>
      </c>
      <c r="B20" t="s">
        <v>78</v>
      </c>
      <c r="C20" s="2">
        <v>534</v>
      </c>
      <c r="D20" s="2"/>
      <c r="E20" s="2">
        <v>541</v>
      </c>
      <c r="F20" s="2"/>
      <c r="G20" s="2">
        <v>639</v>
      </c>
      <c r="H20" s="2"/>
      <c r="I20" s="2">
        <v>933</v>
      </c>
      <c r="J20" s="2"/>
      <c r="K20" s="2">
        <v>1140</v>
      </c>
      <c r="L20" s="2"/>
      <c r="M20" s="2">
        <v>1026</v>
      </c>
      <c r="N20" s="2"/>
      <c r="O20" s="2">
        <v>1196</v>
      </c>
      <c r="P20" s="2"/>
      <c r="Q20" s="2">
        <v>1608</v>
      </c>
      <c r="R20" s="2"/>
      <c r="S20" s="2">
        <v>1888</v>
      </c>
      <c r="T20" s="2"/>
      <c r="U20" s="2">
        <v>1997</v>
      </c>
      <c r="V20" s="2"/>
      <c r="W20" s="2">
        <v>2069</v>
      </c>
      <c r="X20" s="2" t="s">
        <v>334</v>
      </c>
      <c r="Y20" s="2">
        <v>2176</v>
      </c>
      <c r="Z20" s="2"/>
      <c r="AA20" s="2">
        <v>2154</v>
      </c>
      <c r="AB20" s="2"/>
      <c r="AC20" s="2">
        <f>Post2020_Derivation!G22</f>
        <v>2354</v>
      </c>
      <c r="AD20" s="2" t="e">
        <f ca="1">IF(Post2020_Derivation!H22="","",Post2020_Derivation!H22)</f>
        <v>#NAME?</v>
      </c>
      <c r="AE20" s="2">
        <f>Post2020_Derivation!M22</f>
        <v>2424</v>
      </c>
      <c r="AF20" s="2" t="e">
        <f ca="1">IF(Post2020_Derivation!N22="","",Post2020_Derivation!N22)</f>
        <v>#NAME?</v>
      </c>
      <c r="AG20" s="2">
        <f>Post2020_Derivation!S22</f>
        <v>2784</v>
      </c>
      <c r="AH20" s="2" t="e">
        <f ca="1">IF(Post2020_Derivation!T22="","",Post2020_Derivation!T22)</f>
        <v>#NAME?</v>
      </c>
    </row>
    <row r="21" spans="1:34">
      <c r="A21" t="s">
        <v>79</v>
      </c>
      <c r="B21" t="s">
        <v>80</v>
      </c>
      <c r="C21" s="2">
        <v>316</v>
      </c>
      <c r="D21" s="2"/>
      <c r="E21" s="2">
        <v>409</v>
      </c>
      <c r="F21" s="2"/>
      <c r="G21" s="2">
        <v>366</v>
      </c>
      <c r="H21" s="2"/>
      <c r="I21" s="2">
        <v>1216</v>
      </c>
      <c r="J21" s="2"/>
      <c r="K21" s="2">
        <v>1146</v>
      </c>
      <c r="L21" s="2"/>
      <c r="M21" s="2">
        <v>1055</v>
      </c>
      <c r="N21" s="2"/>
      <c r="O21" s="2">
        <v>1199</v>
      </c>
      <c r="P21" s="2"/>
      <c r="Q21" s="2">
        <v>1255</v>
      </c>
      <c r="R21" s="2"/>
      <c r="S21" s="2" t="s">
        <v>43</v>
      </c>
      <c r="T21" s="2" t="s">
        <v>44</v>
      </c>
      <c r="U21" s="2" t="s">
        <v>43</v>
      </c>
      <c r="V21" s="2" t="s">
        <v>44</v>
      </c>
      <c r="W21" s="2" t="s">
        <v>43</v>
      </c>
      <c r="X21" s="2" t="s">
        <v>403</v>
      </c>
      <c r="Y21" s="2">
        <v>258</v>
      </c>
      <c r="Z21" s="2"/>
      <c r="AA21" s="2">
        <v>59</v>
      </c>
      <c r="AB21" s="2"/>
      <c r="AC21" s="2">
        <f>Post2020_Derivation!G23</f>
        <v>56</v>
      </c>
      <c r="AD21" s="2" t="e">
        <f ca="1">IF(Post2020_Derivation!H23="","",Post2020_Derivation!H23)</f>
        <v>#NAME?</v>
      </c>
      <c r="AE21" s="2">
        <f>Post2020_Derivation!M23</f>
        <v>98</v>
      </c>
      <c r="AF21" s="2" t="e">
        <f ca="1">IF(Post2020_Derivation!N23="","",Post2020_Derivation!N23)</f>
        <v>#NAME?</v>
      </c>
      <c r="AG21" s="2">
        <f>Post2020_Derivation!S23</f>
        <v>65</v>
      </c>
      <c r="AH21" s="2" t="e">
        <f ca="1">IF(Post2020_Derivation!T23="","",Post2020_Derivation!T23)</f>
        <v>#NAME?</v>
      </c>
    </row>
    <row r="22" spans="1:34">
      <c r="A22" t="s">
        <v>81</v>
      </c>
      <c r="B22" t="s">
        <v>82</v>
      </c>
      <c r="C22" s="2">
        <v>5526</v>
      </c>
      <c r="D22" s="2"/>
      <c r="E22" s="2">
        <v>6085</v>
      </c>
      <c r="F22" s="2"/>
      <c r="G22" s="2">
        <v>6692</v>
      </c>
      <c r="H22" s="2"/>
      <c r="I22" s="2">
        <v>6656</v>
      </c>
      <c r="J22" s="2"/>
      <c r="K22" s="2">
        <v>6047</v>
      </c>
      <c r="L22" s="2"/>
      <c r="M22" s="2">
        <v>6810</v>
      </c>
      <c r="N22" s="2"/>
      <c r="O22" s="2">
        <v>9846</v>
      </c>
      <c r="P22" s="2"/>
      <c r="Q22" s="2">
        <v>11941</v>
      </c>
      <c r="R22" s="2"/>
      <c r="S22" s="2">
        <v>12492</v>
      </c>
      <c r="T22" s="2"/>
      <c r="U22" s="2">
        <v>11451</v>
      </c>
      <c r="V22" s="2"/>
      <c r="W22" s="2">
        <v>10197</v>
      </c>
      <c r="X22" s="2" t="s">
        <v>334</v>
      </c>
      <c r="Y22" s="2">
        <v>8078</v>
      </c>
      <c r="Z22" s="2"/>
      <c r="AA22" s="2">
        <v>7764</v>
      </c>
      <c r="AB22" s="2"/>
      <c r="AC22" s="2">
        <f>Post2020_Derivation!G24</f>
        <v>6344</v>
      </c>
      <c r="AD22" s="2" t="e">
        <f ca="1">IF(Post2020_Derivation!H24="","",Post2020_Derivation!H24)</f>
        <v>#NAME?</v>
      </c>
      <c r="AE22" s="2">
        <f>Post2020_Derivation!M24</f>
        <v>5970</v>
      </c>
      <c r="AF22" s="2" t="e">
        <f ca="1">IF(Post2020_Derivation!N24="","",Post2020_Derivation!N24)</f>
        <v>#NAME?</v>
      </c>
      <c r="AG22" s="2">
        <f>Post2020_Derivation!S24</f>
        <v>5539</v>
      </c>
      <c r="AH22" s="2" t="e">
        <f ca="1">IF(Post2020_Derivation!T24="","",Post2020_Derivation!T24)</f>
        <v>#NAME?</v>
      </c>
    </row>
    <row r="23" spans="1:34">
      <c r="A23" t="s">
        <v>83</v>
      </c>
      <c r="B23" t="s">
        <v>84</v>
      </c>
      <c r="C23" s="2">
        <v>3994</v>
      </c>
      <c r="D23" s="2"/>
      <c r="E23" s="2">
        <v>3482</v>
      </c>
      <c r="F23" s="2"/>
      <c r="G23" s="2">
        <v>2439</v>
      </c>
      <c r="H23" s="2"/>
      <c r="I23" s="2">
        <v>3973</v>
      </c>
      <c r="J23" s="2"/>
      <c r="K23" s="2">
        <v>4400</v>
      </c>
      <c r="L23" s="2"/>
      <c r="M23" s="2">
        <v>3815</v>
      </c>
      <c r="N23" s="2"/>
      <c r="O23" s="2">
        <v>5125</v>
      </c>
      <c r="P23" s="2"/>
      <c r="Q23" s="2">
        <v>5881</v>
      </c>
      <c r="R23" s="2"/>
      <c r="S23" s="2">
        <v>6146</v>
      </c>
      <c r="T23" s="2"/>
      <c r="U23" s="2">
        <v>7911</v>
      </c>
      <c r="V23" s="2"/>
      <c r="W23" s="2">
        <v>8822</v>
      </c>
      <c r="X23" s="2" t="s">
        <v>334</v>
      </c>
      <c r="Y23" s="2">
        <v>9838</v>
      </c>
      <c r="Z23" s="2"/>
      <c r="AA23" s="2">
        <v>12558</v>
      </c>
      <c r="AB23" s="2"/>
      <c r="AC23" s="2">
        <f>Post2020_Derivation!G25</f>
        <v>13937</v>
      </c>
      <c r="AD23" s="2" t="e">
        <f ca="1">IF(Post2020_Derivation!H25="","",Post2020_Derivation!H25)</f>
        <v>#NAME?</v>
      </c>
      <c r="AE23" s="2">
        <f>Post2020_Derivation!M25</f>
        <v>12670</v>
      </c>
      <c r="AF23" s="2" t="e">
        <f ca="1">IF(Post2020_Derivation!N25="","",Post2020_Derivation!N25)</f>
        <v>#NAME?</v>
      </c>
      <c r="AG23" s="2">
        <f>Post2020_Derivation!S25</f>
        <v>12705</v>
      </c>
      <c r="AH23" s="2" t="e">
        <f ca="1">IF(Post2020_Derivation!T25="","",Post2020_Derivation!T25)</f>
        <v>#NAME?</v>
      </c>
    </row>
    <row r="24" spans="1:34">
      <c r="A24" t="s">
        <v>85</v>
      </c>
      <c r="B24" t="s">
        <v>86</v>
      </c>
      <c r="C24" s="2">
        <v>3800</v>
      </c>
      <c r="D24" s="2"/>
      <c r="E24" s="2">
        <v>3125</v>
      </c>
      <c r="F24" s="2"/>
      <c r="G24" s="2">
        <v>2004</v>
      </c>
      <c r="H24" s="2"/>
      <c r="I24" s="2">
        <v>3424</v>
      </c>
      <c r="J24" s="2"/>
      <c r="K24" s="2">
        <v>3663</v>
      </c>
      <c r="L24" s="2"/>
      <c r="M24" s="2">
        <v>2992</v>
      </c>
      <c r="N24" s="2"/>
      <c r="O24" s="2">
        <v>3863</v>
      </c>
      <c r="P24" s="2"/>
      <c r="Q24" s="2">
        <v>4267</v>
      </c>
      <c r="R24" s="2"/>
      <c r="S24" s="2">
        <v>4526</v>
      </c>
      <c r="T24" s="2"/>
      <c r="U24" s="2">
        <v>4854</v>
      </c>
      <c r="V24" s="2"/>
      <c r="W24" s="2">
        <v>4037</v>
      </c>
      <c r="X24" s="2" t="s">
        <v>334</v>
      </c>
      <c r="Y24" s="2">
        <v>3189</v>
      </c>
      <c r="Z24" s="2"/>
      <c r="AA24" s="2">
        <v>5410</v>
      </c>
      <c r="AB24" s="2"/>
      <c r="AC24" s="2">
        <f>Post2020_Derivation!G26</f>
        <v>6336</v>
      </c>
      <c r="AD24" s="2" t="e">
        <f ca="1">IF(Post2020_Derivation!H26="","",Post2020_Derivation!H26)</f>
        <v>#NAME?</v>
      </c>
      <c r="AE24" s="2">
        <f>Post2020_Derivation!M26</f>
        <v>6171</v>
      </c>
      <c r="AF24" s="2" t="e">
        <f ca="1">IF(Post2020_Derivation!N26="","",Post2020_Derivation!N26)</f>
        <v>#NAME?</v>
      </c>
      <c r="AG24" s="2">
        <f>Post2020_Derivation!S26</f>
        <v>6160</v>
      </c>
      <c r="AH24" s="2" t="e">
        <f ca="1">IF(Post2020_Derivation!T26="","",Post2020_Derivation!T26)</f>
        <v>#NAME?</v>
      </c>
    </row>
    <row r="25" spans="1:34">
      <c r="A25" t="s">
        <v>87</v>
      </c>
      <c r="B25" t="s">
        <v>88</v>
      </c>
      <c r="C25" s="2">
        <v>194</v>
      </c>
      <c r="D25" s="2"/>
      <c r="E25" s="2">
        <v>357</v>
      </c>
      <c r="F25" s="2"/>
      <c r="G25" s="2">
        <v>435</v>
      </c>
      <c r="H25" s="2"/>
      <c r="I25" s="2">
        <v>549</v>
      </c>
      <c r="J25" s="2"/>
      <c r="K25" s="2">
        <v>737</v>
      </c>
      <c r="L25" s="2"/>
      <c r="M25" s="2">
        <v>823</v>
      </c>
      <c r="N25" s="2"/>
      <c r="O25" s="2">
        <v>1262</v>
      </c>
      <c r="P25" s="2"/>
      <c r="Q25" s="2">
        <v>1614</v>
      </c>
      <c r="R25" s="2"/>
      <c r="S25" s="2">
        <v>1620</v>
      </c>
      <c r="T25" s="2"/>
      <c r="U25" s="2">
        <v>3057</v>
      </c>
      <c r="V25" s="2"/>
      <c r="W25" s="2">
        <v>4785</v>
      </c>
      <c r="X25" s="2" t="s">
        <v>334</v>
      </c>
      <c r="Y25" s="2">
        <v>6649</v>
      </c>
      <c r="Z25" s="2"/>
      <c r="AA25" s="2">
        <v>7148</v>
      </c>
      <c r="AB25" s="2"/>
      <c r="AC25" s="2">
        <f>Post2020_Derivation!G27</f>
        <v>7585</v>
      </c>
      <c r="AD25" s="2" t="e">
        <f ca="1">IF(Post2020_Derivation!H27="","",Post2020_Derivation!H27)</f>
        <v>#NAME?</v>
      </c>
      <c r="AE25" s="2">
        <f>Post2020_Derivation!M27</f>
        <v>6475</v>
      </c>
      <c r="AF25" s="2" t="e">
        <f ca="1">IF(Post2020_Derivation!N27="","",Post2020_Derivation!N27)</f>
        <v>#NAME?</v>
      </c>
      <c r="AG25" s="2">
        <f>Post2020_Derivation!S27</f>
        <v>6510</v>
      </c>
      <c r="AH25" s="2" t="e">
        <f ca="1">IF(Post2020_Derivation!T27="","",Post2020_Derivation!T27)</f>
        <v>#NAME?</v>
      </c>
    </row>
    <row r="26" spans="1:34">
      <c r="A26" t="s">
        <v>89</v>
      </c>
      <c r="B26" t="s">
        <v>90</v>
      </c>
      <c r="C26" s="2">
        <v>159267</v>
      </c>
      <c r="D26" s="2" t="s">
        <v>846</v>
      </c>
      <c r="E26" s="2">
        <v>137732</v>
      </c>
      <c r="F26" s="2"/>
      <c r="G26" s="2">
        <v>139129</v>
      </c>
      <c r="H26" s="2"/>
      <c r="I26" s="2">
        <v>147552</v>
      </c>
      <c r="J26" s="2"/>
      <c r="K26" s="2">
        <v>143227</v>
      </c>
      <c r="L26" s="2"/>
      <c r="M26" s="2">
        <v>142556</v>
      </c>
      <c r="N26" s="2"/>
      <c r="O26" s="2">
        <v>148509</v>
      </c>
      <c r="P26" s="2"/>
      <c r="Q26" s="2">
        <v>159126</v>
      </c>
      <c r="R26" s="2"/>
      <c r="S26" s="2">
        <v>168427</v>
      </c>
      <c r="T26" s="2"/>
      <c r="U26" s="2">
        <v>177127</v>
      </c>
      <c r="V26" s="2"/>
      <c r="W26" s="2">
        <v>181486</v>
      </c>
      <c r="X26" s="2"/>
      <c r="Y26" s="2">
        <v>181861</v>
      </c>
      <c r="Z26" s="2"/>
      <c r="AA26" s="2">
        <v>175470</v>
      </c>
      <c r="AB26" s="2"/>
      <c r="AC26" s="2">
        <f>Post2020_Derivation!G28</f>
        <v>174384</v>
      </c>
      <c r="AD26" s="2" t="e">
        <f ca="1">IF(Post2020_Derivation!H28="","",Post2020_Derivation!H28)</f>
        <v>#NAME?</v>
      </c>
      <c r="AE26" s="2">
        <f>Post2020_Derivation!M28</f>
        <v>172000</v>
      </c>
      <c r="AF26" s="2" t="e">
        <f ca="1">IF(Post2020_Derivation!N28="","",Post2020_Derivation!N28)</f>
        <v>#NAME?</v>
      </c>
      <c r="AG26" s="2">
        <f>Post2020_Derivation!S28</f>
        <v>172720</v>
      </c>
      <c r="AH26" s="2" t="e">
        <f ca="1">IF(Post2020_Derivation!T28="","",Post2020_Derivation!T28)</f>
        <v>#NAME?</v>
      </c>
    </row>
    <row r="27" spans="1:34">
      <c r="A27" t="s">
        <v>91</v>
      </c>
      <c r="B27" t="s">
        <v>92</v>
      </c>
      <c r="C27" s="2">
        <v>159267</v>
      </c>
      <c r="D27" s="2" t="s">
        <v>846</v>
      </c>
      <c r="E27" s="2">
        <v>137732</v>
      </c>
      <c r="F27" s="2"/>
      <c r="G27" s="2">
        <v>139129</v>
      </c>
      <c r="H27" s="2"/>
      <c r="I27" s="2">
        <v>147552</v>
      </c>
      <c r="J27" s="2"/>
      <c r="K27" s="2">
        <v>143227</v>
      </c>
      <c r="L27" s="2"/>
      <c r="M27" s="2">
        <v>142556</v>
      </c>
      <c r="N27" s="2"/>
      <c r="O27" s="2">
        <v>148509</v>
      </c>
      <c r="P27" s="2"/>
      <c r="Q27" s="2">
        <v>159126</v>
      </c>
      <c r="R27" s="2"/>
      <c r="S27" s="2">
        <v>168427</v>
      </c>
      <c r="T27" s="2"/>
      <c r="U27" s="2">
        <v>177127</v>
      </c>
      <c r="V27" s="2"/>
      <c r="W27" s="2">
        <v>181486</v>
      </c>
      <c r="X27" s="2"/>
      <c r="Y27" s="2">
        <v>181861</v>
      </c>
      <c r="Z27" s="2"/>
      <c r="AA27" s="2">
        <v>175470</v>
      </c>
      <c r="AB27" s="2"/>
      <c r="AC27" s="2">
        <f>Post2020_Derivation!G29</f>
        <v>174384</v>
      </c>
      <c r="AD27" s="2" t="e">
        <f ca="1">IF(Post2020_Derivation!H29="","",Post2020_Derivation!H29)</f>
        <v>#NAME?</v>
      </c>
      <c r="AE27" s="2">
        <f>Post2020_Derivation!M29</f>
        <v>172000</v>
      </c>
      <c r="AF27" s="2" t="e">
        <f ca="1">IF(Post2020_Derivation!N29="","",Post2020_Derivation!N29)</f>
        <v>#NAME?</v>
      </c>
      <c r="AG27" s="2">
        <f>Post2020_Derivation!S29</f>
        <v>172720</v>
      </c>
      <c r="AH27" s="2" t="e">
        <f ca="1">IF(Post2020_Derivation!T29="","",Post2020_Derivation!T29)</f>
        <v>#NAME?</v>
      </c>
    </row>
    <row r="28" spans="1:34">
      <c r="A28" t="s">
        <v>93</v>
      </c>
      <c r="B28" t="s">
        <v>94</v>
      </c>
      <c r="C28" s="2">
        <v>2874</v>
      </c>
      <c r="D28" s="2" t="s">
        <v>846</v>
      </c>
      <c r="E28" s="2">
        <v>2383</v>
      </c>
      <c r="F28" s="2"/>
      <c r="G28" s="2">
        <v>1794</v>
      </c>
      <c r="H28" s="2"/>
      <c r="I28" s="2">
        <v>1662</v>
      </c>
      <c r="J28" s="2"/>
      <c r="K28" s="2">
        <v>1582</v>
      </c>
      <c r="L28" s="2"/>
      <c r="M28" s="2">
        <v>1647</v>
      </c>
      <c r="N28" s="2"/>
      <c r="O28" s="2">
        <v>909</v>
      </c>
      <c r="P28" s="2"/>
      <c r="Q28" s="2">
        <v>2035</v>
      </c>
      <c r="R28" s="2"/>
      <c r="S28" s="2">
        <v>1392</v>
      </c>
      <c r="T28" s="2"/>
      <c r="U28" s="2">
        <v>2779</v>
      </c>
      <c r="V28" s="2"/>
      <c r="W28" s="2">
        <v>2784</v>
      </c>
      <c r="X28" s="2"/>
      <c r="Y28" s="2">
        <v>2397</v>
      </c>
      <c r="Z28" s="2"/>
      <c r="AA28" s="2">
        <v>2311</v>
      </c>
      <c r="AB28" s="2"/>
      <c r="AC28" s="2">
        <f>Post2020_Derivation!G30</f>
        <v>1908</v>
      </c>
      <c r="AD28" s="2" t="e">
        <f ca="1">IF(Post2020_Derivation!H30="","",Post2020_Derivation!H30)</f>
        <v>#NAME?</v>
      </c>
      <c r="AE28" s="2">
        <f>Post2020_Derivation!M30</f>
        <v>3572</v>
      </c>
      <c r="AF28" s="2" t="e">
        <f ca="1">IF(Post2020_Derivation!N30="","",Post2020_Derivation!N30)</f>
        <v>#NAME?</v>
      </c>
      <c r="AG28" s="2">
        <f>Post2020_Derivation!S30</f>
        <v>3008</v>
      </c>
      <c r="AH28" s="2" t="e">
        <f ca="1">IF(Post2020_Derivation!T30="","",Post2020_Derivation!T30)</f>
        <v>#NAME?</v>
      </c>
    </row>
    <row r="29" spans="1:34">
      <c r="A29" t="s">
        <v>95</v>
      </c>
      <c r="B29" t="s">
        <v>96</v>
      </c>
      <c r="C29" s="2">
        <v>41774</v>
      </c>
      <c r="D29" s="2" t="s">
        <v>846</v>
      </c>
      <c r="E29" s="2">
        <v>38567</v>
      </c>
      <c r="F29" s="2"/>
      <c r="G29" s="2">
        <v>38223</v>
      </c>
      <c r="H29" s="2"/>
      <c r="I29" s="2">
        <v>42292</v>
      </c>
      <c r="J29" s="2"/>
      <c r="K29" s="2">
        <v>40165</v>
      </c>
      <c r="L29" s="2"/>
      <c r="M29" s="2">
        <v>39447</v>
      </c>
      <c r="N29" s="2"/>
      <c r="O29" s="2">
        <v>41983</v>
      </c>
      <c r="P29" s="2"/>
      <c r="Q29" s="2">
        <v>43888</v>
      </c>
      <c r="R29" s="2"/>
      <c r="S29" s="2">
        <v>45706</v>
      </c>
      <c r="T29" s="2"/>
      <c r="U29" s="2">
        <v>46151</v>
      </c>
      <c r="V29" s="2"/>
      <c r="W29" s="2">
        <v>46906</v>
      </c>
      <c r="X29" s="2"/>
      <c r="Y29" s="2">
        <v>47312</v>
      </c>
      <c r="Z29" s="2"/>
      <c r="AA29" s="2">
        <v>47537</v>
      </c>
      <c r="AB29" s="2"/>
      <c r="AC29" s="2">
        <f>Post2020_Derivation!G31</f>
        <v>48720</v>
      </c>
      <c r="AD29" s="2" t="e">
        <f ca="1">IF(Post2020_Derivation!H31="","",Post2020_Derivation!H31)</f>
        <v>#NAME?</v>
      </c>
      <c r="AE29" s="2">
        <f>Post2020_Derivation!M31</f>
        <v>47040</v>
      </c>
      <c r="AF29" s="2" t="e">
        <f ca="1">IF(Post2020_Derivation!N31="","",Post2020_Derivation!N31)</f>
        <v>#NAME?</v>
      </c>
      <c r="AG29" s="2">
        <f>Post2020_Derivation!S31</f>
        <v>47508</v>
      </c>
      <c r="AH29" s="2" t="e">
        <f ca="1">IF(Post2020_Derivation!T31="","",Post2020_Derivation!T31)</f>
        <v>#NAME?</v>
      </c>
    </row>
    <row r="30" spans="1:34">
      <c r="A30" t="s">
        <v>97</v>
      </c>
      <c r="B30" t="s">
        <v>98</v>
      </c>
      <c r="C30" s="2">
        <v>23685</v>
      </c>
      <c r="D30" s="2" t="s">
        <v>846</v>
      </c>
      <c r="E30" s="2">
        <v>18813</v>
      </c>
      <c r="F30" s="2"/>
      <c r="G30" s="2">
        <v>17962</v>
      </c>
      <c r="H30" s="2"/>
      <c r="I30" s="2">
        <v>18499</v>
      </c>
      <c r="J30" s="2"/>
      <c r="K30" s="2">
        <v>20166</v>
      </c>
      <c r="L30" s="2"/>
      <c r="M30" s="2">
        <v>20533</v>
      </c>
      <c r="N30" s="2"/>
      <c r="O30" s="2">
        <v>22732</v>
      </c>
      <c r="P30" s="2"/>
      <c r="Q30" s="2">
        <v>23450</v>
      </c>
      <c r="R30" s="2"/>
      <c r="S30" s="2">
        <v>24722</v>
      </c>
      <c r="T30" s="2"/>
      <c r="U30" s="2">
        <v>27064</v>
      </c>
      <c r="V30" s="2"/>
      <c r="W30" s="2">
        <v>28012</v>
      </c>
      <c r="X30" s="2"/>
      <c r="Y30" s="2">
        <v>27020</v>
      </c>
      <c r="Z30" s="2"/>
      <c r="AA30" s="2">
        <v>25436</v>
      </c>
      <c r="AB30" s="2"/>
      <c r="AC30" s="2">
        <f>Post2020_Derivation!G32</f>
        <v>26167</v>
      </c>
      <c r="AD30" s="2" t="e">
        <f ca="1">IF(Post2020_Derivation!H32="","",Post2020_Derivation!H32)</f>
        <v>#NAME?</v>
      </c>
      <c r="AE30" s="2">
        <f>Post2020_Derivation!M32</f>
        <v>24500</v>
      </c>
      <c r="AF30" s="2" t="e">
        <f ca="1">IF(Post2020_Derivation!N32="","",Post2020_Derivation!N32)</f>
        <v>#NAME?</v>
      </c>
      <c r="AG30" s="2">
        <f>Post2020_Derivation!S32</f>
        <v>24505</v>
      </c>
      <c r="AH30" s="2" t="e">
        <f ca="1">IF(Post2020_Derivation!T32="","",Post2020_Derivation!T32)</f>
        <v>#NAME?</v>
      </c>
    </row>
    <row r="31" spans="1:34">
      <c r="A31" t="s">
        <v>99</v>
      </c>
      <c r="B31" t="s">
        <v>100</v>
      </c>
      <c r="C31" s="2">
        <v>11293</v>
      </c>
      <c r="D31" s="2" t="s">
        <v>846</v>
      </c>
      <c r="E31" s="2">
        <v>9938</v>
      </c>
      <c r="F31" s="2"/>
      <c r="G31" s="2">
        <v>10097</v>
      </c>
      <c r="H31" s="2"/>
      <c r="I31" s="2">
        <v>11648</v>
      </c>
      <c r="J31" s="2"/>
      <c r="K31" s="2">
        <v>11559</v>
      </c>
      <c r="L31" s="2"/>
      <c r="M31" s="2">
        <v>11833</v>
      </c>
      <c r="N31" s="2"/>
      <c r="O31" s="2">
        <v>11750</v>
      </c>
      <c r="P31" s="2"/>
      <c r="Q31" s="2">
        <v>13393</v>
      </c>
      <c r="R31" s="2"/>
      <c r="S31" s="2">
        <v>14613</v>
      </c>
      <c r="T31" s="2"/>
      <c r="U31" s="2">
        <v>14228</v>
      </c>
      <c r="V31" s="2"/>
      <c r="W31" s="2">
        <v>14186</v>
      </c>
      <c r="X31" s="2"/>
      <c r="Y31" s="2">
        <v>14141</v>
      </c>
      <c r="Z31" s="2"/>
      <c r="AA31" s="2">
        <v>13141</v>
      </c>
      <c r="AB31" s="2"/>
      <c r="AC31" s="2">
        <f>Post2020_Derivation!G33</f>
        <v>11716</v>
      </c>
      <c r="AD31" s="2" t="e">
        <f ca="1">IF(Post2020_Derivation!H33="","",Post2020_Derivation!H33)</f>
        <v>#NAME?</v>
      </c>
      <c r="AE31" s="2">
        <f>Post2020_Derivation!M33</f>
        <v>11712</v>
      </c>
      <c r="AF31" s="2" t="e">
        <f ca="1">IF(Post2020_Derivation!N33="","",Post2020_Derivation!N33)</f>
        <v>#NAME?</v>
      </c>
      <c r="AG31" s="2">
        <f>Post2020_Derivation!S33</f>
        <v>11858</v>
      </c>
      <c r="AH31" s="2" t="e">
        <f ca="1">IF(Post2020_Derivation!T33="","",Post2020_Derivation!T33)</f>
        <v>#NAME?</v>
      </c>
    </row>
    <row r="32" spans="1:34">
      <c r="A32" t="s">
        <v>101</v>
      </c>
      <c r="B32" t="s">
        <v>102</v>
      </c>
      <c r="C32" s="2">
        <v>33672</v>
      </c>
      <c r="D32" s="2" t="s">
        <v>846</v>
      </c>
      <c r="E32" s="2">
        <v>28917</v>
      </c>
      <c r="F32" s="2"/>
      <c r="G32" s="2">
        <v>33085</v>
      </c>
      <c r="H32" s="2"/>
      <c r="I32" s="2">
        <v>31723</v>
      </c>
      <c r="J32" s="2"/>
      <c r="K32" s="2">
        <v>28783</v>
      </c>
      <c r="L32" s="2"/>
      <c r="M32" s="2">
        <v>29973</v>
      </c>
      <c r="N32" s="2"/>
      <c r="O32" s="2">
        <v>31772</v>
      </c>
      <c r="P32" s="2"/>
      <c r="Q32" s="2">
        <v>34736</v>
      </c>
      <c r="R32" s="2"/>
      <c r="S32" s="2">
        <v>37404</v>
      </c>
      <c r="T32" s="2"/>
      <c r="U32" s="2">
        <v>41356</v>
      </c>
      <c r="V32" s="2"/>
      <c r="W32" s="2">
        <v>42261</v>
      </c>
      <c r="X32" s="2"/>
      <c r="Y32" s="2">
        <v>43915</v>
      </c>
      <c r="Z32" s="2"/>
      <c r="AA32" s="2">
        <v>41768</v>
      </c>
      <c r="AB32" s="2"/>
      <c r="AC32" s="2">
        <f>Post2020_Derivation!G34</f>
        <v>42419</v>
      </c>
      <c r="AD32" s="2" t="e">
        <f ca="1">IF(Post2020_Derivation!H34="","",Post2020_Derivation!H34)</f>
        <v>#NAME?</v>
      </c>
      <c r="AE32" s="2">
        <f>Post2020_Derivation!M34</f>
        <v>41181</v>
      </c>
      <c r="AF32" s="2" t="e">
        <f ca="1">IF(Post2020_Derivation!N34="","",Post2020_Derivation!N34)</f>
        <v>#NAME?</v>
      </c>
      <c r="AG32" s="2">
        <f>Post2020_Derivation!S34</f>
        <v>39976</v>
      </c>
      <c r="AH32" s="2" t="e">
        <f ca="1">IF(Post2020_Derivation!T34="","",Post2020_Derivation!T34)</f>
        <v>#NAME?</v>
      </c>
    </row>
    <row r="33" spans="1:34">
      <c r="A33" t="s">
        <v>103</v>
      </c>
      <c r="B33" t="s">
        <v>104</v>
      </c>
      <c r="C33" s="2">
        <v>17439</v>
      </c>
      <c r="D33" s="2" t="s">
        <v>846</v>
      </c>
      <c r="E33" s="2">
        <v>14277</v>
      </c>
      <c r="F33" s="2"/>
      <c r="G33" s="2">
        <v>13176</v>
      </c>
      <c r="H33" s="2"/>
      <c r="I33" s="2">
        <v>14326</v>
      </c>
      <c r="J33" s="2"/>
      <c r="K33" s="2">
        <v>13365</v>
      </c>
      <c r="L33" s="2"/>
      <c r="M33" s="2">
        <v>13209</v>
      </c>
      <c r="N33" s="2"/>
      <c r="O33" s="2">
        <v>13348</v>
      </c>
      <c r="P33" s="2"/>
      <c r="Q33" s="2">
        <v>13479</v>
      </c>
      <c r="R33" s="2"/>
      <c r="S33" s="2">
        <v>13337</v>
      </c>
      <c r="T33" s="2"/>
      <c r="U33" s="2">
        <v>13455</v>
      </c>
      <c r="V33" s="2"/>
      <c r="W33" s="2">
        <v>14254</v>
      </c>
      <c r="X33" s="2"/>
      <c r="Y33" s="2">
        <v>14331</v>
      </c>
      <c r="Z33" s="2"/>
      <c r="AA33" s="2">
        <v>13835</v>
      </c>
      <c r="AB33" s="2"/>
      <c r="AC33" s="2">
        <f>Post2020_Derivation!G35</f>
        <v>14364</v>
      </c>
      <c r="AD33" s="2" t="e">
        <f ca="1">IF(Post2020_Derivation!H35="","",Post2020_Derivation!H35)</f>
        <v>#NAME?</v>
      </c>
      <c r="AE33" s="2">
        <f>Post2020_Derivation!M35</f>
        <v>13632</v>
      </c>
      <c r="AF33" s="2" t="e">
        <f ca="1">IF(Post2020_Derivation!N35="","",Post2020_Derivation!N35)</f>
        <v>#NAME?</v>
      </c>
      <c r="AG33" s="2">
        <f>Post2020_Derivation!S35</f>
        <v>13920</v>
      </c>
      <c r="AH33" s="2" t="e">
        <f ca="1">IF(Post2020_Derivation!T35="","",Post2020_Derivation!T35)</f>
        <v>#NAME?</v>
      </c>
    </row>
    <row r="34" spans="1:34">
      <c r="A34" t="s">
        <v>105</v>
      </c>
      <c r="B34" t="s">
        <v>106</v>
      </c>
      <c r="C34" s="2">
        <v>8920</v>
      </c>
      <c r="D34" s="2" t="s">
        <v>846</v>
      </c>
      <c r="E34" s="2">
        <v>6499</v>
      </c>
      <c r="F34" s="2"/>
      <c r="G34" s="2">
        <v>6216</v>
      </c>
      <c r="H34" s="2"/>
      <c r="I34" s="2">
        <v>7495</v>
      </c>
      <c r="J34" s="2"/>
      <c r="K34" s="2">
        <v>7486</v>
      </c>
      <c r="L34" s="2"/>
      <c r="M34" s="2">
        <v>7066</v>
      </c>
      <c r="N34" s="2"/>
      <c r="O34" s="2">
        <v>6982</v>
      </c>
      <c r="P34" s="2"/>
      <c r="Q34" s="2">
        <v>7564</v>
      </c>
      <c r="R34" s="2"/>
      <c r="S34" s="2">
        <v>8209</v>
      </c>
      <c r="T34" s="2"/>
      <c r="U34" s="2">
        <v>7947</v>
      </c>
      <c r="V34" s="2"/>
      <c r="W34" s="2">
        <v>7599</v>
      </c>
      <c r="X34" s="2"/>
      <c r="Y34" s="2">
        <v>7321</v>
      </c>
      <c r="Z34" s="2"/>
      <c r="AA34" s="2">
        <v>7075</v>
      </c>
      <c r="AB34" s="2"/>
      <c r="AC34" s="2">
        <f>Post2020_Derivation!G36</f>
        <v>6604</v>
      </c>
      <c r="AD34" s="2" t="e">
        <f ca="1">IF(Post2020_Derivation!H36="","",Post2020_Derivation!H36)</f>
        <v>#NAME?</v>
      </c>
      <c r="AE34" s="2">
        <f>Post2020_Derivation!M36</f>
        <v>7192</v>
      </c>
      <c r="AF34" s="2" t="e">
        <f ca="1">IF(Post2020_Derivation!N36="","",Post2020_Derivation!N36)</f>
        <v>#NAME?</v>
      </c>
      <c r="AG34" s="2">
        <f>Post2020_Derivation!S36</f>
        <v>7139</v>
      </c>
      <c r="AH34" s="2" t="e">
        <f ca="1">IF(Post2020_Derivation!T36="","",Post2020_Derivation!T36)</f>
        <v>#NAME?</v>
      </c>
    </row>
    <row r="35" spans="1:34">
      <c r="A35" t="s">
        <v>107</v>
      </c>
      <c r="B35" t="s">
        <v>108</v>
      </c>
      <c r="C35" s="2">
        <v>19609</v>
      </c>
      <c r="D35" s="2" t="s">
        <v>846</v>
      </c>
      <c r="E35" s="2">
        <v>18339</v>
      </c>
      <c r="F35" s="2"/>
      <c r="G35" s="2">
        <v>18575</v>
      </c>
      <c r="H35" s="2"/>
      <c r="I35" s="2">
        <v>19906</v>
      </c>
      <c r="J35" s="2"/>
      <c r="K35" s="2">
        <v>20122</v>
      </c>
      <c r="L35" s="2"/>
      <c r="M35" s="2">
        <v>18848</v>
      </c>
      <c r="N35" s="2"/>
      <c r="O35" s="2">
        <v>19033</v>
      </c>
      <c r="P35" s="2"/>
      <c r="Q35" s="2">
        <v>20582</v>
      </c>
      <c r="R35" s="2"/>
      <c r="S35" s="2">
        <v>23046</v>
      </c>
      <c r="T35" s="2"/>
      <c r="U35" s="2">
        <v>24146</v>
      </c>
      <c r="V35" s="2"/>
      <c r="W35" s="2">
        <v>25483</v>
      </c>
      <c r="X35" s="2"/>
      <c r="Y35" s="2">
        <v>25424</v>
      </c>
      <c r="Z35" s="2"/>
      <c r="AA35" s="2">
        <v>24368</v>
      </c>
      <c r="AB35" s="2"/>
      <c r="AC35" s="2">
        <f>Post2020_Derivation!G37</f>
        <v>23324</v>
      </c>
      <c r="AD35" s="2" t="e">
        <f ca="1">IF(Post2020_Derivation!H37="","",Post2020_Derivation!H37)</f>
        <v>#NAME?</v>
      </c>
      <c r="AE35" s="2">
        <f>Post2020_Derivation!M37</f>
        <v>23436</v>
      </c>
      <c r="AF35" s="2" t="e">
        <f ca="1">IF(Post2020_Derivation!N37="","",Post2020_Derivation!N37)</f>
        <v>#NAME?</v>
      </c>
      <c r="AG35" s="2">
        <f>Post2020_Derivation!S37</f>
        <v>24250</v>
      </c>
      <c r="AH35" s="2" t="e">
        <f ca="1">IF(Post2020_Derivation!T37="","",Post2020_Derivation!T37)</f>
        <v>#NAME?</v>
      </c>
    </row>
    <row r="36" spans="1:34">
      <c r="A36" t="s">
        <v>109</v>
      </c>
      <c r="B36" t="s">
        <v>68</v>
      </c>
      <c r="C36" s="2">
        <v>0</v>
      </c>
      <c r="D36" s="2" t="s">
        <v>846</v>
      </c>
      <c r="E36" s="2">
        <v>0</v>
      </c>
      <c r="F36" s="2"/>
      <c r="G36" s="2">
        <v>0</v>
      </c>
      <c r="H36" s="2"/>
      <c r="I36" s="2">
        <v>0</v>
      </c>
      <c r="J36" s="2"/>
      <c r="K36" s="2">
        <v>0</v>
      </c>
      <c r="L36" s="2"/>
      <c r="M36" s="2" t="s">
        <v>43</v>
      </c>
      <c r="N36" s="2"/>
      <c r="O36" s="2" t="s">
        <v>43</v>
      </c>
      <c r="P36" s="2"/>
      <c r="Q36" s="2" t="s">
        <v>43</v>
      </c>
      <c r="R36" s="2"/>
      <c r="S36" s="2" t="s">
        <v>43</v>
      </c>
      <c r="T36" s="2"/>
      <c r="U36" s="2">
        <v>0</v>
      </c>
      <c r="V36" s="2"/>
      <c r="W36" s="2">
        <v>0</v>
      </c>
      <c r="X36" s="2"/>
      <c r="Y36" s="2" t="s">
        <v>43</v>
      </c>
      <c r="Z36" s="2"/>
      <c r="AA36" s="2" t="s">
        <v>43</v>
      </c>
      <c r="AB36" s="2"/>
      <c r="AC36" s="2" t="str">
        <f>Post2020_Derivation!G38</f>
        <v/>
      </c>
      <c r="AD36" s="2" t="e">
        <f ca="1">IF(Post2020_Derivation!H38="","",Post2020_Derivation!H38)</f>
        <v>#NAME?</v>
      </c>
      <c r="AE36" s="2" t="str">
        <f>Post2020_Derivation!M38</f>
        <v/>
      </c>
      <c r="AF36" s="2" t="e">
        <f ca="1">IF(Post2020_Derivation!N38="","",Post2020_Derivation!N38)</f>
        <v>#NAME?</v>
      </c>
      <c r="AG36" s="2" t="str">
        <f>Post2020_Derivation!S38</f>
        <v/>
      </c>
      <c r="AH36" s="2" t="e">
        <f ca="1">IF(Post2020_Derivation!T38="","",Post2020_Derivation!T38)</f>
        <v>#NAME?</v>
      </c>
    </row>
    <row r="37" spans="1:34">
      <c r="A37" t="s">
        <v>110</v>
      </c>
      <c r="B37" t="s">
        <v>70</v>
      </c>
      <c r="C37" s="2">
        <v>0</v>
      </c>
      <c r="D37" s="2" t="s">
        <v>846</v>
      </c>
      <c r="E37" s="2">
        <v>0</v>
      </c>
      <c r="F37" s="2"/>
      <c r="G37" s="2">
        <v>0</v>
      </c>
      <c r="H37" s="2"/>
      <c r="I37" s="2">
        <v>0</v>
      </c>
      <c r="J37" s="2"/>
      <c r="K37" s="2">
        <v>0</v>
      </c>
      <c r="L37" s="2"/>
      <c r="M37" s="2" t="s">
        <v>43</v>
      </c>
      <c r="N37" s="2"/>
      <c r="O37" s="2" t="s">
        <v>43</v>
      </c>
      <c r="P37" s="2"/>
      <c r="Q37" s="2" t="s">
        <v>43</v>
      </c>
      <c r="R37" s="2"/>
      <c r="S37" s="2" t="s">
        <v>43</v>
      </c>
      <c r="T37" s="2"/>
      <c r="U37" s="2">
        <v>0</v>
      </c>
      <c r="V37" s="2"/>
      <c r="W37" s="2">
        <v>0</v>
      </c>
      <c r="X37" s="2"/>
      <c r="Y37" s="2" t="s">
        <v>43</v>
      </c>
      <c r="Z37" s="2"/>
      <c r="AA37" s="2" t="s">
        <v>43</v>
      </c>
      <c r="AB37" s="2"/>
      <c r="AC37" s="2" t="str">
        <f>Post2020_Derivation!G39</f>
        <v/>
      </c>
      <c r="AD37" s="2" t="e">
        <f ca="1">IF(Post2020_Derivation!H39="","",Post2020_Derivation!H39)</f>
        <v>#NAME?</v>
      </c>
      <c r="AE37" s="2" t="str">
        <f>Post2020_Derivation!M39</f>
        <v/>
      </c>
      <c r="AF37" s="2" t="e">
        <f ca="1">IF(Post2020_Derivation!N39="","",Post2020_Derivation!N39)</f>
        <v>#NAME?</v>
      </c>
      <c r="AG37" s="2" t="str">
        <f>Post2020_Derivation!S39</f>
        <v/>
      </c>
      <c r="AH37" s="2" t="e">
        <f ca="1">IF(Post2020_Derivation!T39="","",Post2020_Derivation!T39)</f>
        <v>#NAME?</v>
      </c>
    </row>
    <row r="38" spans="1:34">
      <c r="A38" t="s">
        <v>111</v>
      </c>
      <c r="B38" t="s">
        <v>112</v>
      </c>
      <c r="C38" s="2">
        <v>6832</v>
      </c>
      <c r="D38" s="2"/>
      <c r="E38" s="2">
        <v>4494</v>
      </c>
      <c r="F38" s="2"/>
      <c r="G38" s="2">
        <v>4507</v>
      </c>
      <c r="H38" s="2"/>
      <c r="I38" s="2">
        <v>5980</v>
      </c>
      <c r="J38" s="2"/>
      <c r="K38" s="2">
        <v>5143</v>
      </c>
      <c r="L38" s="2"/>
      <c r="M38" s="2">
        <v>4625</v>
      </c>
      <c r="N38" s="2"/>
      <c r="O38" s="2">
        <v>4710</v>
      </c>
      <c r="P38" s="2"/>
      <c r="Q38" s="2">
        <v>4843</v>
      </c>
      <c r="R38" s="2"/>
      <c r="S38" s="2">
        <v>4005</v>
      </c>
      <c r="T38" s="2" t="s">
        <v>334</v>
      </c>
      <c r="U38" s="2">
        <v>4079</v>
      </c>
      <c r="V38" s="2"/>
      <c r="W38" s="2">
        <v>4324</v>
      </c>
      <c r="X38" s="2"/>
      <c r="Y38" s="2">
        <v>3818</v>
      </c>
      <c r="Z38" s="2"/>
      <c r="AA38" s="2">
        <v>3632</v>
      </c>
      <c r="AB38" s="2"/>
      <c r="AC38" s="2">
        <f>Post2020_Derivation!G40</f>
        <v>3749</v>
      </c>
      <c r="AD38" s="2" t="e">
        <f ca="1">IF(Post2020_Derivation!H40="","",Post2020_Derivation!H40)</f>
        <v>#NAME?</v>
      </c>
      <c r="AE38" s="2">
        <f>Post2020_Derivation!M40</f>
        <v>3888</v>
      </c>
      <c r="AF38" s="2" t="e">
        <f ca="1">IF(Post2020_Derivation!N40="","",Post2020_Derivation!N40)</f>
        <v>#NAME?</v>
      </c>
      <c r="AG38" s="2">
        <f>Post2020_Derivation!S40</f>
        <v>3950</v>
      </c>
      <c r="AH38" s="2" t="e">
        <f ca="1">IF(Post2020_Derivation!T40="","",Post2020_Derivation!T40)</f>
        <v>#NAME?</v>
      </c>
    </row>
    <row r="39" spans="1:34">
      <c r="A39" t="s">
        <v>113</v>
      </c>
      <c r="B39" t="s">
        <v>114</v>
      </c>
      <c r="C39" s="2">
        <v>6832</v>
      </c>
      <c r="D39" s="2"/>
      <c r="E39" s="2">
        <v>4494</v>
      </c>
      <c r="F39" s="2"/>
      <c r="G39" s="2">
        <v>4507</v>
      </c>
      <c r="H39" s="2"/>
      <c r="I39" s="2">
        <v>5980</v>
      </c>
      <c r="J39" s="2"/>
      <c r="K39" s="2">
        <v>5143</v>
      </c>
      <c r="L39" s="2"/>
      <c r="M39" s="2">
        <v>4625</v>
      </c>
      <c r="N39" s="2"/>
      <c r="O39" s="2">
        <v>4710</v>
      </c>
      <c r="P39" s="2"/>
      <c r="Q39" s="2">
        <v>4843</v>
      </c>
      <c r="R39" s="2"/>
      <c r="S39" s="2">
        <v>4005</v>
      </c>
      <c r="T39" s="2" t="s">
        <v>334</v>
      </c>
      <c r="U39" s="2">
        <v>4079</v>
      </c>
      <c r="V39" s="2"/>
      <c r="W39" s="2">
        <v>4324</v>
      </c>
      <c r="X39" s="2"/>
      <c r="Y39" s="2">
        <v>3818</v>
      </c>
      <c r="Z39" s="2"/>
      <c r="AA39" s="2">
        <v>3632</v>
      </c>
      <c r="AB39" s="2"/>
      <c r="AC39" s="2">
        <f>Post2020_Derivation!G41</f>
        <v>3749</v>
      </c>
      <c r="AD39" s="2" t="e">
        <f ca="1">IF(Post2020_Derivation!H41="","",Post2020_Derivation!H41)</f>
        <v>#NAME?</v>
      </c>
      <c r="AE39" s="2">
        <f>Post2020_Derivation!M41</f>
        <v>3888</v>
      </c>
      <c r="AF39" s="2" t="e">
        <f ca="1">IF(Post2020_Derivation!N41="","",Post2020_Derivation!N41)</f>
        <v>#NAME?</v>
      </c>
      <c r="AG39" s="2">
        <f>Post2020_Derivation!S41</f>
        <v>3950</v>
      </c>
      <c r="AH39" s="2" t="e">
        <f ca="1">IF(Post2020_Derivation!T41="","",Post2020_Derivation!T41)</f>
        <v>#NAME?</v>
      </c>
    </row>
    <row r="40" spans="1:34">
      <c r="A40" t="s">
        <v>115</v>
      </c>
      <c r="B40" t="s">
        <v>116</v>
      </c>
      <c r="C40" s="2">
        <v>203</v>
      </c>
      <c r="D40" s="2"/>
      <c r="E40" s="2">
        <v>120</v>
      </c>
      <c r="F40" s="2"/>
      <c r="G40" s="2">
        <v>128</v>
      </c>
      <c r="H40" s="2"/>
      <c r="I40" s="2" t="s">
        <v>43</v>
      </c>
      <c r="J40" s="2" t="s">
        <v>44</v>
      </c>
      <c r="K40" s="2" t="s">
        <v>43</v>
      </c>
      <c r="L40" s="2" t="s">
        <v>44</v>
      </c>
      <c r="M40" s="2" t="s">
        <v>43</v>
      </c>
      <c r="N40" s="2" t="s">
        <v>44</v>
      </c>
      <c r="O40" s="2" t="s">
        <v>43</v>
      </c>
      <c r="P40" s="2" t="s">
        <v>44</v>
      </c>
      <c r="Q40" s="2" t="s">
        <v>43</v>
      </c>
      <c r="R40" s="2" t="s">
        <v>44</v>
      </c>
      <c r="S40" s="2">
        <v>291</v>
      </c>
      <c r="T40" s="2" t="s">
        <v>334</v>
      </c>
      <c r="U40" s="2" t="s">
        <v>43</v>
      </c>
      <c r="V40" s="2" t="s">
        <v>44</v>
      </c>
      <c r="W40" s="2" t="s">
        <v>43</v>
      </c>
      <c r="X40" s="2" t="s">
        <v>44</v>
      </c>
      <c r="Y40" s="2">
        <v>361</v>
      </c>
      <c r="Z40" s="2"/>
      <c r="AA40" s="2">
        <v>295</v>
      </c>
      <c r="AB40" s="2"/>
      <c r="AC40" s="2">
        <f>Post2020_Derivation!G42</f>
        <v>288</v>
      </c>
      <c r="AD40" s="2" t="e">
        <f ca="1">IF(Post2020_Derivation!H42="","",Post2020_Derivation!H42)</f>
        <v>#NAME?</v>
      </c>
      <c r="AE40" s="2">
        <f>Post2020_Derivation!M42</f>
        <v>242</v>
      </c>
      <c r="AF40" s="2" t="e">
        <f ca="1">IF(Post2020_Derivation!N42="","",Post2020_Derivation!N42)</f>
        <v>#NAME?</v>
      </c>
      <c r="AG40" s="2">
        <f>Post2020_Derivation!S42</f>
        <v>220</v>
      </c>
      <c r="AH40" s="2" t="e">
        <f ca="1">IF(Post2020_Derivation!T42="","",Post2020_Derivation!T42)</f>
        <v>#NAME?</v>
      </c>
    </row>
    <row r="41" spans="1:34">
      <c r="A41" t="s">
        <v>117</v>
      </c>
      <c r="B41" t="s">
        <v>118</v>
      </c>
      <c r="C41" s="2">
        <v>462</v>
      </c>
      <c r="D41" s="2"/>
      <c r="E41" s="2">
        <v>345</v>
      </c>
      <c r="F41" s="2"/>
      <c r="G41" s="2">
        <v>287</v>
      </c>
      <c r="H41" s="2"/>
      <c r="I41" s="2" t="s">
        <v>43</v>
      </c>
      <c r="J41" s="2" t="s">
        <v>44</v>
      </c>
      <c r="K41" s="2" t="s">
        <v>43</v>
      </c>
      <c r="L41" s="2" t="s">
        <v>44</v>
      </c>
      <c r="M41" s="2" t="s">
        <v>43</v>
      </c>
      <c r="N41" s="2" t="s">
        <v>44</v>
      </c>
      <c r="O41" s="2" t="s">
        <v>43</v>
      </c>
      <c r="P41" s="2" t="s">
        <v>44</v>
      </c>
      <c r="Q41" s="2" t="s">
        <v>43</v>
      </c>
      <c r="R41" s="2" t="s">
        <v>44</v>
      </c>
      <c r="S41" s="2">
        <v>370</v>
      </c>
      <c r="T41" s="2" t="s">
        <v>334</v>
      </c>
      <c r="U41" s="2" t="s">
        <v>43</v>
      </c>
      <c r="V41" s="2" t="s">
        <v>44</v>
      </c>
      <c r="W41" s="2" t="s">
        <v>43</v>
      </c>
      <c r="X41" s="2" t="s">
        <v>44</v>
      </c>
      <c r="Y41" s="2" t="s">
        <v>43</v>
      </c>
      <c r="Z41" s="2" t="s">
        <v>44</v>
      </c>
      <c r="AA41" s="2">
        <v>426</v>
      </c>
      <c r="AB41" s="2"/>
      <c r="AC41" s="2">
        <f>Post2020_Derivation!G43</f>
        <v>391</v>
      </c>
      <c r="AD41" s="2" t="e">
        <f ca="1">IF(Post2020_Derivation!H43="","",Post2020_Derivation!H43)</f>
        <v>#NAME?</v>
      </c>
      <c r="AE41" s="2">
        <f>Post2020_Derivation!M43</f>
        <v>442</v>
      </c>
      <c r="AF41" s="2" t="e">
        <f ca="1">IF(Post2020_Derivation!N43="","",Post2020_Derivation!N43)</f>
        <v>#NAME?</v>
      </c>
      <c r="AG41" s="2">
        <f>Post2020_Derivation!S43</f>
        <v>493</v>
      </c>
      <c r="AH41" s="2" t="e">
        <f ca="1">IF(Post2020_Derivation!T43="","",Post2020_Derivation!T43)</f>
        <v>#NAME?</v>
      </c>
    </row>
    <row r="42" spans="1:34">
      <c r="A42" t="s">
        <v>119</v>
      </c>
      <c r="B42" t="s">
        <v>120</v>
      </c>
      <c r="C42" s="2">
        <v>2259</v>
      </c>
      <c r="D42" s="2"/>
      <c r="E42" s="2">
        <v>1597</v>
      </c>
      <c r="F42" s="2"/>
      <c r="G42" s="2">
        <v>1626</v>
      </c>
      <c r="H42" s="2"/>
      <c r="I42" s="2">
        <v>2205</v>
      </c>
      <c r="J42" s="2"/>
      <c r="K42" s="2">
        <v>2134</v>
      </c>
      <c r="L42" s="2"/>
      <c r="M42" s="2">
        <v>1653</v>
      </c>
      <c r="N42" s="2"/>
      <c r="O42" s="2">
        <v>1625</v>
      </c>
      <c r="P42" s="2"/>
      <c r="Q42" s="2">
        <v>1715</v>
      </c>
      <c r="R42" s="2"/>
      <c r="S42" s="2">
        <v>1403</v>
      </c>
      <c r="T42" s="2" t="s">
        <v>334</v>
      </c>
      <c r="U42" s="2">
        <v>1449</v>
      </c>
      <c r="V42" s="2"/>
      <c r="W42" s="2">
        <v>1594</v>
      </c>
      <c r="X42" s="2"/>
      <c r="Y42" s="2">
        <v>1396</v>
      </c>
      <c r="Z42" s="2"/>
      <c r="AA42" s="2">
        <v>1379</v>
      </c>
      <c r="AB42" s="2"/>
      <c r="AC42" s="2">
        <f>Post2020_Derivation!G44</f>
        <v>1475</v>
      </c>
      <c r="AD42" s="2" t="e">
        <f ca="1">IF(Post2020_Derivation!H44="","",Post2020_Derivation!H44)</f>
        <v>#NAME?</v>
      </c>
      <c r="AE42" s="2">
        <f>Post2020_Derivation!M44</f>
        <v>1450</v>
      </c>
      <c r="AF42" s="2" t="e">
        <f ca="1">IF(Post2020_Derivation!N44="","",Post2020_Derivation!N44)</f>
        <v>#NAME?</v>
      </c>
      <c r="AG42" s="2">
        <f>Post2020_Derivation!S44</f>
        <v>1440</v>
      </c>
      <c r="AH42" s="2" t="e">
        <f ca="1">IF(Post2020_Derivation!T44="","",Post2020_Derivation!T44)</f>
        <v>#NAME?</v>
      </c>
    </row>
    <row r="43" spans="1:34">
      <c r="A43" t="s">
        <v>121</v>
      </c>
      <c r="B43" t="s">
        <v>122</v>
      </c>
      <c r="C43" s="2">
        <v>3182</v>
      </c>
      <c r="D43" s="2"/>
      <c r="E43" s="2">
        <v>1880</v>
      </c>
      <c r="F43" s="2"/>
      <c r="G43" s="2">
        <v>1868</v>
      </c>
      <c r="H43" s="2"/>
      <c r="I43" s="2">
        <v>2457</v>
      </c>
      <c r="J43" s="2"/>
      <c r="K43" s="2">
        <v>1788</v>
      </c>
      <c r="L43" s="2"/>
      <c r="M43" s="2">
        <v>1643</v>
      </c>
      <c r="N43" s="2"/>
      <c r="O43" s="2">
        <v>1619</v>
      </c>
      <c r="P43" s="2"/>
      <c r="Q43" s="2">
        <v>1731</v>
      </c>
      <c r="R43" s="2"/>
      <c r="S43" s="2">
        <v>1444</v>
      </c>
      <c r="T43" s="2" t="s">
        <v>334</v>
      </c>
      <c r="U43" s="2">
        <v>1496</v>
      </c>
      <c r="V43" s="2"/>
      <c r="W43" s="2">
        <v>1517</v>
      </c>
      <c r="X43" s="2"/>
      <c r="Y43" s="2">
        <v>1207</v>
      </c>
      <c r="Z43" s="2"/>
      <c r="AA43" s="2">
        <v>1100</v>
      </c>
      <c r="AB43" s="2"/>
      <c r="AC43" s="2">
        <f>Post2020_Derivation!G45</f>
        <v>1100</v>
      </c>
      <c r="AD43" s="2" t="e">
        <f ca="1">IF(Post2020_Derivation!H45="","",Post2020_Derivation!H45)</f>
        <v>#NAME?</v>
      </c>
      <c r="AE43" s="2">
        <f>Post2020_Derivation!M45</f>
        <v>1150</v>
      </c>
      <c r="AF43" s="2" t="e">
        <f ca="1">IF(Post2020_Derivation!N45="","",Post2020_Derivation!N45)</f>
        <v>#NAME?</v>
      </c>
      <c r="AG43" s="2">
        <f>Post2020_Derivation!S45</f>
        <v>1392</v>
      </c>
      <c r="AH43" s="2" t="e">
        <f ca="1">IF(Post2020_Derivation!T45="","",Post2020_Derivation!T45)</f>
        <v>#NAME?</v>
      </c>
    </row>
    <row r="44" spans="1:34">
      <c r="A44" t="s">
        <v>123</v>
      </c>
      <c r="B44" t="s">
        <v>124</v>
      </c>
      <c r="C44" s="2">
        <v>725</v>
      </c>
      <c r="D44" s="2"/>
      <c r="E44" s="2">
        <v>553</v>
      </c>
      <c r="F44" s="2"/>
      <c r="G44" s="2">
        <v>598</v>
      </c>
      <c r="H44" s="2"/>
      <c r="I44" s="2">
        <v>740</v>
      </c>
      <c r="J44" s="2"/>
      <c r="K44" s="2">
        <v>568</v>
      </c>
      <c r="L44" s="2"/>
      <c r="M44" s="2">
        <v>665</v>
      </c>
      <c r="N44" s="2"/>
      <c r="O44" s="2">
        <v>729</v>
      </c>
      <c r="P44" s="2"/>
      <c r="Q44" s="2">
        <v>640</v>
      </c>
      <c r="R44" s="2"/>
      <c r="S44" s="2">
        <v>498</v>
      </c>
      <c r="T44" s="2" t="s">
        <v>334</v>
      </c>
      <c r="U44" s="2">
        <v>450</v>
      </c>
      <c r="V44" s="2"/>
      <c r="W44" s="2">
        <v>431</v>
      </c>
      <c r="X44" s="2"/>
      <c r="Y44" s="2" t="s">
        <v>43</v>
      </c>
      <c r="Z44" s="2" t="s">
        <v>44</v>
      </c>
      <c r="AA44" s="2">
        <v>432</v>
      </c>
      <c r="AB44" s="2"/>
      <c r="AC44" s="2">
        <f>Post2020_Derivation!G46</f>
        <v>494</v>
      </c>
      <c r="AD44" s="2" t="e">
        <f ca="1">IF(Post2020_Derivation!H46="","",Post2020_Derivation!H46)</f>
        <v>#NAME?</v>
      </c>
      <c r="AE44" s="2">
        <f>Post2020_Derivation!M46</f>
        <v>510</v>
      </c>
      <c r="AF44" s="2" t="e">
        <f ca="1">IF(Post2020_Derivation!N46="","",Post2020_Derivation!N46)</f>
        <v>#NAME?</v>
      </c>
      <c r="AG44" s="2">
        <f>Post2020_Derivation!S46</f>
        <v>468</v>
      </c>
      <c r="AH44" s="2" t="e">
        <f ca="1">IF(Post2020_Derivation!T46="","",Post2020_Derivation!T46)</f>
        <v>#NAME?</v>
      </c>
    </row>
    <row r="45" spans="1:34">
      <c r="A45" t="s">
        <v>127</v>
      </c>
      <c r="B45" t="s">
        <v>128</v>
      </c>
      <c r="C45" s="2">
        <v>770377</v>
      </c>
      <c r="D45" s="2"/>
      <c r="E45" s="2">
        <v>730167</v>
      </c>
      <c r="F45" s="2" t="s">
        <v>847</v>
      </c>
      <c r="G45" s="2">
        <v>833660</v>
      </c>
      <c r="H45" s="2"/>
      <c r="I45" s="2">
        <v>854313</v>
      </c>
      <c r="J45" s="2"/>
      <c r="K45" s="2">
        <v>869821</v>
      </c>
      <c r="L45" s="2"/>
      <c r="M45" s="2">
        <v>881118</v>
      </c>
      <c r="N45" s="2"/>
      <c r="O45" s="2">
        <v>906279</v>
      </c>
      <c r="P45" s="2"/>
      <c r="Q45" s="2">
        <v>924461</v>
      </c>
      <c r="R45" s="2"/>
      <c r="S45" s="2">
        <v>935492</v>
      </c>
      <c r="T45" s="2"/>
      <c r="U45" s="2">
        <v>946573</v>
      </c>
      <c r="V45" s="2"/>
      <c r="W45" s="2">
        <v>954267</v>
      </c>
      <c r="X45" s="2"/>
      <c r="Y45" s="2">
        <v>949029</v>
      </c>
      <c r="Z45" s="2"/>
      <c r="AA45" s="2">
        <v>914785</v>
      </c>
      <c r="AB45" s="2"/>
      <c r="AC45" s="2">
        <f>Post2020_Derivation!G49</f>
        <v>897885</v>
      </c>
      <c r="AD45" s="2" t="e">
        <f ca="1">IF(Post2020_Derivation!H49="","",Post2020_Derivation!H49)</f>
        <v>#NAME?</v>
      </c>
      <c r="AE45" s="2">
        <f>Post2020_Derivation!M49</f>
        <v>859320</v>
      </c>
      <c r="AF45" s="2" t="e">
        <f ca="1">IF(Post2020_Derivation!N49="","",Post2020_Derivation!N49)</f>
        <v>#NAME?</v>
      </c>
      <c r="AG45" s="2">
        <f>Post2020_Derivation!S49</f>
        <v>847476</v>
      </c>
      <c r="AH45" s="2" t="e">
        <f ca="1">IF(Post2020_Derivation!T49="","",Post2020_Derivation!T49)</f>
        <v>#NAME?</v>
      </c>
    </row>
    <row r="46" spans="1:34">
      <c r="A46" t="s">
        <v>129</v>
      </c>
      <c r="B46" t="s">
        <v>130</v>
      </c>
      <c r="C46" s="2">
        <v>211434</v>
      </c>
      <c r="D46" s="2"/>
      <c r="E46" s="2">
        <v>196417</v>
      </c>
      <c r="F46" s="2" t="s">
        <v>847</v>
      </c>
      <c r="G46" s="2">
        <v>222939</v>
      </c>
      <c r="H46" s="2"/>
      <c r="I46" s="2">
        <v>227731</v>
      </c>
      <c r="J46" s="2"/>
      <c r="K46" s="2">
        <v>231402</v>
      </c>
      <c r="L46" s="2"/>
      <c r="M46" s="2">
        <v>235205</v>
      </c>
      <c r="N46" s="2"/>
      <c r="O46" s="2">
        <v>240267</v>
      </c>
      <c r="P46" s="2"/>
      <c r="Q46" s="2">
        <v>243789</v>
      </c>
      <c r="R46" s="2"/>
      <c r="S46" s="2">
        <v>249379</v>
      </c>
      <c r="T46" s="2"/>
      <c r="U46" s="2">
        <v>252348</v>
      </c>
      <c r="V46" s="2"/>
      <c r="W46" s="2">
        <v>256685</v>
      </c>
      <c r="X46" s="2"/>
      <c r="Y46" s="2">
        <v>258374</v>
      </c>
      <c r="Z46" s="2"/>
      <c r="AA46" s="2">
        <v>242864</v>
      </c>
      <c r="AB46" s="2"/>
      <c r="AC46" s="2">
        <f>Post2020_Derivation!G50</f>
        <v>231000</v>
      </c>
      <c r="AD46" s="2" t="e">
        <f ca="1">IF(Post2020_Derivation!H50="","",Post2020_Derivation!H50)</f>
        <v>#NAME?</v>
      </c>
      <c r="AE46" s="2">
        <f>Post2020_Derivation!M50</f>
        <v>230482</v>
      </c>
      <c r="AF46" s="2" t="e">
        <f ca="1">IF(Post2020_Derivation!N50="","",Post2020_Derivation!N50)</f>
        <v>#NAME?</v>
      </c>
      <c r="AG46" s="2">
        <f>Post2020_Derivation!S50</f>
        <v>228288</v>
      </c>
      <c r="AH46" s="2" t="e">
        <f ca="1">IF(Post2020_Derivation!T50="","",Post2020_Derivation!T50)</f>
        <v>#NAME?</v>
      </c>
    </row>
    <row r="47" spans="1:34">
      <c r="A47" t="s">
        <v>139</v>
      </c>
      <c r="B47" t="s">
        <v>140</v>
      </c>
      <c r="C47" s="2">
        <v>177047</v>
      </c>
      <c r="D47" s="2"/>
      <c r="E47" s="2">
        <v>168593</v>
      </c>
      <c r="F47" s="2" t="s">
        <v>847</v>
      </c>
      <c r="G47" s="2">
        <v>195229</v>
      </c>
      <c r="H47" s="2"/>
      <c r="I47" s="2">
        <v>200232</v>
      </c>
      <c r="J47" s="2"/>
      <c r="K47" s="2">
        <v>204956</v>
      </c>
      <c r="L47" s="2"/>
      <c r="M47" s="2">
        <v>208496</v>
      </c>
      <c r="N47" s="2"/>
      <c r="O47" s="2">
        <v>213952</v>
      </c>
      <c r="P47" s="2"/>
      <c r="Q47" s="2">
        <v>225252</v>
      </c>
      <c r="R47" s="2"/>
      <c r="S47" s="2">
        <v>228485</v>
      </c>
      <c r="T47" s="2"/>
      <c r="U47" s="2">
        <v>232313</v>
      </c>
      <c r="V47" s="2"/>
      <c r="W47" s="2">
        <v>233852</v>
      </c>
      <c r="X47" s="2"/>
      <c r="Y47" s="2">
        <v>232558</v>
      </c>
      <c r="Z47" s="2"/>
      <c r="AA47" s="2">
        <v>228570</v>
      </c>
      <c r="AB47" s="2"/>
      <c r="AC47" s="2">
        <f>Post2020_Derivation!G55</f>
        <v>225246</v>
      </c>
      <c r="AD47" s="2" t="e">
        <f ca="1">IF(Post2020_Derivation!H55="","",Post2020_Derivation!H55)</f>
        <v>#NAME?</v>
      </c>
      <c r="AE47" s="2">
        <f>Post2020_Derivation!M55</f>
        <v>215096</v>
      </c>
      <c r="AF47" s="2" t="e">
        <f ca="1">IF(Post2020_Derivation!N55="","",Post2020_Derivation!N55)</f>
        <v>#NAME?</v>
      </c>
      <c r="AG47" s="2">
        <f>Post2020_Derivation!S55</f>
        <v>212742</v>
      </c>
      <c r="AH47" s="2" t="e">
        <f ca="1">IF(Post2020_Derivation!T55="","",Post2020_Derivation!T55)</f>
        <v>#NAME?</v>
      </c>
    </row>
    <row r="48" spans="1:34">
      <c r="A48" t="s">
        <v>155</v>
      </c>
      <c r="B48" t="s">
        <v>156</v>
      </c>
      <c r="C48" s="2">
        <v>3916</v>
      </c>
      <c r="D48" s="2"/>
      <c r="E48" s="2">
        <v>3631</v>
      </c>
      <c r="F48" s="2" t="s">
        <v>847</v>
      </c>
      <c r="G48" s="2">
        <v>4444</v>
      </c>
      <c r="H48" s="2"/>
      <c r="I48" s="2">
        <v>4233</v>
      </c>
      <c r="J48" s="2"/>
      <c r="K48" s="2">
        <v>4123</v>
      </c>
      <c r="L48" s="2"/>
      <c r="M48" s="2">
        <v>3987</v>
      </c>
      <c r="N48" s="2"/>
      <c r="O48" s="2">
        <v>4016</v>
      </c>
      <c r="P48" s="2"/>
      <c r="Q48" s="2">
        <v>4092</v>
      </c>
      <c r="R48" s="2"/>
      <c r="S48" s="2">
        <v>4061</v>
      </c>
      <c r="T48" s="2"/>
      <c r="U48" s="2">
        <v>4114</v>
      </c>
      <c r="V48" s="2"/>
      <c r="W48" s="2">
        <v>4015</v>
      </c>
      <c r="X48" s="2"/>
      <c r="Y48" s="2">
        <v>3899</v>
      </c>
      <c r="Z48" s="2"/>
      <c r="AA48" s="2" t="s">
        <v>43</v>
      </c>
      <c r="AB48" s="2" t="s">
        <v>44</v>
      </c>
      <c r="AC48" s="2">
        <f>Post2020_Derivation!G63</f>
        <v>3526</v>
      </c>
      <c r="AD48" s="2" t="e">
        <f ca="1">IF(Post2020_Derivation!H63="","",Post2020_Derivation!H63)</f>
        <v>#NAME?</v>
      </c>
      <c r="AE48" s="2">
        <f>Post2020_Derivation!M63</f>
        <v>3344</v>
      </c>
      <c r="AF48" s="2" t="e">
        <f ca="1">IF(Post2020_Derivation!N63="","",Post2020_Derivation!N63)</f>
        <v>#NAME?</v>
      </c>
      <c r="AG48" s="2">
        <f>Post2020_Derivation!S63</f>
        <v>3195</v>
      </c>
      <c r="AH48" s="2" t="e">
        <f ca="1">IF(Post2020_Derivation!T63="","",Post2020_Derivation!T63)</f>
        <v>#NAME?</v>
      </c>
    </row>
    <row r="49" spans="1:34">
      <c r="A49" t="s">
        <v>158</v>
      </c>
      <c r="B49" t="s">
        <v>159</v>
      </c>
      <c r="C49" s="2">
        <v>6351</v>
      </c>
      <c r="D49" s="2"/>
      <c r="E49" s="2">
        <v>5797</v>
      </c>
      <c r="F49" s="2" t="s">
        <v>847</v>
      </c>
      <c r="G49" s="2">
        <v>7362</v>
      </c>
      <c r="H49" s="2"/>
      <c r="I49" s="2">
        <v>7474</v>
      </c>
      <c r="J49" s="2"/>
      <c r="K49" s="2">
        <v>7802</v>
      </c>
      <c r="L49" s="2"/>
      <c r="M49" s="2">
        <v>7531</v>
      </c>
      <c r="N49" s="2"/>
      <c r="O49" s="2">
        <v>7662</v>
      </c>
      <c r="P49" s="2"/>
      <c r="Q49" s="2">
        <v>8114</v>
      </c>
      <c r="R49" s="2"/>
      <c r="S49" s="2">
        <v>8239</v>
      </c>
      <c r="T49" s="2"/>
      <c r="U49" s="2">
        <v>8825</v>
      </c>
      <c r="V49" s="2"/>
      <c r="W49" s="2">
        <v>8511</v>
      </c>
      <c r="X49" s="2"/>
      <c r="Y49" s="2">
        <v>8568</v>
      </c>
      <c r="Z49" s="2"/>
      <c r="AA49" s="2">
        <v>8540</v>
      </c>
      <c r="AB49" s="2"/>
      <c r="AC49" s="2">
        <f>Post2020_Derivation!G65</f>
        <v>15264</v>
      </c>
      <c r="AD49" s="2" t="e">
        <f ca="1">IF(Post2020_Derivation!H65="","",Post2020_Derivation!H65)</f>
        <v>#NAME?</v>
      </c>
      <c r="AE49" s="2">
        <f>Post2020_Derivation!M65</f>
        <v>15428</v>
      </c>
      <c r="AF49" s="2" t="e">
        <f ca="1">IF(Post2020_Derivation!N65="","",Post2020_Derivation!N65)</f>
        <v>#NAME?</v>
      </c>
      <c r="AG49" s="2">
        <f>Post2020_Derivation!S65</f>
        <v>18000</v>
      </c>
      <c r="AH49" s="2" t="e">
        <f ca="1">IF(Post2020_Derivation!T65="","",Post2020_Derivation!T65)</f>
        <v>#NAME?</v>
      </c>
    </row>
    <row r="50" spans="1:34">
      <c r="A50" t="s">
        <v>161</v>
      </c>
      <c r="B50" t="s">
        <v>162</v>
      </c>
      <c r="C50" s="2" t="s">
        <v>43</v>
      </c>
      <c r="D50" s="2" t="s">
        <v>44</v>
      </c>
      <c r="E50" s="2" t="s">
        <v>43</v>
      </c>
      <c r="F50" s="2" t="s">
        <v>852</v>
      </c>
      <c r="G50" s="2" t="s">
        <v>43</v>
      </c>
      <c r="H50" s="2" t="s">
        <v>44</v>
      </c>
      <c r="I50" s="2" t="s">
        <v>43</v>
      </c>
      <c r="J50" s="2" t="s">
        <v>44</v>
      </c>
      <c r="K50" s="2" t="s">
        <v>43</v>
      </c>
      <c r="L50" s="2" t="s">
        <v>44</v>
      </c>
      <c r="M50" s="2" t="s">
        <v>43</v>
      </c>
      <c r="N50" s="2" t="s">
        <v>44</v>
      </c>
      <c r="O50" s="2" t="s">
        <v>43</v>
      </c>
      <c r="P50" s="2" t="s">
        <v>44</v>
      </c>
      <c r="Q50" s="2" t="s">
        <v>43</v>
      </c>
      <c r="R50" s="2" t="s">
        <v>44</v>
      </c>
      <c r="S50" s="2" t="s">
        <v>43</v>
      </c>
      <c r="T50" s="2" t="s">
        <v>44</v>
      </c>
      <c r="U50" s="2">
        <v>19654</v>
      </c>
      <c r="V50" s="2"/>
      <c r="W50" s="2">
        <v>19105</v>
      </c>
      <c r="X50" s="2"/>
      <c r="Y50" s="2">
        <v>17976</v>
      </c>
      <c r="Z50" s="2"/>
      <c r="AA50" s="2" t="s">
        <v>43</v>
      </c>
      <c r="AB50" s="2" t="s">
        <v>44</v>
      </c>
      <c r="AC50" s="2">
        <f>Post2020_Derivation!G67</f>
        <v>16523</v>
      </c>
      <c r="AD50" s="2" t="e">
        <f ca="1">IF(Post2020_Derivation!H67="","",Post2020_Derivation!H67)</f>
        <v>#NAME?</v>
      </c>
      <c r="AE50" s="2">
        <f>Post2020_Derivation!M67</f>
        <v>16414</v>
      </c>
      <c r="AF50" s="2" t="e">
        <f ca="1">IF(Post2020_Derivation!N67="","",Post2020_Derivation!N67)</f>
        <v>#NAME?</v>
      </c>
      <c r="AG50" s="2">
        <f>Post2020_Derivation!S67</f>
        <v>15708</v>
      </c>
      <c r="AH50" s="2" t="e">
        <f ca="1">IF(Post2020_Derivation!T67="","",Post2020_Derivation!T67)</f>
        <v>#NAME?</v>
      </c>
    </row>
    <row r="51" spans="1:34">
      <c r="A51" t="s">
        <v>164</v>
      </c>
      <c r="B51" t="s">
        <v>165</v>
      </c>
      <c r="C51" s="2" t="s">
        <v>43</v>
      </c>
      <c r="D51" s="2" t="s">
        <v>44</v>
      </c>
      <c r="E51" s="2" t="s">
        <v>43</v>
      </c>
      <c r="F51" s="2" t="s">
        <v>852</v>
      </c>
      <c r="G51" s="2" t="s">
        <v>43</v>
      </c>
      <c r="H51" s="2" t="s">
        <v>44</v>
      </c>
      <c r="I51" s="2" t="s">
        <v>43</v>
      </c>
      <c r="J51" s="2" t="s">
        <v>44</v>
      </c>
      <c r="K51" s="2" t="s">
        <v>43</v>
      </c>
      <c r="L51" s="2" t="s">
        <v>44</v>
      </c>
      <c r="M51" s="2" t="s">
        <v>43</v>
      </c>
      <c r="N51" s="2" t="s">
        <v>44</v>
      </c>
      <c r="O51" s="2" t="s">
        <v>43</v>
      </c>
      <c r="P51" s="2" t="s">
        <v>44</v>
      </c>
      <c r="Q51" s="2" t="s">
        <v>43</v>
      </c>
      <c r="R51" s="2" t="s">
        <v>44</v>
      </c>
      <c r="S51" s="2" t="s">
        <v>43</v>
      </c>
      <c r="T51" s="2" t="s">
        <v>44</v>
      </c>
      <c r="U51" s="2" t="s">
        <v>43</v>
      </c>
      <c r="V51" s="2" t="s">
        <v>44</v>
      </c>
      <c r="W51" s="2" t="s">
        <v>43</v>
      </c>
      <c r="X51" s="2" t="s">
        <v>44</v>
      </c>
      <c r="Y51" s="2" t="s">
        <v>43</v>
      </c>
      <c r="Z51" s="2" t="s">
        <v>44</v>
      </c>
      <c r="AA51" s="2" t="s">
        <v>43</v>
      </c>
      <c r="AB51" s="2" t="s">
        <v>44</v>
      </c>
      <c r="AC51" s="2" t="str">
        <f>Post2020_Derivation!G69</f>
        <v/>
      </c>
      <c r="AD51" s="2" t="e">
        <f ca="1">IF(Post2020_Derivation!H69="","",Post2020_Derivation!H69)</f>
        <v>#NAME?</v>
      </c>
      <c r="AE51" s="2" t="str">
        <f>Post2020_Derivation!M69</f>
        <v/>
      </c>
      <c r="AF51" s="2" t="e">
        <f ca="1">IF(Post2020_Derivation!N69="","",Post2020_Derivation!N69)</f>
        <v>#NAME?</v>
      </c>
      <c r="AG51" s="2">
        <f>Post2020_Derivation!S69</f>
        <v>2449</v>
      </c>
      <c r="AH51" s="2" t="e">
        <f ca="1">IF(Post2020_Derivation!T69="","",Post2020_Derivation!T69)</f>
        <v>#NAME?</v>
      </c>
    </row>
    <row r="52" spans="1:34">
      <c r="A52" t="s">
        <v>167</v>
      </c>
      <c r="B52" t="s">
        <v>168</v>
      </c>
      <c r="C52" s="2">
        <v>48613</v>
      </c>
      <c r="D52" s="2"/>
      <c r="E52" s="2">
        <v>47654</v>
      </c>
      <c r="F52" s="2" t="s">
        <v>847</v>
      </c>
      <c r="G52" s="2">
        <v>54165</v>
      </c>
      <c r="H52" s="2"/>
      <c r="I52" s="2">
        <v>55000</v>
      </c>
      <c r="J52" s="2"/>
      <c r="K52" s="2">
        <v>56290</v>
      </c>
      <c r="L52" s="2"/>
      <c r="M52" s="2">
        <v>56621</v>
      </c>
      <c r="N52" s="2"/>
      <c r="O52" s="2">
        <v>57918</v>
      </c>
      <c r="P52" s="2"/>
      <c r="Q52" s="2">
        <v>60202</v>
      </c>
      <c r="R52" s="2"/>
      <c r="S52" s="2">
        <v>60206</v>
      </c>
      <c r="T52" s="2"/>
      <c r="U52" s="2">
        <v>61154</v>
      </c>
      <c r="V52" s="2"/>
      <c r="W52" s="2">
        <v>60665</v>
      </c>
      <c r="X52" s="2"/>
      <c r="Y52" s="2">
        <v>58394</v>
      </c>
      <c r="Z52" s="2"/>
      <c r="AA52" s="2">
        <v>54230</v>
      </c>
      <c r="AB52" s="2"/>
      <c r="AC52" s="2">
        <f>Post2020_Derivation!G71</f>
        <v>51584</v>
      </c>
      <c r="AD52" s="2" t="e">
        <f ca="1">IF(Post2020_Derivation!H71="","",Post2020_Derivation!H71)</f>
        <v>#NAME?</v>
      </c>
      <c r="AE52" s="2">
        <f>Post2020_Derivation!M71</f>
        <v>49032</v>
      </c>
      <c r="AF52" s="2" t="e">
        <f ca="1">IF(Post2020_Derivation!N71="","",Post2020_Derivation!N71)</f>
        <v>#NAME?</v>
      </c>
      <c r="AG52" s="2">
        <f>Post2020_Derivation!S71</f>
        <v>47300</v>
      </c>
      <c r="AH52" s="2" t="e">
        <f ca="1">IF(Post2020_Derivation!T71="","",Post2020_Derivation!T71)</f>
        <v>#NAME?</v>
      </c>
    </row>
    <row r="53" spans="1:34">
      <c r="A53" t="s">
        <v>175</v>
      </c>
      <c r="B53" t="s">
        <v>176</v>
      </c>
      <c r="C53" s="2">
        <v>2381</v>
      </c>
      <c r="D53" s="2"/>
      <c r="E53" s="2">
        <v>2145</v>
      </c>
      <c r="F53" s="2" t="s">
        <v>847</v>
      </c>
      <c r="G53" s="2">
        <v>2519</v>
      </c>
      <c r="H53" s="2"/>
      <c r="I53" s="2">
        <v>2886</v>
      </c>
      <c r="J53" s="2"/>
      <c r="K53" s="2">
        <v>3018</v>
      </c>
      <c r="L53" s="2"/>
      <c r="M53" s="2">
        <v>3068</v>
      </c>
      <c r="N53" s="2"/>
      <c r="O53" s="2">
        <v>3106</v>
      </c>
      <c r="P53" s="2"/>
      <c r="Q53" s="2">
        <v>3076</v>
      </c>
      <c r="R53" s="2"/>
      <c r="S53" s="2">
        <v>3037</v>
      </c>
      <c r="T53" s="2"/>
      <c r="U53" s="2">
        <v>3057</v>
      </c>
      <c r="V53" s="2"/>
      <c r="W53" s="2">
        <v>3870</v>
      </c>
      <c r="X53" s="2"/>
      <c r="Y53" s="2">
        <v>3906</v>
      </c>
      <c r="Z53" s="2"/>
      <c r="AA53" s="2" t="s">
        <v>43</v>
      </c>
      <c r="AB53" s="2" t="s">
        <v>44</v>
      </c>
      <c r="AC53" s="2">
        <f>Post2020_Derivation!G75</f>
        <v>3360</v>
      </c>
      <c r="AD53" s="2" t="e">
        <f ca="1">IF(Post2020_Derivation!H75="","",Post2020_Derivation!H75)</f>
        <v>#NAME?</v>
      </c>
      <c r="AE53" s="2">
        <f>Post2020_Derivation!M75</f>
        <v>3367</v>
      </c>
      <c r="AF53" s="2" t="e">
        <f ca="1">IF(Post2020_Derivation!N75="","",Post2020_Derivation!N75)</f>
        <v>#NAME?</v>
      </c>
      <c r="AG53" s="2">
        <f>Post2020_Derivation!S75</f>
        <v>3162</v>
      </c>
      <c r="AH53" s="2" t="e">
        <f ca="1">IF(Post2020_Derivation!T75="","",Post2020_Derivation!T75)</f>
        <v>#NAME?</v>
      </c>
    </row>
    <row r="54" spans="1:34">
      <c r="A54" t="s">
        <v>178</v>
      </c>
      <c r="B54" t="s">
        <v>179</v>
      </c>
      <c r="C54" s="2">
        <v>113440</v>
      </c>
      <c r="D54" s="2"/>
      <c r="E54" s="2">
        <v>111348</v>
      </c>
      <c r="F54" s="2" t="s">
        <v>847</v>
      </c>
      <c r="G54" s="2">
        <v>123186</v>
      </c>
      <c r="H54" s="2"/>
      <c r="I54" s="2">
        <v>125429</v>
      </c>
      <c r="J54" s="2"/>
      <c r="K54" s="2">
        <v>129179</v>
      </c>
      <c r="L54" s="2"/>
      <c r="M54" s="2" t="s">
        <v>43</v>
      </c>
      <c r="N54" s="2" t="s">
        <v>44</v>
      </c>
      <c r="O54" s="2" t="s">
        <v>43</v>
      </c>
      <c r="P54" s="2" t="s">
        <v>44</v>
      </c>
      <c r="Q54" s="2" t="s">
        <v>43</v>
      </c>
      <c r="R54" s="2" t="s">
        <v>44</v>
      </c>
      <c r="S54" s="2" t="s">
        <v>43</v>
      </c>
      <c r="T54" s="2" t="s">
        <v>44</v>
      </c>
      <c r="U54" s="2" t="s">
        <v>43</v>
      </c>
      <c r="V54" s="2" t="s">
        <v>44</v>
      </c>
      <c r="W54" s="2" t="s">
        <v>43</v>
      </c>
      <c r="X54" s="2" t="s">
        <v>44</v>
      </c>
      <c r="Y54" s="2" t="s">
        <v>43</v>
      </c>
      <c r="Z54" s="2" t="s">
        <v>44</v>
      </c>
      <c r="AA54" s="2" t="s">
        <v>43</v>
      </c>
      <c r="AB54" s="2" t="s">
        <v>44</v>
      </c>
      <c r="AC54" s="2">
        <f>Post2020_Derivation!G77</f>
        <v>150360</v>
      </c>
      <c r="AD54" s="2" t="e">
        <f ca="1">IF(Post2020_Derivation!H77="","",Post2020_Derivation!H77)</f>
        <v>#NAME?</v>
      </c>
      <c r="AE54" s="2">
        <f>Post2020_Derivation!M77</f>
        <v>135036</v>
      </c>
      <c r="AF54" s="2" t="e">
        <f ca="1">IF(Post2020_Derivation!N77="","",Post2020_Derivation!N77)</f>
        <v>#NAME?</v>
      </c>
      <c r="AG54" s="2">
        <f>Post2020_Derivation!S77</f>
        <v>132130</v>
      </c>
      <c r="AH54" s="2" t="e">
        <f ca="1">IF(Post2020_Derivation!T77="","",Post2020_Derivation!T77)</f>
        <v>#NAME?</v>
      </c>
    </row>
    <row r="55" spans="1:34">
      <c r="A55" t="s">
        <v>188</v>
      </c>
      <c r="B55" t="s">
        <v>189</v>
      </c>
      <c r="C55" s="2">
        <v>88685</v>
      </c>
      <c r="D55" s="2"/>
      <c r="E55" s="2">
        <v>81983</v>
      </c>
      <c r="F55" s="2" t="s">
        <v>847</v>
      </c>
      <c r="G55" s="2">
        <v>97029</v>
      </c>
      <c r="H55" s="2"/>
      <c r="I55" s="2">
        <v>98628</v>
      </c>
      <c r="J55" s="2"/>
      <c r="K55" s="2">
        <v>99254</v>
      </c>
      <c r="L55" s="2"/>
      <c r="M55" s="2">
        <v>96632</v>
      </c>
      <c r="N55" s="2"/>
      <c r="O55" s="2">
        <v>97305</v>
      </c>
      <c r="P55" s="2"/>
      <c r="Q55" s="2">
        <v>94510</v>
      </c>
      <c r="R55" s="2"/>
      <c r="S55" s="2">
        <v>94566</v>
      </c>
      <c r="T55" s="2"/>
      <c r="U55" s="2">
        <v>95334</v>
      </c>
      <c r="V55" s="2"/>
      <c r="W55" s="2">
        <v>95893</v>
      </c>
      <c r="X55" s="2"/>
      <c r="Y55" s="2">
        <v>94485</v>
      </c>
      <c r="Z55" s="2"/>
      <c r="AA55" s="2">
        <v>89581</v>
      </c>
      <c r="AB55" s="2"/>
      <c r="AC55" s="2">
        <f>Post2020_Derivation!G82</f>
        <v>82806</v>
      </c>
      <c r="AD55" s="2" t="e">
        <f ca="1">IF(Post2020_Derivation!H82="","",Post2020_Derivation!H82)</f>
        <v>#NAME?</v>
      </c>
      <c r="AE55" s="2">
        <f>Post2020_Derivation!M82</f>
        <v>79520</v>
      </c>
      <c r="AF55" s="2" t="e">
        <f ca="1">IF(Post2020_Derivation!N82="","",Post2020_Derivation!N82)</f>
        <v>#NAME?</v>
      </c>
      <c r="AG55" s="2">
        <f>Post2020_Derivation!S82</f>
        <v>74984</v>
      </c>
      <c r="AH55" s="2" t="e">
        <f ca="1">IF(Post2020_Derivation!T82="","",Post2020_Derivation!T82)</f>
        <v>#NAME?</v>
      </c>
    </row>
    <row r="56" spans="1:34">
      <c r="A56" t="s">
        <v>200</v>
      </c>
      <c r="B56" t="s">
        <v>201</v>
      </c>
      <c r="C56" s="2">
        <v>28408</v>
      </c>
      <c r="D56" s="2"/>
      <c r="E56" s="2">
        <v>27211</v>
      </c>
      <c r="F56" s="2" t="s">
        <v>847</v>
      </c>
      <c r="G56" s="2">
        <v>30636</v>
      </c>
      <c r="H56" s="2"/>
      <c r="I56" s="2">
        <v>30326</v>
      </c>
      <c r="J56" s="2"/>
      <c r="K56" s="2">
        <v>30517</v>
      </c>
      <c r="L56" s="2"/>
      <c r="M56" s="2">
        <v>28848</v>
      </c>
      <c r="N56" s="2"/>
      <c r="O56" s="2">
        <v>29208</v>
      </c>
      <c r="P56" s="2"/>
      <c r="Q56" s="2">
        <v>29289</v>
      </c>
      <c r="R56" s="2"/>
      <c r="S56" s="2">
        <v>28270</v>
      </c>
      <c r="T56" s="2"/>
      <c r="U56" s="2">
        <v>25994</v>
      </c>
      <c r="V56" s="2"/>
      <c r="W56" s="2">
        <v>25221</v>
      </c>
      <c r="X56" s="2"/>
      <c r="Y56" s="2">
        <v>25486</v>
      </c>
      <c r="Z56" s="2"/>
      <c r="AA56" s="2">
        <v>25676</v>
      </c>
      <c r="AB56" s="2"/>
      <c r="AC56" s="2">
        <f>Post2020_Derivation!G88</f>
        <v>26880</v>
      </c>
      <c r="AD56" s="2" t="e">
        <f ca="1">IF(Post2020_Derivation!H88="","",Post2020_Derivation!H88)</f>
        <v>#NAME?</v>
      </c>
      <c r="AE56" s="2">
        <f>Post2020_Derivation!M88</f>
        <v>24510</v>
      </c>
      <c r="AF56" s="2" t="e">
        <f ca="1">IF(Post2020_Derivation!N88="","",Post2020_Derivation!N88)</f>
        <v>#NAME?</v>
      </c>
      <c r="AG56" s="2">
        <f>Post2020_Derivation!S88</f>
        <v>23968</v>
      </c>
      <c r="AH56" s="2" t="e">
        <f ca="1">IF(Post2020_Derivation!T88="","",Post2020_Derivation!T88)</f>
        <v>#NAME?</v>
      </c>
    </row>
    <row r="57" spans="1:34">
      <c r="A57" t="s">
        <v>208</v>
      </c>
      <c r="B57" t="s">
        <v>209</v>
      </c>
      <c r="C57" s="2">
        <v>24332</v>
      </c>
      <c r="D57" s="2"/>
      <c r="E57" s="2">
        <v>22733</v>
      </c>
      <c r="F57" s="2" t="s">
        <v>847</v>
      </c>
      <c r="G57" s="2">
        <v>18607</v>
      </c>
      <c r="H57" s="2"/>
      <c r="I57" s="2">
        <v>20666</v>
      </c>
      <c r="J57" s="2"/>
      <c r="K57" s="2">
        <v>21658</v>
      </c>
      <c r="L57" s="2"/>
      <c r="M57" s="2">
        <v>22016</v>
      </c>
      <c r="N57" s="2"/>
      <c r="O57" s="2">
        <v>22512</v>
      </c>
      <c r="P57" s="2"/>
      <c r="Q57" s="2">
        <v>20281</v>
      </c>
      <c r="R57" s="2"/>
      <c r="S57" s="2">
        <v>20489</v>
      </c>
      <c r="T57" s="2"/>
      <c r="U57" s="2">
        <v>19870</v>
      </c>
      <c r="V57" s="2"/>
      <c r="W57" s="2">
        <v>19705</v>
      </c>
      <c r="X57" s="2"/>
      <c r="Y57" s="2">
        <v>18589</v>
      </c>
      <c r="Z57" s="2"/>
      <c r="AA57" s="2">
        <v>19059</v>
      </c>
      <c r="AB57" s="2"/>
      <c r="AC57" s="2">
        <f>Post2020_Derivation!G92</f>
        <v>19209</v>
      </c>
      <c r="AD57" s="2" t="e">
        <f ca="1">IF(Post2020_Derivation!H92="","",Post2020_Derivation!H92)</f>
        <v>#NAME?</v>
      </c>
      <c r="AE57" s="2">
        <f>Post2020_Derivation!M92</f>
        <v>17516</v>
      </c>
      <c r="AF57" s="2" t="e">
        <f ca="1">IF(Post2020_Derivation!N92="","",Post2020_Derivation!N92)</f>
        <v>#NAME?</v>
      </c>
      <c r="AG57" s="2">
        <f>Post2020_Derivation!S92</f>
        <v>17920</v>
      </c>
      <c r="AH57" s="2" t="e">
        <f ca="1">IF(Post2020_Derivation!T92="","",Post2020_Derivation!T92)</f>
        <v>#NAME?</v>
      </c>
    </row>
    <row r="58" spans="1:34">
      <c r="A58" t="s">
        <v>211</v>
      </c>
      <c r="B58" t="s">
        <v>212</v>
      </c>
      <c r="C58" s="2">
        <v>24476</v>
      </c>
      <c r="D58" s="2"/>
      <c r="E58" s="2">
        <v>24164</v>
      </c>
      <c r="F58" s="2" t="s">
        <v>847</v>
      </c>
      <c r="G58" s="2">
        <v>31052</v>
      </c>
      <c r="H58" s="2"/>
      <c r="I58" s="2">
        <v>32566</v>
      </c>
      <c r="J58" s="2"/>
      <c r="K58" s="2">
        <v>33756</v>
      </c>
      <c r="L58" s="2"/>
      <c r="M58" s="2">
        <v>34917</v>
      </c>
      <c r="N58" s="2"/>
      <c r="O58" s="2">
        <v>39790</v>
      </c>
      <c r="P58" s="2"/>
      <c r="Q58" s="2">
        <v>43008</v>
      </c>
      <c r="R58" s="2"/>
      <c r="S58" s="2">
        <v>43594</v>
      </c>
      <c r="T58" s="2"/>
      <c r="U58" s="2">
        <v>44804</v>
      </c>
      <c r="V58" s="2"/>
      <c r="W58" s="2">
        <v>44974</v>
      </c>
      <c r="X58" s="2"/>
      <c r="Y58" s="2">
        <v>44951</v>
      </c>
      <c r="Z58" s="2"/>
      <c r="AA58" s="2">
        <v>45181</v>
      </c>
      <c r="AB58" s="2"/>
      <c r="AC58" s="2">
        <f>Post2020_Derivation!G94</f>
        <v>44370</v>
      </c>
      <c r="AD58" s="2" t="e">
        <f ca="1">IF(Post2020_Derivation!H94="","",Post2020_Derivation!H94)</f>
        <v>#NAME?</v>
      </c>
      <c r="AE58" s="2">
        <f>Post2020_Derivation!M94</f>
        <v>44376</v>
      </c>
      <c r="AF58" s="2" t="e">
        <f ca="1">IF(Post2020_Derivation!N94="","",Post2020_Derivation!N94)</f>
        <v>#NAME?</v>
      </c>
      <c r="AG58" s="2">
        <f>Post2020_Derivation!S94</f>
        <v>44370</v>
      </c>
      <c r="AH58" s="2" t="e">
        <f ca="1">IF(Post2020_Derivation!T94="","",Post2020_Derivation!T94)</f>
        <v>#NAME?</v>
      </c>
    </row>
    <row r="59" spans="1:34">
      <c r="A59" t="s">
        <v>219</v>
      </c>
      <c r="B59" t="s">
        <v>220</v>
      </c>
      <c r="C59" s="2">
        <v>3030</v>
      </c>
      <c r="D59" s="2"/>
      <c r="E59" s="2">
        <v>2799</v>
      </c>
      <c r="F59" s="2" t="s">
        <v>847</v>
      </c>
      <c r="G59" s="2">
        <v>3622</v>
      </c>
      <c r="H59" s="2"/>
      <c r="I59" s="2">
        <v>4894</v>
      </c>
      <c r="J59" s="2"/>
      <c r="K59" s="2">
        <v>5030</v>
      </c>
      <c r="L59" s="2"/>
      <c r="M59" s="2">
        <v>5045</v>
      </c>
      <c r="N59" s="2"/>
      <c r="O59" s="2">
        <v>4130</v>
      </c>
      <c r="P59" s="2"/>
      <c r="Q59" s="2">
        <v>4094</v>
      </c>
      <c r="R59" s="2"/>
      <c r="S59" s="2">
        <v>4320</v>
      </c>
      <c r="T59" s="2"/>
      <c r="U59" s="2">
        <v>4427</v>
      </c>
      <c r="V59" s="2"/>
      <c r="W59" s="2">
        <v>4573</v>
      </c>
      <c r="X59" s="2"/>
      <c r="Y59" s="2">
        <v>4993</v>
      </c>
      <c r="Z59" s="2"/>
      <c r="AA59" s="2">
        <v>4909</v>
      </c>
      <c r="AB59" s="2"/>
      <c r="AC59" s="2">
        <f>Post2020_Derivation!G98</f>
        <v>4674</v>
      </c>
      <c r="AD59" s="2" t="e">
        <f ca="1">IF(Post2020_Derivation!H98="","",Post2020_Derivation!H98)</f>
        <v>#NAME?</v>
      </c>
      <c r="AE59" s="2">
        <f>Post2020_Derivation!M98</f>
        <v>4661</v>
      </c>
      <c r="AF59" s="2" t="e">
        <f ca="1">IF(Post2020_Derivation!N98="","",Post2020_Derivation!N98)</f>
        <v>#NAME?</v>
      </c>
      <c r="AG59" s="2">
        <f>Post2020_Derivation!S98</f>
        <v>4897</v>
      </c>
      <c r="AH59" s="2" t="e">
        <f ca="1">IF(Post2020_Derivation!T98="","",Post2020_Derivation!T98)</f>
        <v>#NAME?</v>
      </c>
    </row>
    <row r="60" spans="1:34">
      <c r="A60" t="s">
        <v>222</v>
      </c>
      <c r="B60" t="s">
        <v>223</v>
      </c>
      <c r="C60" s="2">
        <v>4433</v>
      </c>
      <c r="D60" s="2"/>
      <c r="E60" s="2">
        <v>4010</v>
      </c>
      <c r="F60" s="2" t="s">
        <v>847</v>
      </c>
      <c r="G60" s="2">
        <v>4581</v>
      </c>
      <c r="H60" s="2"/>
      <c r="I60" s="2">
        <v>4584</v>
      </c>
      <c r="J60" s="2"/>
      <c r="K60" s="2">
        <v>4602</v>
      </c>
      <c r="L60" s="2"/>
      <c r="M60" s="2">
        <v>4558</v>
      </c>
      <c r="N60" s="2"/>
      <c r="O60" s="2">
        <v>4769</v>
      </c>
      <c r="P60" s="2"/>
      <c r="Q60" s="2">
        <v>4583</v>
      </c>
      <c r="R60" s="2"/>
      <c r="S60" s="2">
        <v>4512</v>
      </c>
      <c r="T60" s="2"/>
      <c r="U60" s="2">
        <v>4608</v>
      </c>
      <c r="V60" s="2"/>
      <c r="W60" s="2">
        <v>4750</v>
      </c>
      <c r="X60" s="2"/>
      <c r="Y60" s="2">
        <v>4601</v>
      </c>
      <c r="Z60" s="2"/>
      <c r="AA60" s="2">
        <v>4326</v>
      </c>
      <c r="AB60" s="2"/>
      <c r="AC60" s="2" t="str">
        <f>Post2020_Derivation!G100</f>
        <v/>
      </c>
      <c r="AD60" s="2" t="e">
        <f ca="1">IF(Post2020_Derivation!H100="","",Post2020_Derivation!H100)</f>
        <v>#NAME?</v>
      </c>
      <c r="AE60" s="2" t="str">
        <f>Post2020_Derivation!M100</f>
        <v/>
      </c>
      <c r="AF60" s="2" t="e">
        <f ca="1">IF(Post2020_Derivation!N100="","",Post2020_Derivation!N100)</f>
        <v>#NAME?</v>
      </c>
      <c r="AG60" s="2">
        <f>Post2020_Derivation!S100</f>
        <v>3168</v>
      </c>
      <c r="AH60" s="2" t="e">
        <f ca="1">IF(Post2020_Derivation!T100="","",Post2020_Derivation!T100)</f>
        <v>#NAME?</v>
      </c>
    </row>
    <row r="61" spans="1:34">
      <c r="A61" t="s">
        <v>225</v>
      </c>
      <c r="B61" t="s">
        <v>226</v>
      </c>
      <c r="C61" s="2">
        <v>15839</v>
      </c>
      <c r="D61" s="2"/>
      <c r="E61" s="2">
        <v>14592</v>
      </c>
      <c r="F61" s="2" t="s">
        <v>847</v>
      </c>
      <c r="G61" s="2">
        <v>18768</v>
      </c>
      <c r="H61" s="2"/>
      <c r="I61" s="2">
        <v>19318</v>
      </c>
      <c r="J61" s="2"/>
      <c r="K61" s="2">
        <v>18331</v>
      </c>
      <c r="L61" s="2"/>
      <c r="M61" s="2">
        <v>19356</v>
      </c>
      <c r="N61" s="2"/>
      <c r="O61" s="2">
        <v>20106</v>
      </c>
      <c r="P61" s="2"/>
      <c r="Q61" s="2">
        <v>21167</v>
      </c>
      <c r="R61" s="2"/>
      <c r="S61" s="2">
        <v>20875</v>
      </c>
      <c r="T61" s="2"/>
      <c r="U61" s="2">
        <v>20875</v>
      </c>
      <c r="V61" s="2"/>
      <c r="W61" s="2">
        <v>20773</v>
      </c>
      <c r="X61" s="2"/>
      <c r="Y61" s="2">
        <v>20081</v>
      </c>
      <c r="Z61" s="2"/>
      <c r="AA61" s="2">
        <v>18240</v>
      </c>
      <c r="AB61" s="2"/>
      <c r="AC61" s="2">
        <f>Post2020_Derivation!G102</f>
        <v>16637</v>
      </c>
      <c r="AD61" s="2" t="e">
        <f ca="1">IF(Post2020_Derivation!H102="","",Post2020_Derivation!H102)</f>
        <v>#NAME?</v>
      </c>
      <c r="AE61" s="2">
        <f>Post2020_Derivation!M102</f>
        <v>15312</v>
      </c>
      <c r="AF61" s="2" t="e">
        <f ca="1">IF(Post2020_Derivation!N102="","",Post2020_Derivation!N102)</f>
        <v>#NAME?</v>
      </c>
      <c r="AG61" s="2">
        <f>Post2020_Derivation!S102</f>
        <v>15120</v>
      </c>
      <c r="AH61" s="2" t="e">
        <f ca="1">IF(Post2020_Derivation!T102="","",Post2020_Derivation!T102)</f>
        <v>#NAME?</v>
      </c>
    </row>
    <row r="62" spans="1:34">
      <c r="A62" t="s">
        <v>228</v>
      </c>
      <c r="B62" t="s">
        <v>229</v>
      </c>
      <c r="C62" s="2">
        <v>3996</v>
      </c>
      <c r="D62" s="2"/>
      <c r="E62" s="2">
        <v>2997</v>
      </c>
      <c r="F62" s="2"/>
      <c r="G62" s="2">
        <v>3013</v>
      </c>
      <c r="H62" s="2"/>
      <c r="I62" s="2">
        <v>3464</v>
      </c>
      <c r="J62" s="2"/>
      <c r="K62" s="2">
        <v>3515</v>
      </c>
      <c r="L62" s="2"/>
      <c r="M62" s="2">
        <v>3435</v>
      </c>
      <c r="N62" s="2"/>
      <c r="O62" s="2">
        <v>3504</v>
      </c>
      <c r="P62" s="2"/>
      <c r="Q62" s="2">
        <v>3300</v>
      </c>
      <c r="R62" s="2"/>
      <c r="S62" s="2">
        <v>3058</v>
      </c>
      <c r="T62" s="2"/>
      <c r="U62" s="2">
        <v>2861</v>
      </c>
      <c r="V62" s="2"/>
      <c r="W62" s="2">
        <v>2870</v>
      </c>
      <c r="X62" s="2" t="s">
        <v>334</v>
      </c>
      <c r="Y62" s="2">
        <v>2936</v>
      </c>
      <c r="Z62" s="2"/>
      <c r="AA62" s="2">
        <v>3033</v>
      </c>
      <c r="AB62" s="2"/>
      <c r="AC62" s="2">
        <f>Post2020_Derivation!G104</f>
        <v>3465</v>
      </c>
      <c r="AD62" s="2" t="e">
        <f ca="1">IF(Post2020_Derivation!H104="","",Post2020_Derivation!H104)</f>
        <v>#NAME?</v>
      </c>
      <c r="AE62" s="2">
        <f>Post2020_Derivation!M104</f>
        <v>3488</v>
      </c>
      <c r="AF62" s="2" t="e">
        <f ca="1">IF(Post2020_Derivation!N104="","",Post2020_Derivation!N104)</f>
        <v>#NAME?</v>
      </c>
      <c r="AG62" s="2">
        <f>Post2020_Derivation!S104</f>
        <v>3360</v>
      </c>
      <c r="AH62" s="2" t="e">
        <f ca="1">IF(Post2020_Derivation!T104="","",Post2020_Derivation!T104)</f>
        <v>#NAME?</v>
      </c>
    </row>
    <row r="63" spans="1:34">
      <c r="A63" t="s">
        <v>230</v>
      </c>
      <c r="B63" t="s">
        <v>231</v>
      </c>
      <c r="C63" s="2">
        <v>3996</v>
      </c>
      <c r="D63" s="2"/>
      <c r="E63" s="2">
        <v>2997</v>
      </c>
      <c r="F63" s="2"/>
      <c r="G63" s="2">
        <v>3013</v>
      </c>
      <c r="H63" s="2"/>
      <c r="I63" s="2">
        <v>3464</v>
      </c>
      <c r="J63" s="2"/>
      <c r="K63" s="2">
        <v>3515</v>
      </c>
      <c r="L63" s="2"/>
      <c r="M63" s="2">
        <v>3435</v>
      </c>
      <c r="N63" s="2"/>
      <c r="O63" s="2">
        <v>3504</v>
      </c>
      <c r="P63" s="2"/>
      <c r="Q63" s="2">
        <v>3300</v>
      </c>
      <c r="R63" s="2"/>
      <c r="S63" s="2">
        <v>3058</v>
      </c>
      <c r="T63" s="2"/>
      <c r="U63" s="2">
        <v>2861</v>
      </c>
      <c r="V63" s="2"/>
      <c r="W63" s="2">
        <v>2870</v>
      </c>
      <c r="X63" s="2" t="s">
        <v>334</v>
      </c>
      <c r="Y63" s="2">
        <v>2936</v>
      </c>
      <c r="Z63" s="2"/>
      <c r="AA63" s="2">
        <v>3033</v>
      </c>
      <c r="AB63" s="2"/>
      <c r="AC63" s="2">
        <f>Post2020_Derivation!G105</f>
        <v>3465</v>
      </c>
      <c r="AD63" s="2" t="e">
        <f ca="1">IF(Post2020_Derivation!H105="","",Post2020_Derivation!H105)</f>
        <v>#NAME?</v>
      </c>
      <c r="AE63" s="2">
        <f>Post2020_Derivation!M105</f>
        <v>3488</v>
      </c>
      <c r="AF63" s="2" t="e">
        <f ca="1">IF(Post2020_Derivation!N105="","",Post2020_Derivation!N105)</f>
        <v>#NAME?</v>
      </c>
      <c r="AG63" s="2">
        <f>Post2020_Derivation!S105</f>
        <v>3360</v>
      </c>
      <c r="AH63" s="2" t="e">
        <f ca="1">IF(Post2020_Derivation!T105="","",Post2020_Derivation!T105)</f>
        <v>#NAME?</v>
      </c>
    </row>
    <row r="64" spans="1:34">
      <c r="A64" t="s">
        <v>232</v>
      </c>
      <c r="B64" t="s">
        <v>231</v>
      </c>
      <c r="C64" s="2">
        <v>3996</v>
      </c>
      <c r="D64" s="2"/>
      <c r="E64" s="2">
        <v>2997</v>
      </c>
      <c r="F64" s="2"/>
      <c r="G64" s="2">
        <v>3013</v>
      </c>
      <c r="H64" s="2"/>
      <c r="I64" s="2">
        <v>3464</v>
      </c>
      <c r="J64" s="2"/>
      <c r="K64" s="2">
        <v>3515</v>
      </c>
      <c r="L64" s="2"/>
      <c r="M64" s="2">
        <v>3435</v>
      </c>
      <c r="N64" s="2"/>
      <c r="O64" s="2">
        <v>3504</v>
      </c>
      <c r="P64" s="2"/>
      <c r="Q64" s="2">
        <v>3300</v>
      </c>
      <c r="R64" s="2"/>
      <c r="S64" s="2">
        <v>3058</v>
      </c>
      <c r="T64" s="2"/>
      <c r="U64" s="2">
        <v>2861</v>
      </c>
      <c r="V64" s="2"/>
      <c r="W64" s="2">
        <v>2870</v>
      </c>
      <c r="X64" s="2" t="s">
        <v>334</v>
      </c>
      <c r="Y64" s="2">
        <v>2936</v>
      </c>
      <c r="Z64" s="2"/>
      <c r="AA64" s="2">
        <v>3033</v>
      </c>
      <c r="AB64" s="2"/>
      <c r="AC64" s="2">
        <f>Post2020_Derivation!G106</f>
        <v>3465</v>
      </c>
      <c r="AD64" s="2" t="e">
        <f ca="1">IF(Post2020_Derivation!H106="","",Post2020_Derivation!H106)</f>
        <v>#NAME?</v>
      </c>
      <c r="AE64" s="2">
        <f>Post2020_Derivation!M106</f>
        <v>3488</v>
      </c>
      <c r="AF64" s="2" t="e">
        <f ca="1">IF(Post2020_Derivation!N106="","",Post2020_Derivation!N106)</f>
        <v>#NAME?</v>
      </c>
      <c r="AG64" s="2">
        <f>Post2020_Derivation!S106</f>
        <v>3360</v>
      </c>
      <c r="AH64" s="2" t="e">
        <f ca="1">IF(Post2020_Derivation!T106="","",Post2020_Derivation!T106)</f>
        <v>#NAME?</v>
      </c>
    </row>
    <row r="65" spans="1:34">
      <c r="A65" t="s">
        <v>235</v>
      </c>
      <c r="B65" t="s">
        <v>236</v>
      </c>
      <c r="C65" s="2" t="s">
        <v>43</v>
      </c>
      <c r="D65" s="2" t="s">
        <v>44</v>
      </c>
      <c r="E65" s="2">
        <v>2752</v>
      </c>
      <c r="F65" s="2"/>
      <c r="G65" s="2">
        <v>2222</v>
      </c>
      <c r="H65" s="2"/>
      <c r="I65" s="2">
        <v>2401</v>
      </c>
      <c r="J65" s="2"/>
      <c r="K65" s="2">
        <v>2519</v>
      </c>
      <c r="L65" s="2"/>
      <c r="M65" s="2" t="s">
        <v>43</v>
      </c>
      <c r="N65" s="2" t="s">
        <v>44</v>
      </c>
      <c r="O65" s="2" t="s">
        <v>43</v>
      </c>
      <c r="P65" s="2" t="s">
        <v>44</v>
      </c>
      <c r="Q65" s="2">
        <v>2771</v>
      </c>
      <c r="R65" s="2"/>
      <c r="S65" s="2">
        <v>2820</v>
      </c>
      <c r="T65" s="2"/>
      <c r="U65" s="2">
        <v>3003</v>
      </c>
      <c r="V65" s="2"/>
      <c r="W65" s="2">
        <v>2794</v>
      </c>
      <c r="X65" s="2"/>
      <c r="Y65" s="2">
        <v>3780</v>
      </c>
      <c r="Z65" s="2"/>
      <c r="AA65" s="2">
        <v>3487</v>
      </c>
      <c r="AB65" s="2"/>
      <c r="AC65" s="2">
        <f>Post2020_Derivation!G109</f>
        <v>3120</v>
      </c>
      <c r="AD65" s="2" t="e">
        <f ca="1">IF(Post2020_Derivation!H109="","",Post2020_Derivation!H109)</f>
        <v>#NAME?</v>
      </c>
      <c r="AE65" s="2" t="str">
        <f>Post2020_Derivation!M109</f>
        <v/>
      </c>
      <c r="AF65" s="2" t="e">
        <f ca="1">IF(Post2020_Derivation!N109="","",Post2020_Derivation!N109)</f>
        <v>#NAME?</v>
      </c>
      <c r="AG65" s="2" t="str">
        <f>Post2020_Derivation!S109</f>
        <v/>
      </c>
      <c r="AH65" s="2" t="e">
        <f ca="1">IF(Post2020_Derivation!T109="","",Post2020_Derivation!T109)</f>
        <v>#NAME?</v>
      </c>
    </row>
    <row r="66" spans="1:34">
      <c r="A66" t="s">
        <v>857</v>
      </c>
      <c r="B66" t="s">
        <v>236</v>
      </c>
      <c r="C66" s="2" t="s">
        <v>43</v>
      </c>
      <c r="D66" s="2" t="s">
        <v>44</v>
      </c>
      <c r="E66" s="2">
        <v>2752</v>
      </c>
      <c r="F66" s="2"/>
      <c r="G66" s="2">
        <v>2222</v>
      </c>
      <c r="H66" s="2"/>
      <c r="I66" s="2">
        <v>2401</v>
      </c>
      <c r="J66" s="2"/>
      <c r="K66" s="2">
        <v>2519</v>
      </c>
      <c r="L66" s="2"/>
      <c r="M66" s="2" t="s">
        <v>43</v>
      </c>
      <c r="N66" s="2" t="s">
        <v>44</v>
      </c>
      <c r="O66" s="2" t="s">
        <v>43</v>
      </c>
      <c r="P66" s="2" t="s">
        <v>44</v>
      </c>
      <c r="Q66" s="2">
        <v>2771</v>
      </c>
      <c r="R66" s="2"/>
      <c r="S66" s="2">
        <v>2820</v>
      </c>
      <c r="T66" s="2"/>
      <c r="U66" s="2">
        <v>3003</v>
      </c>
      <c r="V66" s="2"/>
      <c r="W66" s="2">
        <v>2794</v>
      </c>
      <c r="X66" s="2"/>
      <c r="Y66" s="2" t="s">
        <v>43</v>
      </c>
      <c r="Z66" s="2"/>
      <c r="AA66" s="2" t="s">
        <v>43</v>
      </c>
      <c r="AB66" s="2"/>
      <c r="AC66" s="2" t="str">
        <f>""</f>
        <v/>
      </c>
      <c r="AD66" s="2" t="str">
        <f>""</f>
        <v/>
      </c>
      <c r="AE66" s="2" t="str">
        <f>""</f>
        <v/>
      </c>
      <c r="AF66" s="2" t="str">
        <f>""</f>
        <v/>
      </c>
      <c r="AG66" s="2" t="str">
        <f>""</f>
        <v/>
      </c>
      <c r="AH66" s="2" t="str">
        <f>""</f>
        <v/>
      </c>
    </row>
    <row r="67" spans="1:34">
      <c r="A67" t="s">
        <v>237</v>
      </c>
      <c r="B67" t="s">
        <v>238</v>
      </c>
      <c r="C67" s="2" t="s">
        <v>43</v>
      </c>
      <c r="D67" s="2"/>
      <c r="E67" s="2" t="s">
        <v>43</v>
      </c>
      <c r="F67" s="2"/>
      <c r="G67" s="2" t="s">
        <v>43</v>
      </c>
      <c r="H67" s="2"/>
      <c r="I67" s="2" t="s">
        <v>43</v>
      </c>
      <c r="J67" s="2"/>
      <c r="K67" s="2" t="s">
        <v>43</v>
      </c>
      <c r="L67" s="2"/>
      <c r="M67" s="2" t="s">
        <v>43</v>
      </c>
      <c r="N67" s="2"/>
      <c r="O67" s="2" t="s">
        <v>43</v>
      </c>
      <c r="P67" s="2"/>
      <c r="Q67" s="2" t="s">
        <v>43</v>
      </c>
      <c r="R67" s="2"/>
      <c r="S67" s="2" t="s">
        <v>43</v>
      </c>
      <c r="T67" s="2" t="s">
        <v>44</v>
      </c>
      <c r="U67" s="2">
        <v>271</v>
      </c>
      <c r="V67" s="2"/>
      <c r="W67" s="2" t="s">
        <v>43</v>
      </c>
      <c r="X67" s="2" t="s">
        <v>44</v>
      </c>
      <c r="Y67" s="2" t="s">
        <v>43</v>
      </c>
      <c r="Z67" s="2" t="s">
        <v>44</v>
      </c>
      <c r="AA67" s="2">
        <v>301</v>
      </c>
      <c r="AB67" s="2"/>
      <c r="AC67" s="2" t="str">
        <f>Post2020_Derivation!G110</f>
        <v/>
      </c>
      <c r="AD67" s="2" t="e">
        <f ca="1">IF(Post2020_Derivation!H110="","",Post2020_Derivation!H110)</f>
        <v>#NAME?</v>
      </c>
      <c r="AE67" s="2">
        <f>Post2020_Derivation!M110</f>
        <v>350</v>
      </c>
      <c r="AF67" s="2" t="e">
        <f ca="1">IF(Post2020_Derivation!N110="","",Post2020_Derivation!N110)</f>
        <v>#NAME?</v>
      </c>
      <c r="AG67" s="2">
        <f>Post2020_Derivation!S110</f>
        <v>378</v>
      </c>
      <c r="AH67" s="2" t="e">
        <f ca="1">IF(Post2020_Derivation!T110="","",Post2020_Derivation!T110)</f>
        <v>#NAME?</v>
      </c>
    </row>
    <row r="68" spans="1:34">
      <c r="A68" t="s">
        <v>239</v>
      </c>
      <c r="B68" t="s">
        <v>240</v>
      </c>
      <c r="C68" s="2" t="s">
        <v>43</v>
      </c>
      <c r="D68" s="2"/>
      <c r="E68" s="2" t="s">
        <v>43</v>
      </c>
      <c r="F68" s="2"/>
      <c r="G68" s="2" t="s">
        <v>43</v>
      </c>
      <c r="H68" s="2"/>
      <c r="I68" s="2" t="s">
        <v>43</v>
      </c>
      <c r="J68" s="2"/>
      <c r="K68" s="2" t="s">
        <v>43</v>
      </c>
      <c r="L68" s="2"/>
      <c r="M68" s="2" t="s">
        <v>43</v>
      </c>
      <c r="N68" s="2"/>
      <c r="O68" s="2" t="s">
        <v>43</v>
      </c>
      <c r="P68" s="2"/>
      <c r="Q68" s="2" t="s">
        <v>43</v>
      </c>
      <c r="R68" s="2"/>
      <c r="S68" s="2" t="s">
        <v>43</v>
      </c>
      <c r="T68" s="2" t="s">
        <v>44</v>
      </c>
      <c r="U68" s="2">
        <v>1347</v>
      </c>
      <c r="V68" s="2"/>
      <c r="W68" s="2" t="s">
        <v>43</v>
      </c>
      <c r="X68" s="2" t="s">
        <v>44</v>
      </c>
      <c r="Y68" s="2" t="s">
        <v>43</v>
      </c>
      <c r="Z68" s="2" t="s">
        <v>44</v>
      </c>
      <c r="AA68" s="2">
        <v>2053</v>
      </c>
      <c r="AB68" s="2"/>
      <c r="AC68" s="2" t="str">
        <f>Post2020_Derivation!G111</f>
        <v/>
      </c>
      <c r="AD68" s="2" t="e">
        <f ca="1">IF(Post2020_Derivation!H111="","",Post2020_Derivation!H111)</f>
        <v>#NAME?</v>
      </c>
      <c r="AE68" s="2">
        <f>Post2020_Derivation!M111</f>
        <v>1551</v>
      </c>
      <c r="AF68" s="2" t="e">
        <f ca="1">IF(Post2020_Derivation!N111="","",Post2020_Derivation!N111)</f>
        <v>#NAME?</v>
      </c>
      <c r="AG68" s="2">
        <f>Post2020_Derivation!S111</f>
        <v>1472</v>
      </c>
      <c r="AH68" s="2" t="e">
        <f ca="1">IF(Post2020_Derivation!T111="","",Post2020_Derivation!T111)</f>
        <v>#NAME?</v>
      </c>
    </row>
    <row r="69" spans="1:34">
      <c r="A69" t="s">
        <v>241</v>
      </c>
      <c r="B69" t="s">
        <v>242</v>
      </c>
      <c r="C69" s="2" t="s">
        <v>43</v>
      </c>
      <c r="D69" s="2"/>
      <c r="E69" s="2" t="s">
        <v>43</v>
      </c>
      <c r="F69" s="2"/>
      <c r="G69" s="2" t="s">
        <v>43</v>
      </c>
      <c r="H69" s="2"/>
      <c r="I69" s="2" t="s">
        <v>43</v>
      </c>
      <c r="J69" s="2"/>
      <c r="K69" s="2" t="s">
        <v>43</v>
      </c>
      <c r="L69" s="2"/>
      <c r="M69" s="2" t="s">
        <v>43</v>
      </c>
      <c r="N69" s="2"/>
      <c r="O69" s="2" t="s">
        <v>43</v>
      </c>
      <c r="P69" s="2"/>
      <c r="Q69" s="2" t="s">
        <v>43</v>
      </c>
      <c r="R69" s="2"/>
      <c r="S69" s="2">
        <v>984</v>
      </c>
      <c r="T69" s="2"/>
      <c r="U69" s="2">
        <v>1372</v>
      </c>
      <c r="V69" s="2"/>
      <c r="W69" s="2">
        <v>1121</v>
      </c>
      <c r="X69" s="2"/>
      <c r="Y69" s="2">
        <v>1426</v>
      </c>
      <c r="Z69" s="2"/>
      <c r="AA69" s="2">
        <v>1115</v>
      </c>
      <c r="AB69" s="2"/>
      <c r="AC69" s="2">
        <f>Post2020_Derivation!G112</f>
        <v>902</v>
      </c>
      <c r="AD69" s="2" t="e">
        <f ca="1">IF(Post2020_Derivation!H112="","",Post2020_Derivation!H112)</f>
        <v>#NAME?</v>
      </c>
      <c r="AE69" s="2">
        <f>Post2020_Derivation!M112</f>
        <v>1128</v>
      </c>
      <c r="AF69" s="2" t="e">
        <f ca="1">IF(Post2020_Derivation!N112="","",Post2020_Derivation!N112)</f>
        <v>#NAME?</v>
      </c>
      <c r="AG69" s="2">
        <f>Post2020_Derivation!S112</f>
        <v>1316</v>
      </c>
      <c r="AH69" s="2" t="e">
        <f ca="1">IF(Post2020_Derivation!T112="","",Post2020_Derivation!T112)</f>
        <v>#NAME?</v>
      </c>
    </row>
    <row r="70" spans="1:34">
      <c r="A70" t="s">
        <v>858</v>
      </c>
      <c r="B70" t="s">
        <v>859</v>
      </c>
      <c r="C70" s="2" t="s">
        <v>43</v>
      </c>
      <c r="D70" s="2" t="s">
        <v>44</v>
      </c>
      <c r="E70" s="2">
        <v>591</v>
      </c>
      <c r="F70" s="2"/>
      <c r="G70" s="2">
        <v>700</v>
      </c>
      <c r="H70" s="2"/>
      <c r="I70" s="2">
        <v>745</v>
      </c>
      <c r="J70" s="2"/>
      <c r="K70" s="2">
        <v>854</v>
      </c>
      <c r="L70" s="2"/>
      <c r="M70" s="2" t="s">
        <v>43</v>
      </c>
      <c r="N70" s="2" t="s">
        <v>44</v>
      </c>
      <c r="O70" s="2" t="s">
        <v>43</v>
      </c>
      <c r="P70" s="2" t="s">
        <v>44</v>
      </c>
      <c r="Q70" s="2">
        <v>899</v>
      </c>
      <c r="R70" s="2"/>
      <c r="S70" s="2" t="s">
        <v>43</v>
      </c>
      <c r="T70" s="2"/>
      <c r="U70" s="2" t="s">
        <v>43</v>
      </c>
      <c r="V70" s="2"/>
      <c r="W70" s="2" t="s">
        <v>43</v>
      </c>
      <c r="X70" s="2"/>
      <c r="Y70" s="2" t="s">
        <v>43</v>
      </c>
      <c r="Z70" s="2"/>
      <c r="AA70" s="2" t="s">
        <v>43</v>
      </c>
      <c r="AB70" s="2"/>
      <c r="AC70" s="2" t="str">
        <f>""</f>
        <v/>
      </c>
      <c r="AD70" s="2" t="str">
        <f>""</f>
        <v/>
      </c>
      <c r="AE70" s="2" t="str">
        <f>""</f>
        <v/>
      </c>
      <c r="AF70" s="2" t="str">
        <f>""</f>
        <v/>
      </c>
      <c r="AG70" s="2" t="str">
        <f>""</f>
        <v/>
      </c>
      <c r="AH70" s="2" t="str">
        <f>""</f>
        <v/>
      </c>
    </row>
    <row r="71" spans="1:34">
      <c r="A71" t="s">
        <v>860</v>
      </c>
      <c r="B71" t="s">
        <v>861</v>
      </c>
      <c r="C71" s="2" t="s">
        <v>43</v>
      </c>
      <c r="D71" s="2" t="s">
        <v>44</v>
      </c>
      <c r="E71" s="2">
        <v>2161</v>
      </c>
      <c r="F71" s="2"/>
      <c r="G71" s="2">
        <v>1522</v>
      </c>
      <c r="H71" s="2"/>
      <c r="I71" s="2">
        <v>1655</v>
      </c>
      <c r="J71" s="2"/>
      <c r="K71" s="2">
        <v>1664</v>
      </c>
      <c r="L71" s="2"/>
      <c r="M71" s="2" t="s">
        <v>43</v>
      </c>
      <c r="N71" s="2" t="s">
        <v>44</v>
      </c>
      <c r="O71" s="2" t="s">
        <v>43</v>
      </c>
      <c r="P71" s="2" t="s">
        <v>44</v>
      </c>
      <c r="Q71" s="2">
        <v>1864</v>
      </c>
      <c r="R71" s="2"/>
      <c r="S71" s="2" t="s">
        <v>43</v>
      </c>
      <c r="T71" s="2"/>
      <c r="U71" s="2" t="s">
        <v>43</v>
      </c>
      <c r="V71" s="2"/>
      <c r="W71" s="2" t="s">
        <v>43</v>
      </c>
      <c r="X71" s="2"/>
      <c r="Y71" s="2" t="s">
        <v>43</v>
      </c>
      <c r="Z71" s="2"/>
      <c r="AA71" s="2" t="s">
        <v>43</v>
      </c>
      <c r="AB71" s="2"/>
      <c r="AC71" s="2" t="str">
        <f>""</f>
        <v/>
      </c>
      <c r="AD71" s="2" t="str">
        <f>""</f>
        <v/>
      </c>
      <c r="AE71" s="2" t="str">
        <f>""</f>
        <v/>
      </c>
      <c r="AF71" s="2" t="str">
        <f>""</f>
        <v/>
      </c>
      <c r="AG71" s="2" t="str">
        <f>""</f>
        <v/>
      </c>
      <c r="AH71" s="2" t="str">
        <f>""</f>
        <v/>
      </c>
    </row>
    <row r="72" spans="1:34">
      <c r="A72" t="s">
        <v>243</v>
      </c>
      <c r="B72" t="s">
        <v>244</v>
      </c>
      <c r="C72" s="2">
        <v>4687</v>
      </c>
      <c r="D72" s="2"/>
      <c r="E72" s="2">
        <v>4170</v>
      </c>
      <c r="F72" s="2"/>
      <c r="G72" s="2">
        <v>3606</v>
      </c>
      <c r="H72" s="2"/>
      <c r="I72" s="2">
        <v>3073</v>
      </c>
      <c r="J72" s="2"/>
      <c r="K72" s="2">
        <v>2843</v>
      </c>
      <c r="L72" s="2"/>
      <c r="M72" s="2">
        <v>2104</v>
      </c>
      <c r="N72" s="2"/>
      <c r="O72" s="2">
        <v>1983</v>
      </c>
      <c r="P72" s="2"/>
      <c r="Q72" s="2">
        <v>1798</v>
      </c>
      <c r="R72" s="2"/>
      <c r="S72" s="2">
        <v>1813</v>
      </c>
      <c r="T72" s="2"/>
      <c r="U72" s="2">
        <v>1757</v>
      </c>
      <c r="V72" s="2"/>
      <c r="W72" s="2">
        <v>1965</v>
      </c>
      <c r="X72" s="2" t="s">
        <v>334</v>
      </c>
      <c r="Y72" s="2">
        <v>1662</v>
      </c>
      <c r="Z72" s="2"/>
      <c r="AA72" s="2">
        <v>1646</v>
      </c>
      <c r="AB72" s="2"/>
      <c r="AC72" s="2">
        <f>Post2020_Derivation!G113</f>
        <v>1852</v>
      </c>
      <c r="AD72" s="2" t="e">
        <f ca="1">IF(Post2020_Derivation!H113="","",Post2020_Derivation!H113)</f>
        <v>#NAME?</v>
      </c>
      <c r="AE72" s="2">
        <f>Post2020_Derivation!M113</f>
        <v>1425</v>
      </c>
      <c r="AF72" s="2" t="e">
        <f ca="1">IF(Post2020_Derivation!N113="","",Post2020_Derivation!N113)</f>
        <v>#NAME?</v>
      </c>
      <c r="AG72" s="2">
        <f>Post2020_Derivation!S113</f>
        <v>1476</v>
      </c>
      <c r="AH72" s="2" t="e">
        <f ca="1">IF(Post2020_Derivation!T113="","",Post2020_Derivation!T113)</f>
        <v>#NAME?</v>
      </c>
    </row>
    <row r="73" spans="1:34">
      <c r="A73" t="s">
        <v>862</v>
      </c>
      <c r="B73" t="s">
        <v>863</v>
      </c>
      <c r="C73" s="2">
        <v>2186</v>
      </c>
      <c r="D73" s="2"/>
      <c r="E73" s="2">
        <v>2472</v>
      </c>
      <c r="F73" s="2"/>
      <c r="G73" s="2">
        <v>2183</v>
      </c>
      <c r="H73" s="2"/>
      <c r="I73" s="2" t="s">
        <v>43</v>
      </c>
      <c r="J73" s="2" t="s">
        <v>44</v>
      </c>
      <c r="K73" s="2">
        <v>1183</v>
      </c>
      <c r="L73" s="2"/>
      <c r="M73" s="2" t="s">
        <v>43</v>
      </c>
      <c r="N73" s="2"/>
      <c r="O73" s="2" t="s">
        <v>43</v>
      </c>
      <c r="P73" s="2"/>
      <c r="Q73" s="2" t="s">
        <v>43</v>
      </c>
      <c r="R73" s="2"/>
      <c r="S73" s="2" t="s">
        <v>43</v>
      </c>
      <c r="T73" s="2"/>
      <c r="U73" s="2" t="s">
        <v>43</v>
      </c>
      <c r="V73" s="2"/>
      <c r="W73" s="2" t="s">
        <v>43</v>
      </c>
      <c r="X73" s="2"/>
      <c r="Y73" s="2" t="s">
        <v>43</v>
      </c>
      <c r="Z73" s="2"/>
      <c r="AA73" s="2" t="s">
        <v>43</v>
      </c>
      <c r="AB73" s="2"/>
      <c r="AC73" s="2" t="str">
        <f>""</f>
        <v/>
      </c>
      <c r="AD73" s="2" t="str">
        <f>""</f>
        <v/>
      </c>
      <c r="AE73" s="2" t="str">
        <f>""</f>
        <v/>
      </c>
      <c r="AF73" s="2" t="str">
        <f>""</f>
        <v/>
      </c>
      <c r="AG73" s="2" t="str">
        <f>""</f>
        <v/>
      </c>
      <c r="AH73" s="2" t="str">
        <f>""</f>
        <v/>
      </c>
    </row>
    <row r="74" spans="1:34">
      <c r="A74" t="s">
        <v>864</v>
      </c>
      <c r="B74" t="s">
        <v>865</v>
      </c>
      <c r="C74" s="2">
        <v>189</v>
      </c>
      <c r="D74" s="2"/>
      <c r="E74" s="2">
        <v>482</v>
      </c>
      <c r="F74" s="2"/>
      <c r="G74" s="2">
        <v>426</v>
      </c>
      <c r="H74" s="2"/>
      <c r="I74" s="2" t="s">
        <v>43</v>
      </c>
      <c r="J74" s="2" t="s">
        <v>44</v>
      </c>
      <c r="K74" s="2">
        <v>141</v>
      </c>
      <c r="L74" s="2"/>
      <c r="M74" s="2" t="s">
        <v>43</v>
      </c>
      <c r="N74" s="2"/>
      <c r="O74" s="2" t="s">
        <v>43</v>
      </c>
      <c r="P74" s="2"/>
      <c r="Q74" s="2" t="s">
        <v>43</v>
      </c>
      <c r="R74" s="2"/>
      <c r="S74" s="2" t="s">
        <v>43</v>
      </c>
      <c r="T74" s="2"/>
      <c r="U74" s="2" t="s">
        <v>43</v>
      </c>
      <c r="V74" s="2"/>
      <c r="W74" s="2" t="s">
        <v>43</v>
      </c>
      <c r="X74" s="2"/>
      <c r="Y74" s="2" t="s">
        <v>43</v>
      </c>
      <c r="Z74" s="2"/>
      <c r="AA74" s="2" t="s">
        <v>43</v>
      </c>
      <c r="AB74" s="2"/>
      <c r="AC74" s="2" t="str">
        <f>""</f>
        <v/>
      </c>
      <c r="AD74" s="2" t="str">
        <f>""</f>
        <v/>
      </c>
      <c r="AE74" s="2" t="str">
        <f>""</f>
        <v/>
      </c>
      <c r="AF74" s="2" t="str">
        <f>""</f>
        <v/>
      </c>
      <c r="AG74" s="2" t="str">
        <f>""</f>
        <v/>
      </c>
      <c r="AH74" s="2" t="str">
        <f>""</f>
        <v/>
      </c>
    </row>
    <row r="75" spans="1:34">
      <c r="A75" t="s">
        <v>866</v>
      </c>
      <c r="B75" t="s">
        <v>867</v>
      </c>
      <c r="C75" s="2">
        <v>1554</v>
      </c>
      <c r="D75" s="2"/>
      <c r="E75" s="2">
        <v>1129</v>
      </c>
      <c r="F75" s="2"/>
      <c r="G75" s="2">
        <v>1035</v>
      </c>
      <c r="H75" s="2"/>
      <c r="I75" s="2" t="s">
        <v>43</v>
      </c>
      <c r="J75" s="2" t="s">
        <v>44</v>
      </c>
      <c r="K75" s="2">
        <v>899</v>
      </c>
      <c r="L75" s="2"/>
      <c r="M75" s="2" t="s">
        <v>43</v>
      </c>
      <c r="N75" s="2"/>
      <c r="O75" s="2" t="s">
        <v>43</v>
      </c>
      <c r="P75" s="2"/>
      <c r="Q75" s="2" t="s">
        <v>43</v>
      </c>
      <c r="R75" s="2"/>
      <c r="S75" s="2" t="s">
        <v>43</v>
      </c>
      <c r="T75" s="2"/>
      <c r="U75" s="2" t="s">
        <v>43</v>
      </c>
      <c r="V75" s="2"/>
      <c r="W75" s="2" t="s">
        <v>43</v>
      </c>
      <c r="X75" s="2"/>
      <c r="Y75" s="2" t="s">
        <v>43</v>
      </c>
      <c r="Z75" s="2"/>
      <c r="AA75" s="2" t="s">
        <v>43</v>
      </c>
      <c r="AB75" s="2"/>
      <c r="AC75" s="2" t="str">
        <f>""</f>
        <v/>
      </c>
      <c r="AD75" s="2" t="str">
        <f>""</f>
        <v/>
      </c>
      <c r="AE75" s="2" t="str">
        <f>""</f>
        <v/>
      </c>
      <c r="AF75" s="2" t="str">
        <f>""</f>
        <v/>
      </c>
      <c r="AG75" s="2" t="str">
        <f>""</f>
        <v/>
      </c>
      <c r="AH75" s="2" t="str">
        <f>""</f>
        <v/>
      </c>
    </row>
    <row r="76" spans="1:34">
      <c r="A76" t="s">
        <v>868</v>
      </c>
      <c r="B76" t="s">
        <v>869</v>
      </c>
      <c r="C76" s="2">
        <v>54</v>
      </c>
      <c r="D76" s="2"/>
      <c r="E76" s="2" t="s">
        <v>43</v>
      </c>
      <c r="F76" s="2"/>
      <c r="G76" s="2">
        <v>0</v>
      </c>
      <c r="H76" s="2"/>
      <c r="I76" s="2" t="s">
        <v>43</v>
      </c>
      <c r="J76" s="2" t="s">
        <v>44</v>
      </c>
      <c r="K76" s="2">
        <v>28</v>
      </c>
      <c r="L76" s="2"/>
      <c r="M76" s="2" t="s">
        <v>43</v>
      </c>
      <c r="N76" s="2"/>
      <c r="O76" s="2" t="s">
        <v>43</v>
      </c>
      <c r="P76" s="2"/>
      <c r="Q76" s="2" t="s">
        <v>43</v>
      </c>
      <c r="R76" s="2"/>
      <c r="S76" s="2" t="s">
        <v>43</v>
      </c>
      <c r="T76" s="2"/>
      <c r="U76" s="2" t="s">
        <v>43</v>
      </c>
      <c r="V76" s="2"/>
      <c r="W76" s="2" t="s">
        <v>43</v>
      </c>
      <c r="X76" s="2"/>
      <c r="Y76" s="2" t="s">
        <v>43</v>
      </c>
      <c r="Z76" s="2"/>
      <c r="AA76" s="2" t="s">
        <v>43</v>
      </c>
      <c r="AB76" s="2"/>
      <c r="AC76" s="2" t="str">
        <f>""</f>
        <v/>
      </c>
      <c r="AD76" s="2" t="str">
        <f>""</f>
        <v/>
      </c>
      <c r="AE76" s="2" t="str">
        <f>""</f>
        <v/>
      </c>
      <c r="AF76" s="2" t="str">
        <f>""</f>
        <v/>
      </c>
      <c r="AG76" s="2" t="str">
        <f>""</f>
        <v/>
      </c>
      <c r="AH76" s="2" t="str">
        <f>""</f>
        <v/>
      </c>
    </row>
    <row r="77" spans="1:34">
      <c r="A77" t="s">
        <v>870</v>
      </c>
      <c r="B77" t="s">
        <v>871</v>
      </c>
      <c r="C77" s="2">
        <v>389</v>
      </c>
      <c r="D77" s="2"/>
      <c r="E77" s="2">
        <v>861</v>
      </c>
      <c r="F77" s="2"/>
      <c r="G77" s="2">
        <v>722</v>
      </c>
      <c r="H77" s="2"/>
      <c r="I77" s="2" t="s">
        <v>43</v>
      </c>
      <c r="J77" s="2" t="s">
        <v>44</v>
      </c>
      <c r="K77" s="2">
        <v>115</v>
      </c>
      <c r="L77" s="2"/>
      <c r="M77" s="2" t="s">
        <v>43</v>
      </c>
      <c r="N77" s="2"/>
      <c r="O77" s="2" t="s">
        <v>43</v>
      </c>
      <c r="P77" s="2"/>
      <c r="Q77" s="2" t="s">
        <v>43</v>
      </c>
      <c r="R77" s="2"/>
      <c r="S77" s="2" t="s">
        <v>43</v>
      </c>
      <c r="T77" s="2"/>
      <c r="U77" s="2" t="s">
        <v>43</v>
      </c>
      <c r="V77" s="2"/>
      <c r="W77" s="2" t="s">
        <v>43</v>
      </c>
      <c r="X77" s="2"/>
      <c r="Y77" s="2" t="s">
        <v>43</v>
      </c>
      <c r="Z77" s="2"/>
      <c r="AA77" s="2" t="s">
        <v>43</v>
      </c>
      <c r="AB77" s="2"/>
      <c r="AC77" s="2" t="str">
        <f>""</f>
        <v/>
      </c>
      <c r="AD77" s="2" t="str">
        <f>""</f>
        <v/>
      </c>
      <c r="AE77" s="2" t="str">
        <f>""</f>
        <v/>
      </c>
      <c r="AF77" s="2" t="str">
        <f>""</f>
        <v/>
      </c>
      <c r="AG77" s="2" t="str">
        <f>""</f>
        <v/>
      </c>
      <c r="AH77" s="2" t="str">
        <f>""</f>
        <v/>
      </c>
    </row>
    <row r="78" spans="1:34">
      <c r="A78" t="s">
        <v>872</v>
      </c>
      <c r="B78" t="s">
        <v>873</v>
      </c>
      <c r="C78" s="2">
        <v>528</v>
      </c>
      <c r="D78" s="2"/>
      <c r="E78" s="2">
        <v>137</v>
      </c>
      <c r="F78" s="2"/>
      <c r="G78" s="2" t="s">
        <v>43</v>
      </c>
      <c r="H78" s="2" t="s">
        <v>44</v>
      </c>
      <c r="I78" s="2" t="s">
        <v>43</v>
      </c>
      <c r="J78" s="2" t="s">
        <v>44</v>
      </c>
      <c r="K78" s="2">
        <v>351</v>
      </c>
      <c r="L78" s="2"/>
      <c r="M78" s="2" t="s">
        <v>43</v>
      </c>
      <c r="N78" s="2"/>
      <c r="O78" s="2" t="s">
        <v>43</v>
      </c>
      <c r="P78" s="2"/>
      <c r="Q78" s="2" t="s">
        <v>43</v>
      </c>
      <c r="R78" s="2"/>
      <c r="S78" s="2" t="s">
        <v>43</v>
      </c>
      <c r="T78" s="2"/>
      <c r="U78" s="2" t="s">
        <v>43</v>
      </c>
      <c r="V78" s="2"/>
      <c r="W78" s="2" t="s">
        <v>43</v>
      </c>
      <c r="X78" s="2"/>
      <c r="Y78" s="2" t="s">
        <v>43</v>
      </c>
      <c r="Z78" s="2"/>
      <c r="AA78" s="2" t="s">
        <v>43</v>
      </c>
      <c r="AB78" s="2"/>
      <c r="AC78" s="2" t="str">
        <f>""</f>
        <v/>
      </c>
      <c r="AD78" s="2" t="str">
        <f>""</f>
        <v/>
      </c>
      <c r="AE78" s="2" t="str">
        <f>""</f>
        <v/>
      </c>
      <c r="AF78" s="2" t="str">
        <f>""</f>
        <v/>
      </c>
      <c r="AG78" s="2" t="str">
        <f>""</f>
        <v/>
      </c>
      <c r="AH78" s="2" t="str">
        <f>""</f>
        <v/>
      </c>
    </row>
    <row r="79" spans="1:34">
      <c r="A79" t="s">
        <v>874</v>
      </c>
      <c r="B79" t="s">
        <v>875</v>
      </c>
      <c r="C79" s="2">
        <v>20</v>
      </c>
      <c r="D79" s="2"/>
      <c r="E79" s="2" t="s">
        <v>43</v>
      </c>
      <c r="F79" s="2"/>
      <c r="G79" s="2" t="s">
        <v>43</v>
      </c>
      <c r="H79" s="2" t="s">
        <v>44</v>
      </c>
      <c r="I79" s="2" t="s">
        <v>43</v>
      </c>
      <c r="J79" s="2" t="s">
        <v>44</v>
      </c>
      <c r="K79" s="2">
        <v>38</v>
      </c>
      <c r="L79" s="2"/>
      <c r="M79" s="2" t="s">
        <v>43</v>
      </c>
      <c r="N79" s="2"/>
      <c r="O79" s="2" t="s">
        <v>43</v>
      </c>
      <c r="P79" s="2"/>
      <c r="Q79" s="2" t="s">
        <v>43</v>
      </c>
      <c r="R79" s="2"/>
      <c r="S79" s="2" t="s">
        <v>43</v>
      </c>
      <c r="T79" s="2"/>
      <c r="U79" s="2" t="s">
        <v>43</v>
      </c>
      <c r="V79" s="2"/>
      <c r="W79" s="2" t="s">
        <v>43</v>
      </c>
      <c r="X79" s="2"/>
      <c r="Y79" s="2" t="s">
        <v>43</v>
      </c>
      <c r="Z79" s="2"/>
      <c r="AA79" s="2" t="s">
        <v>43</v>
      </c>
      <c r="AB79" s="2"/>
      <c r="AC79" s="2" t="str">
        <f>""</f>
        <v/>
      </c>
      <c r="AD79" s="2" t="str">
        <f>""</f>
        <v/>
      </c>
      <c r="AE79" s="2" t="str">
        <f>""</f>
        <v/>
      </c>
      <c r="AF79" s="2" t="str">
        <f>""</f>
        <v/>
      </c>
      <c r="AG79" s="2" t="str">
        <f>""</f>
        <v/>
      </c>
      <c r="AH79" s="2" t="str">
        <f>""</f>
        <v/>
      </c>
    </row>
    <row r="80" spans="1:34">
      <c r="A80" t="s">
        <v>876</v>
      </c>
      <c r="B80" t="s">
        <v>877</v>
      </c>
      <c r="C80" s="2">
        <v>22</v>
      </c>
      <c r="D80" s="2"/>
      <c r="E80" s="2" t="s">
        <v>43</v>
      </c>
      <c r="F80" s="2"/>
      <c r="G80" s="2">
        <v>0</v>
      </c>
      <c r="H80" s="2"/>
      <c r="I80" s="2" t="s">
        <v>43</v>
      </c>
      <c r="J80" s="2" t="s">
        <v>44</v>
      </c>
      <c r="K80" s="2" t="s">
        <v>43</v>
      </c>
      <c r="L80" s="2" t="s">
        <v>44</v>
      </c>
      <c r="M80" s="2" t="s">
        <v>43</v>
      </c>
      <c r="N80" s="2"/>
      <c r="O80" s="2" t="s">
        <v>43</v>
      </c>
      <c r="P80" s="2"/>
      <c r="Q80" s="2" t="s">
        <v>43</v>
      </c>
      <c r="R80" s="2"/>
      <c r="S80" s="2" t="s">
        <v>43</v>
      </c>
      <c r="T80" s="2"/>
      <c r="U80" s="2" t="s">
        <v>43</v>
      </c>
      <c r="V80" s="2"/>
      <c r="W80" s="2" t="s">
        <v>43</v>
      </c>
      <c r="X80" s="2"/>
      <c r="Y80" s="2" t="s">
        <v>43</v>
      </c>
      <c r="Z80" s="2"/>
      <c r="AA80" s="2" t="s">
        <v>43</v>
      </c>
      <c r="AB80" s="2"/>
      <c r="AC80" s="2" t="str">
        <f>""</f>
        <v/>
      </c>
      <c r="AD80" s="2" t="str">
        <f>""</f>
        <v/>
      </c>
      <c r="AE80" s="2" t="str">
        <f>""</f>
        <v/>
      </c>
      <c r="AF80" s="2" t="str">
        <f>""</f>
        <v/>
      </c>
      <c r="AG80" s="2" t="str">
        <f>""</f>
        <v/>
      </c>
      <c r="AH80" s="2" t="str">
        <f>""</f>
        <v/>
      </c>
    </row>
    <row r="81" spans="1:34">
      <c r="A81" t="s">
        <v>878</v>
      </c>
      <c r="B81" t="s">
        <v>879</v>
      </c>
      <c r="C81" s="2">
        <v>177</v>
      </c>
      <c r="D81" s="2"/>
      <c r="E81" s="2" t="s">
        <v>43</v>
      </c>
      <c r="F81" s="2" t="s">
        <v>44</v>
      </c>
      <c r="G81" s="2" t="s">
        <v>43</v>
      </c>
      <c r="H81" s="2" t="s">
        <v>44</v>
      </c>
      <c r="I81" s="2" t="s">
        <v>43</v>
      </c>
      <c r="J81" s="2" t="s">
        <v>44</v>
      </c>
      <c r="K81" s="2">
        <v>139</v>
      </c>
      <c r="L81" s="2"/>
      <c r="M81" s="2" t="s">
        <v>43</v>
      </c>
      <c r="N81" s="2"/>
      <c r="O81" s="2" t="s">
        <v>43</v>
      </c>
      <c r="P81" s="2"/>
      <c r="Q81" s="2" t="s">
        <v>43</v>
      </c>
      <c r="R81" s="2"/>
      <c r="S81" s="2" t="s">
        <v>43</v>
      </c>
      <c r="T81" s="2"/>
      <c r="U81" s="2" t="s">
        <v>43</v>
      </c>
      <c r="V81" s="2"/>
      <c r="W81" s="2" t="s">
        <v>43</v>
      </c>
      <c r="X81" s="2"/>
      <c r="Y81" s="2" t="s">
        <v>43</v>
      </c>
      <c r="Z81" s="2"/>
      <c r="AA81" s="2" t="s">
        <v>43</v>
      </c>
      <c r="AB81" s="2"/>
      <c r="AC81" s="2" t="str">
        <f>""</f>
        <v/>
      </c>
      <c r="AD81" s="2" t="str">
        <f>""</f>
        <v/>
      </c>
      <c r="AE81" s="2" t="str">
        <f>""</f>
        <v/>
      </c>
      <c r="AF81" s="2" t="str">
        <f>""</f>
        <v/>
      </c>
      <c r="AG81" s="2" t="str">
        <f>""</f>
        <v/>
      </c>
      <c r="AH81" s="2" t="str">
        <f>""</f>
        <v/>
      </c>
    </row>
    <row r="82" spans="1:34">
      <c r="A82" t="s">
        <v>880</v>
      </c>
      <c r="B82" t="s">
        <v>881</v>
      </c>
      <c r="C82" s="2">
        <v>169</v>
      </c>
      <c r="D82" s="2"/>
      <c r="E82" s="2" t="s">
        <v>43</v>
      </c>
      <c r="F82" s="2" t="s">
        <v>44</v>
      </c>
      <c r="G82" s="2">
        <v>0</v>
      </c>
      <c r="H82" s="2"/>
      <c r="I82" s="2" t="s">
        <v>43</v>
      </c>
      <c r="J82" s="2" t="s">
        <v>44</v>
      </c>
      <c r="K82" s="2" t="s">
        <v>43</v>
      </c>
      <c r="L82" s="2" t="s">
        <v>44</v>
      </c>
      <c r="M82" s="2" t="s">
        <v>43</v>
      </c>
      <c r="N82" s="2"/>
      <c r="O82" s="2" t="s">
        <v>43</v>
      </c>
      <c r="P82" s="2"/>
      <c r="Q82" s="2" t="s">
        <v>43</v>
      </c>
      <c r="R82" s="2"/>
      <c r="S82" s="2" t="s">
        <v>43</v>
      </c>
      <c r="T82" s="2"/>
      <c r="U82" s="2" t="s">
        <v>43</v>
      </c>
      <c r="V82" s="2"/>
      <c r="W82" s="2" t="s">
        <v>43</v>
      </c>
      <c r="X82" s="2"/>
      <c r="Y82" s="2" t="s">
        <v>43</v>
      </c>
      <c r="Z82" s="2"/>
      <c r="AA82" s="2" t="s">
        <v>43</v>
      </c>
      <c r="AB82" s="2"/>
      <c r="AC82" s="2" t="str">
        <f>""</f>
        <v/>
      </c>
      <c r="AD82" s="2" t="str">
        <f>""</f>
        <v/>
      </c>
      <c r="AE82" s="2" t="str">
        <f>""</f>
        <v/>
      </c>
      <c r="AF82" s="2" t="str">
        <f>""</f>
        <v/>
      </c>
      <c r="AG82" s="2" t="str">
        <f>""</f>
        <v/>
      </c>
      <c r="AH82" s="2" t="str">
        <f>""</f>
        <v/>
      </c>
    </row>
    <row r="83" spans="1:34">
      <c r="A83" t="s">
        <v>882</v>
      </c>
      <c r="B83" t="s">
        <v>883</v>
      </c>
      <c r="C83" s="2">
        <v>140</v>
      </c>
      <c r="D83" s="2"/>
      <c r="E83" s="2" t="s">
        <v>43</v>
      </c>
      <c r="F83" s="2"/>
      <c r="G83" s="2">
        <v>0</v>
      </c>
      <c r="H83" s="2"/>
      <c r="I83" s="2" t="s">
        <v>43</v>
      </c>
      <c r="J83" s="2" t="s">
        <v>44</v>
      </c>
      <c r="K83" s="2">
        <v>78</v>
      </c>
      <c r="L83" s="2"/>
      <c r="M83" s="2" t="s">
        <v>43</v>
      </c>
      <c r="N83" s="2"/>
      <c r="O83" s="2" t="s">
        <v>43</v>
      </c>
      <c r="P83" s="2"/>
      <c r="Q83" s="2" t="s">
        <v>43</v>
      </c>
      <c r="R83" s="2"/>
      <c r="S83" s="2" t="s">
        <v>43</v>
      </c>
      <c r="T83" s="2"/>
      <c r="U83" s="2" t="s">
        <v>43</v>
      </c>
      <c r="V83" s="2"/>
      <c r="W83" s="2" t="s">
        <v>43</v>
      </c>
      <c r="X83" s="2"/>
      <c r="Y83" s="2" t="s">
        <v>43</v>
      </c>
      <c r="Z83" s="2"/>
      <c r="AA83" s="2" t="s">
        <v>43</v>
      </c>
      <c r="AB83" s="2"/>
      <c r="AC83" s="2" t="str">
        <f>""</f>
        <v/>
      </c>
      <c r="AD83" s="2" t="str">
        <f>""</f>
        <v/>
      </c>
      <c r="AE83" s="2" t="str">
        <f>""</f>
        <v/>
      </c>
      <c r="AF83" s="2" t="str">
        <f>""</f>
        <v/>
      </c>
      <c r="AG83" s="2" t="str">
        <f>""</f>
        <v/>
      </c>
      <c r="AH83" s="2" t="str">
        <f>""</f>
        <v/>
      </c>
    </row>
    <row r="84" spans="1:34">
      <c r="A84" t="s">
        <v>245</v>
      </c>
      <c r="B84" t="s">
        <v>246</v>
      </c>
      <c r="C84" s="2">
        <v>1827</v>
      </c>
      <c r="D84" s="2"/>
      <c r="E84" s="2">
        <v>1561</v>
      </c>
      <c r="F84" s="2"/>
      <c r="G84" s="2">
        <v>1291</v>
      </c>
      <c r="H84" s="2"/>
      <c r="I84" s="2" t="s">
        <v>43</v>
      </c>
      <c r="J84" s="2" t="s">
        <v>44</v>
      </c>
      <c r="K84" s="2">
        <v>1170</v>
      </c>
      <c r="L84" s="2"/>
      <c r="M84" s="2">
        <v>811</v>
      </c>
      <c r="N84" s="2"/>
      <c r="O84" s="2">
        <v>807</v>
      </c>
      <c r="P84" s="2"/>
      <c r="Q84" s="2">
        <v>774</v>
      </c>
      <c r="R84" s="2"/>
      <c r="S84" s="2">
        <v>730</v>
      </c>
      <c r="T84" s="2"/>
      <c r="U84" s="2">
        <v>702</v>
      </c>
      <c r="V84" s="2"/>
      <c r="W84" s="2">
        <v>798</v>
      </c>
      <c r="X84" s="2" t="s">
        <v>334</v>
      </c>
      <c r="Y84" s="2">
        <v>842</v>
      </c>
      <c r="Z84" s="2"/>
      <c r="AA84" s="2">
        <v>814</v>
      </c>
      <c r="AB84" s="2"/>
      <c r="AC84" s="2">
        <f>Post2020_Derivation!G114</f>
        <v>790</v>
      </c>
      <c r="AD84" s="2" t="e">
        <f ca="1">IF(Post2020_Derivation!H114="","",Post2020_Derivation!H114)</f>
        <v>#NAME?</v>
      </c>
      <c r="AE84" s="2">
        <f>Post2020_Derivation!M114</f>
        <v>668</v>
      </c>
      <c r="AF84" s="2" t="e">
        <f ca="1">IF(Post2020_Derivation!N114="","",Post2020_Derivation!N114)</f>
        <v>#NAME?</v>
      </c>
      <c r="AG84" s="2">
        <f>Post2020_Derivation!S114</f>
        <v>704</v>
      </c>
      <c r="AH84" s="2" t="e">
        <f ca="1">IF(Post2020_Derivation!T114="","",Post2020_Derivation!T114)</f>
        <v>#NAME?</v>
      </c>
    </row>
    <row r="85" spans="1:34">
      <c r="A85" t="s">
        <v>247</v>
      </c>
      <c r="B85" t="s">
        <v>246</v>
      </c>
      <c r="C85" s="2">
        <v>1827</v>
      </c>
      <c r="D85" s="2"/>
      <c r="E85" s="2">
        <v>1561</v>
      </c>
      <c r="F85" s="2"/>
      <c r="G85" s="2">
        <v>1291</v>
      </c>
      <c r="H85" s="2"/>
      <c r="I85" s="2">
        <v>1268</v>
      </c>
      <c r="J85" s="2"/>
      <c r="K85" s="2">
        <v>1170</v>
      </c>
      <c r="L85" s="2"/>
      <c r="M85" s="2">
        <v>811</v>
      </c>
      <c r="N85" s="2"/>
      <c r="O85" s="2">
        <v>807</v>
      </c>
      <c r="P85" s="2"/>
      <c r="Q85" s="2">
        <v>774</v>
      </c>
      <c r="R85" s="2"/>
      <c r="S85" s="2">
        <v>730</v>
      </c>
      <c r="T85" s="2"/>
      <c r="U85" s="2">
        <v>702</v>
      </c>
      <c r="V85" s="2"/>
      <c r="W85" s="2">
        <v>798</v>
      </c>
      <c r="X85" s="2" t="s">
        <v>334</v>
      </c>
      <c r="Y85" s="2">
        <v>842</v>
      </c>
      <c r="Z85" s="2"/>
      <c r="AA85" s="2">
        <v>814</v>
      </c>
      <c r="AB85" s="2"/>
      <c r="AC85" s="2">
        <f>Post2020_Derivation!G115</f>
        <v>790</v>
      </c>
      <c r="AD85" s="2" t="e">
        <f ca="1">IF(Post2020_Derivation!H115="","",Post2020_Derivation!H115)</f>
        <v>#NAME?</v>
      </c>
      <c r="AE85" s="2">
        <f>Post2020_Derivation!M115</f>
        <v>668</v>
      </c>
      <c r="AF85" s="2" t="e">
        <f ca="1">IF(Post2020_Derivation!N115="","",Post2020_Derivation!N115)</f>
        <v>#NAME?</v>
      </c>
      <c r="AG85" s="2">
        <f>Post2020_Derivation!S115</f>
        <v>704</v>
      </c>
      <c r="AH85" s="2" t="e">
        <f ca="1">IF(Post2020_Derivation!T115="","",Post2020_Derivation!T115)</f>
        <v>#NAME?</v>
      </c>
    </row>
    <row r="86" spans="1:34">
      <c r="A86" t="s">
        <v>248</v>
      </c>
      <c r="B86" t="s">
        <v>249</v>
      </c>
      <c r="C86" s="2">
        <v>146</v>
      </c>
      <c r="D86" s="2"/>
      <c r="E86" s="2" t="s">
        <v>43</v>
      </c>
      <c r="F86" s="2"/>
      <c r="G86" s="2" t="s">
        <v>43</v>
      </c>
      <c r="H86" s="2" t="s">
        <v>44</v>
      </c>
      <c r="I86" s="2" t="s">
        <v>43</v>
      </c>
      <c r="J86" s="2" t="s">
        <v>44</v>
      </c>
      <c r="K86" s="2">
        <v>140</v>
      </c>
      <c r="L86" s="2"/>
      <c r="M86" s="2" t="s">
        <v>43</v>
      </c>
      <c r="N86" s="2" t="s">
        <v>44</v>
      </c>
      <c r="O86" s="2">
        <v>59</v>
      </c>
      <c r="P86" s="2"/>
      <c r="Q86" s="2">
        <v>46</v>
      </c>
      <c r="R86" s="2"/>
      <c r="S86" s="2">
        <v>42</v>
      </c>
      <c r="T86" s="2"/>
      <c r="U86" s="2">
        <v>45</v>
      </c>
      <c r="V86" s="2"/>
      <c r="W86" s="2">
        <v>60</v>
      </c>
      <c r="X86" s="2" t="s">
        <v>334</v>
      </c>
      <c r="Y86" s="2">
        <v>54</v>
      </c>
      <c r="Z86" s="2"/>
      <c r="AA86" s="2">
        <v>60</v>
      </c>
      <c r="AB86" s="2"/>
      <c r="AC86" s="2">
        <f>Post2020_Derivation!G116</f>
        <v>41</v>
      </c>
      <c r="AD86" s="2" t="e">
        <f ca="1">IF(Post2020_Derivation!H116="","",Post2020_Derivation!H116)</f>
        <v>#NAME?</v>
      </c>
      <c r="AE86" s="2">
        <f>Post2020_Derivation!M116</f>
        <v>43</v>
      </c>
      <c r="AF86" s="2" t="e">
        <f ca="1">IF(Post2020_Derivation!N116="","",Post2020_Derivation!N116)</f>
        <v>#NAME?</v>
      </c>
      <c r="AG86" s="2">
        <f>Post2020_Derivation!S116</f>
        <v>90</v>
      </c>
      <c r="AH86" s="2" t="e">
        <f ca="1">IF(Post2020_Derivation!T116="","",Post2020_Derivation!T116)</f>
        <v>#NAME?</v>
      </c>
    </row>
    <row r="87" spans="1:34">
      <c r="A87" t="s">
        <v>250</v>
      </c>
      <c r="B87" t="s">
        <v>251</v>
      </c>
      <c r="C87" s="2">
        <v>22</v>
      </c>
      <c r="D87" s="2"/>
      <c r="E87" s="2" t="s">
        <v>43</v>
      </c>
      <c r="F87" s="2"/>
      <c r="G87" s="2">
        <v>0</v>
      </c>
      <c r="H87" s="2"/>
      <c r="I87" s="2" t="s">
        <v>43</v>
      </c>
      <c r="J87" s="2" t="s">
        <v>44</v>
      </c>
      <c r="K87" s="2">
        <v>24</v>
      </c>
      <c r="L87" s="2"/>
      <c r="M87" s="2" t="s">
        <v>43</v>
      </c>
      <c r="N87" s="2" t="s">
        <v>44</v>
      </c>
      <c r="O87" s="2" t="s">
        <v>43</v>
      </c>
      <c r="P87" s="2" t="s">
        <v>44</v>
      </c>
      <c r="Q87" s="2">
        <v>7</v>
      </c>
      <c r="R87" s="2"/>
      <c r="S87" s="2">
        <v>6</v>
      </c>
      <c r="T87" s="2"/>
      <c r="U87" s="2">
        <v>3</v>
      </c>
      <c r="V87" s="2"/>
      <c r="W87" s="2">
        <v>6</v>
      </c>
      <c r="X87" s="2" t="s">
        <v>334</v>
      </c>
      <c r="Y87" s="2">
        <v>7</v>
      </c>
      <c r="Z87" s="2"/>
      <c r="AA87" s="2" t="s">
        <v>43</v>
      </c>
      <c r="AB87" s="2" t="s">
        <v>44</v>
      </c>
      <c r="AC87" s="2">
        <f>Post2020_Derivation!G117</f>
        <v>10</v>
      </c>
      <c r="AD87" s="2" t="e">
        <f ca="1">IF(Post2020_Derivation!H117="","",Post2020_Derivation!H117)</f>
        <v>#NAME?</v>
      </c>
      <c r="AE87" s="2">
        <f>Post2020_Derivation!M117</f>
        <v>10</v>
      </c>
      <c r="AF87" s="2" t="e">
        <f ca="1">IF(Post2020_Derivation!N117="","",Post2020_Derivation!N117)</f>
        <v>#NAME?</v>
      </c>
      <c r="AG87" s="2">
        <f>Post2020_Derivation!S117</f>
        <v>10</v>
      </c>
      <c r="AH87" s="2" t="e">
        <f ca="1">IF(Post2020_Derivation!T117="","",Post2020_Derivation!T117)</f>
        <v>#NAME?</v>
      </c>
    </row>
    <row r="88" spans="1:34">
      <c r="A88" t="s">
        <v>252</v>
      </c>
      <c r="B88" t="s">
        <v>253</v>
      </c>
      <c r="C88" s="2">
        <v>20</v>
      </c>
      <c r="D88" s="2"/>
      <c r="E88" s="2" t="s">
        <v>43</v>
      </c>
      <c r="F88" s="2"/>
      <c r="G88" s="2">
        <v>0</v>
      </c>
      <c r="H88" s="2"/>
      <c r="I88" s="2" t="s">
        <v>43</v>
      </c>
      <c r="J88" s="2" t="s">
        <v>44</v>
      </c>
      <c r="K88" s="2">
        <v>9</v>
      </c>
      <c r="L88" s="2"/>
      <c r="M88" s="2" t="s">
        <v>43</v>
      </c>
      <c r="N88" s="2" t="s">
        <v>44</v>
      </c>
      <c r="O88" s="2" t="s">
        <v>43</v>
      </c>
      <c r="P88" s="2" t="s">
        <v>44</v>
      </c>
      <c r="Q88" s="2">
        <v>5</v>
      </c>
      <c r="R88" s="2"/>
      <c r="S88" s="2">
        <v>6</v>
      </c>
      <c r="T88" s="2"/>
      <c r="U88" s="2">
        <v>3</v>
      </c>
      <c r="V88" s="2"/>
      <c r="W88" s="2">
        <v>3</v>
      </c>
      <c r="X88" s="2" t="s">
        <v>334</v>
      </c>
      <c r="Y88" s="2">
        <v>4</v>
      </c>
      <c r="Z88" s="2"/>
      <c r="AA88" s="2" t="s">
        <v>43</v>
      </c>
      <c r="AB88" s="2" t="s">
        <v>44</v>
      </c>
      <c r="AC88" s="2">
        <f>Post2020_Derivation!G118</f>
        <v>5</v>
      </c>
      <c r="AD88" s="2" t="e">
        <f ca="1">IF(Post2020_Derivation!H118="","",Post2020_Derivation!H118)</f>
        <v>#NAME?</v>
      </c>
      <c r="AE88" s="2">
        <f>Post2020_Derivation!M118</f>
        <v>6</v>
      </c>
      <c r="AF88" s="2" t="e">
        <f ca="1">IF(Post2020_Derivation!N118="","",Post2020_Derivation!N118)</f>
        <v>#NAME?</v>
      </c>
      <c r="AG88" s="2">
        <f>Post2020_Derivation!S118</f>
        <v>5</v>
      </c>
      <c r="AH88" s="2" t="e">
        <f ca="1">IF(Post2020_Derivation!T118="","",Post2020_Derivation!T118)</f>
        <v>#NAME?</v>
      </c>
    </row>
    <row r="89" spans="1:34">
      <c r="A89" t="s">
        <v>254</v>
      </c>
      <c r="B89" t="s">
        <v>255</v>
      </c>
      <c r="C89" s="2">
        <v>104</v>
      </c>
      <c r="D89" s="2"/>
      <c r="E89" s="2" t="s">
        <v>43</v>
      </c>
      <c r="F89" s="2"/>
      <c r="G89" s="2" t="s">
        <v>43</v>
      </c>
      <c r="H89" s="2" t="s">
        <v>44</v>
      </c>
      <c r="I89" s="2" t="s">
        <v>43</v>
      </c>
      <c r="J89" s="2" t="s">
        <v>44</v>
      </c>
      <c r="K89" s="2">
        <v>107</v>
      </c>
      <c r="L89" s="2"/>
      <c r="M89" s="2">
        <v>69</v>
      </c>
      <c r="N89" s="2"/>
      <c r="O89" s="2">
        <v>36</v>
      </c>
      <c r="P89" s="2"/>
      <c r="Q89" s="2">
        <v>34</v>
      </c>
      <c r="R89" s="2"/>
      <c r="S89" s="2">
        <v>30</v>
      </c>
      <c r="T89" s="2"/>
      <c r="U89" s="2">
        <v>39</v>
      </c>
      <c r="V89" s="2"/>
      <c r="W89" s="2">
        <v>51</v>
      </c>
      <c r="X89" s="2" t="s">
        <v>334</v>
      </c>
      <c r="Y89" s="2">
        <v>43</v>
      </c>
      <c r="Z89" s="2"/>
      <c r="AA89" s="2">
        <v>47</v>
      </c>
      <c r="AB89" s="2"/>
      <c r="AC89" s="2">
        <f>Post2020_Derivation!G119</f>
        <v>31</v>
      </c>
      <c r="AD89" s="2" t="e">
        <f ca="1">IF(Post2020_Derivation!H119="","",Post2020_Derivation!H119)</f>
        <v>#NAME?</v>
      </c>
      <c r="AE89" s="2">
        <f>Post2020_Derivation!M119</f>
        <v>64</v>
      </c>
      <c r="AF89" s="2" t="e">
        <f ca="1">IF(Post2020_Derivation!N119="","",Post2020_Derivation!N119)</f>
        <v>#NAME?</v>
      </c>
      <c r="AG89" s="2">
        <f>Post2020_Derivation!S119</f>
        <v>70</v>
      </c>
      <c r="AH89" s="2" t="e">
        <f ca="1">IF(Post2020_Derivation!T119="","",Post2020_Derivation!T119)</f>
        <v>#NAME?</v>
      </c>
    </row>
    <row r="90" spans="1:34">
      <c r="A90" t="s">
        <v>256</v>
      </c>
      <c r="B90" t="s">
        <v>257</v>
      </c>
      <c r="C90" s="2" t="s">
        <v>43</v>
      </c>
      <c r="D90" s="2"/>
      <c r="E90" s="2" t="s">
        <v>43</v>
      </c>
      <c r="F90" s="2"/>
      <c r="G90" s="2" t="s">
        <v>43</v>
      </c>
      <c r="H90" s="2"/>
      <c r="I90" s="2" t="s">
        <v>43</v>
      </c>
      <c r="J90" s="2"/>
      <c r="K90" s="2" t="s">
        <v>43</v>
      </c>
      <c r="L90" s="2"/>
      <c r="M90" s="2">
        <v>860</v>
      </c>
      <c r="N90" s="2"/>
      <c r="O90" s="2">
        <v>869</v>
      </c>
      <c r="P90" s="2"/>
      <c r="Q90" s="2">
        <v>799</v>
      </c>
      <c r="R90" s="2"/>
      <c r="S90" s="2">
        <v>816</v>
      </c>
      <c r="T90" s="2"/>
      <c r="U90" s="2">
        <v>822</v>
      </c>
      <c r="V90" s="2"/>
      <c r="W90" s="2">
        <v>906</v>
      </c>
      <c r="X90" s="2" t="s">
        <v>334</v>
      </c>
      <c r="Y90" s="2">
        <v>548</v>
      </c>
      <c r="Z90" s="2"/>
      <c r="AA90" s="2">
        <v>559</v>
      </c>
      <c r="AB90" s="2"/>
      <c r="AC90" s="2">
        <f>Post2020_Derivation!G120</f>
        <v>592</v>
      </c>
      <c r="AD90" s="2" t="e">
        <f ca="1">IF(Post2020_Derivation!H120="","",Post2020_Derivation!H120)</f>
        <v>#NAME?</v>
      </c>
      <c r="AE90" s="2">
        <f>Post2020_Derivation!M120</f>
        <v>592</v>
      </c>
      <c r="AF90" s="2" t="e">
        <f ca="1">IF(Post2020_Derivation!N120="","",Post2020_Derivation!N120)</f>
        <v>#NAME?</v>
      </c>
      <c r="AG90" s="2">
        <f>Post2020_Derivation!S120</f>
        <v>572</v>
      </c>
      <c r="AH90" s="2" t="e">
        <f ca="1">IF(Post2020_Derivation!T120="","",Post2020_Derivation!T120)</f>
        <v>#NAME?</v>
      </c>
    </row>
    <row r="91" spans="1:34">
      <c r="A91" t="s">
        <v>258</v>
      </c>
      <c r="B91" t="s">
        <v>259</v>
      </c>
      <c r="C91" s="2" t="s">
        <v>43</v>
      </c>
      <c r="D91" s="2"/>
      <c r="E91" s="2" t="s">
        <v>43</v>
      </c>
      <c r="F91" s="2"/>
      <c r="G91" s="2" t="s">
        <v>43</v>
      </c>
      <c r="H91" s="2"/>
      <c r="I91" s="2" t="s">
        <v>43</v>
      </c>
      <c r="J91" s="2"/>
      <c r="K91" s="2" t="s">
        <v>43</v>
      </c>
      <c r="L91" s="2"/>
      <c r="M91" s="2">
        <v>110</v>
      </c>
      <c r="N91" s="2"/>
      <c r="O91" s="2">
        <v>117</v>
      </c>
      <c r="P91" s="2"/>
      <c r="Q91" s="2">
        <v>95</v>
      </c>
      <c r="R91" s="2"/>
      <c r="S91" s="2">
        <v>106</v>
      </c>
      <c r="T91" s="2"/>
      <c r="U91" s="2">
        <v>103</v>
      </c>
      <c r="V91" s="2"/>
      <c r="W91" s="2">
        <v>117</v>
      </c>
      <c r="X91" s="2" t="s">
        <v>334</v>
      </c>
      <c r="Y91" s="2">
        <v>117</v>
      </c>
      <c r="Z91" s="2"/>
      <c r="AA91" s="2">
        <v>116</v>
      </c>
      <c r="AB91" s="2"/>
      <c r="AC91" s="2">
        <f>Post2020_Derivation!G121</f>
        <v>100</v>
      </c>
      <c r="AD91" s="2" t="e">
        <f ca="1">IF(Post2020_Derivation!H121="","",Post2020_Derivation!H121)</f>
        <v>#NAME?</v>
      </c>
      <c r="AE91" s="2">
        <f>Post2020_Derivation!M121</f>
        <v>92</v>
      </c>
      <c r="AF91" s="2" t="e">
        <f ca="1">IF(Post2020_Derivation!N121="","",Post2020_Derivation!N121)</f>
        <v>#NAME?</v>
      </c>
      <c r="AG91" s="2">
        <f>Post2020_Derivation!S121</f>
        <v>78</v>
      </c>
      <c r="AH91" s="2" t="e">
        <f ca="1">IF(Post2020_Derivation!T121="","",Post2020_Derivation!T121)</f>
        <v>#NAME?</v>
      </c>
    </row>
    <row r="92" spans="1:34">
      <c r="A92" t="s">
        <v>260</v>
      </c>
      <c r="B92" t="s">
        <v>261</v>
      </c>
      <c r="C92" s="2" t="s">
        <v>43</v>
      </c>
      <c r="D92" s="2"/>
      <c r="E92" s="2" t="s">
        <v>43</v>
      </c>
      <c r="F92" s="2"/>
      <c r="G92" s="2" t="s">
        <v>43</v>
      </c>
      <c r="H92" s="2"/>
      <c r="I92" s="2" t="s">
        <v>43</v>
      </c>
      <c r="J92" s="2"/>
      <c r="K92" s="2" t="s">
        <v>43</v>
      </c>
      <c r="L92" s="2"/>
      <c r="M92" s="2">
        <v>709</v>
      </c>
      <c r="N92" s="2"/>
      <c r="O92" s="2">
        <v>718</v>
      </c>
      <c r="P92" s="2"/>
      <c r="Q92" s="2">
        <v>676</v>
      </c>
      <c r="R92" s="2"/>
      <c r="S92" s="2">
        <v>679</v>
      </c>
      <c r="T92" s="2"/>
      <c r="U92" s="2">
        <v>693</v>
      </c>
      <c r="V92" s="2"/>
      <c r="W92" s="2">
        <v>759</v>
      </c>
      <c r="X92" s="2" t="s">
        <v>334</v>
      </c>
      <c r="Y92" s="2">
        <v>402</v>
      </c>
      <c r="Z92" s="2"/>
      <c r="AA92" s="2">
        <v>411</v>
      </c>
      <c r="AB92" s="2"/>
      <c r="AC92" s="2">
        <f>Post2020_Derivation!G122</f>
        <v>432</v>
      </c>
      <c r="AD92" s="2" t="e">
        <f ca="1">IF(Post2020_Derivation!H122="","",Post2020_Derivation!H122)</f>
        <v>#NAME?</v>
      </c>
      <c r="AE92" s="2">
        <f>Post2020_Derivation!M122</f>
        <v>440</v>
      </c>
      <c r="AF92" s="2" t="e">
        <f ca="1">IF(Post2020_Derivation!N122="","",Post2020_Derivation!N122)</f>
        <v>#NAME?</v>
      </c>
      <c r="AG92" s="2">
        <f>Post2020_Derivation!S122</f>
        <v>416</v>
      </c>
      <c r="AH92" s="2" t="e">
        <f ca="1">IF(Post2020_Derivation!T122="","",Post2020_Derivation!T122)</f>
        <v>#NAME?</v>
      </c>
    </row>
    <row r="93" spans="1:34">
      <c r="A93" t="s">
        <v>262</v>
      </c>
      <c r="B93" t="s">
        <v>263</v>
      </c>
      <c r="C93" s="2" t="s">
        <v>43</v>
      </c>
      <c r="D93" s="2"/>
      <c r="E93" s="2" t="s">
        <v>43</v>
      </c>
      <c r="F93" s="2"/>
      <c r="G93" s="2" t="s">
        <v>43</v>
      </c>
      <c r="H93" s="2"/>
      <c r="I93" s="2" t="s">
        <v>43</v>
      </c>
      <c r="J93" s="2"/>
      <c r="K93" s="2" t="s">
        <v>43</v>
      </c>
      <c r="L93" s="2"/>
      <c r="M93" s="2">
        <v>17</v>
      </c>
      <c r="N93" s="2"/>
      <c r="O93" s="2" t="s">
        <v>43</v>
      </c>
      <c r="P93" s="2" t="s">
        <v>44</v>
      </c>
      <c r="Q93" s="2">
        <v>18</v>
      </c>
      <c r="R93" s="2"/>
      <c r="S93" s="2">
        <v>16</v>
      </c>
      <c r="T93" s="2"/>
      <c r="U93" s="2">
        <v>15</v>
      </c>
      <c r="V93" s="2"/>
      <c r="W93" s="2">
        <v>16</v>
      </c>
      <c r="X93" s="2" t="s">
        <v>334</v>
      </c>
      <c r="Y93" s="2">
        <v>15</v>
      </c>
      <c r="Z93" s="2"/>
      <c r="AA93" s="2" t="s">
        <v>43</v>
      </c>
      <c r="AB93" s="2" t="s">
        <v>44</v>
      </c>
      <c r="AC93" s="2">
        <f>Post2020_Derivation!G123</f>
        <v>18</v>
      </c>
      <c r="AD93" s="2" t="e">
        <f ca="1">IF(Post2020_Derivation!H123="","",Post2020_Derivation!H123)</f>
        <v>#NAME?</v>
      </c>
      <c r="AE93" s="2">
        <f>Post2020_Derivation!M123</f>
        <v>18</v>
      </c>
      <c r="AF93" s="2" t="e">
        <f ca="1">IF(Post2020_Derivation!N123="","",Post2020_Derivation!N123)</f>
        <v>#NAME?</v>
      </c>
      <c r="AG93" s="2">
        <f>Post2020_Derivation!S123</f>
        <v>14</v>
      </c>
      <c r="AH93" s="2" t="e">
        <f ca="1">IF(Post2020_Derivation!T123="","",Post2020_Derivation!T123)</f>
        <v>#NAME?</v>
      </c>
    </row>
    <row r="94" spans="1:34">
      <c r="A94" t="s">
        <v>264</v>
      </c>
      <c r="B94" t="s">
        <v>265</v>
      </c>
      <c r="C94" s="2" t="s">
        <v>43</v>
      </c>
      <c r="D94" s="2"/>
      <c r="E94" s="2" t="s">
        <v>43</v>
      </c>
      <c r="F94" s="2"/>
      <c r="G94" s="2" t="s">
        <v>43</v>
      </c>
      <c r="H94" s="2"/>
      <c r="I94" s="2" t="s">
        <v>43</v>
      </c>
      <c r="J94" s="2"/>
      <c r="K94" s="2" t="s">
        <v>43</v>
      </c>
      <c r="L94" s="2"/>
      <c r="M94" s="2">
        <v>24</v>
      </c>
      <c r="N94" s="2"/>
      <c r="O94" s="2" t="s">
        <v>43</v>
      </c>
      <c r="P94" s="2" t="s">
        <v>44</v>
      </c>
      <c r="Q94" s="2">
        <v>10</v>
      </c>
      <c r="R94" s="2"/>
      <c r="S94" s="2">
        <v>15</v>
      </c>
      <c r="T94" s="2"/>
      <c r="U94" s="2">
        <v>11</v>
      </c>
      <c r="V94" s="2"/>
      <c r="W94" s="2">
        <v>14</v>
      </c>
      <c r="X94" s="2" t="s">
        <v>334</v>
      </c>
      <c r="Y94" s="2">
        <v>14</v>
      </c>
      <c r="Z94" s="2"/>
      <c r="AA94" s="2" t="s">
        <v>43</v>
      </c>
      <c r="AB94" s="2" t="s">
        <v>44</v>
      </c>
      <c r="AC94" s="2">
        <f>Post2020_Derivation!G124</f>
        <v>18</v>
      </c>
      <c r="AD94" s="2" t="e">
        <f ca="1">IF(Post2020_Derivation!H124="","",Post2020_Derivation!H124)</f>
        <v>#NAME?</v>
      </c>
      <c r="AE94" s="2">
        <f>Post2020_Derivation!M124</f>
        <v>18</v>
      </c>
      <c r="AF94" s="2" t="e">
        <f ca="1">IF(Post2020_Derivation!N124="","",Post2020_Derivation!N124)</f>
        <v>#NAME?</v>
      </c>
      <c r="AG94" s="2">
        <f>Post2020_Derivation!S124</f>
        <v>18</v>
      </c>
      <c r="AH94" s="2" t="e">
        <f ca="1">IF(Post2020_Derivation!T124="","",Post2020_Derivation!T124)</f>
        <v>#NAME?</v>
      </c>
    </row>
    <row r="95" spans="1:34">
      <c r="A95" t="s">
        <v>266</v>
      </c>
      <c r="B95" t="s">
        <v>267</v>
      </c>
      <c r="C95" s="2" t="s">
        <v>43</v>
      </c>
      <c r="D95" s="2"/>
      <c r="E95" s="2" t="s">
        <v>43</v>
      </c>
      <c r="F95" s="2"/>
      <c r="G95" s="2" t="s">
        <v>43</v>
      </c>
      <c r="H95" s="2"/>
      <c r="I95" s="2" t="s">
        <v>43</v>
      </c>
      <c r="J95" s="2"/>
      <c r="K95" s="2" t="s">
        <v>43</v>
      </c>
      <c r="L95" s="2"/>
      <c r="M95" s="2" t="s">
        <v>43</v>
      </c>
      <c r="N95" s="2" t="s">
        <v>44</v>
      </c>
      <c r="O95" s="2">
        <v>248</v>
      </c>
      <c r="P95" s="2"/>
      <c r="Q95" s="2">
        <v>179</v>
      </c>
      <c r="R95" s="2"/>
      <c r="S95" s="2">
        <v>225</v>
      </c>
      <c r="T95" s="2"/>
      <c r="U95" s="2">
        <v>188</v>
      </c>
      <c r="V95" s="2"/>
      <c r="W95" s="2">
        <v>201</v>
      </c>
      <c r="X95" s="2" t="s">
        <v>334</v>
      </c>
      <c r="Y95" s="2">
        <v>218</v>
      </c>
      <c r="Z95" s="2"/>
      <c r="AA95" s="2">
        <v>213</v>
      </c>
      <c r="AB95" s="2"/>
      <c r="AC95" s="2">
        <f>Post2020_Derivation!G125</f>
        <v>232</v>
      </c>
      <c r="AD95" s="2" t="e">
        <f ca="1">IF(Post2020_Derivation!H125="","",Post2020_Derivation!H125)</f>
        <v>#NAME?</v>
      </c>
      <c r="AE95" s="2">
        <f>Post2020_Derivation!M125</f>
        <v>234</v>
      </c>
      <c r="AF95" s="2" t="e">
        <f ca="1">IF(Post2020_Derivation!N125="","",Post2020_Derivation!N125)</f>
        <v>#NAME?</v>
      </c>
      <c r="AG95" s="2">
        <f>Post2020_Derivation!S125</f>
        <v>256</v>
      </c>
      <c r="AH95" s="2" t="e">
        <f ca="1">IF(Post2020_Derivation!T125="","",Post2020_Derivation!T125)</f>
        <v>#NAME?</v>
      </c>
    </row>
    <row r="96" spans="1:34">
      <c r="A96" t="s">
        <v>268</v>
      </c>
      <c r="B96" t="s">
        <v>269</v>
      </c>
      <c r="C96" s="2" t="s">
        <v>43</v>
      </c>
      <c r="D96" s="2"/>
      <c r="E96" s="2" t="s">
        <v>43</v>
      </c>
      <c r="F96" s="2"/>
      <c r="G96" s="2" t="s">
        <v>43</v>
      </c>
      <c r="H96" s="2"/>
      <c r="I96" s="2" t="s">
        <v>43</v>
      </c>
      <c r="J96" s="2"/>
      <c r="K96" s="2" t="s">
        <v>43</v>
      </c>
      <c r="L96" s="2"/>
      <c r="M96" s="2">
        <v>167</v>
      </c>
      <c r="N96" s="2"/>
      <c r="O96" s="2">
        <v>72</v>
      </c>
      <c r="P96" s="2"/>
      <c r="Q96" s="2">
        <v>51</v>
      </c>
      <c r="R96" s="2"/>
      <c r="S96" s="2">
        <v>64</v>
      </c>
      <c r="T96" s="2"/>
      <c r="U96" s="2">
        <v>61</v>
      </c>
      <c r="V96" s="2"/>
      <c r="W96" s="2">
        <v>69</v>
      </c>
      <c r="X96" s="2" t="s">
        <v>334</v>
      </c>
      <c r="Y96" s="2">
        <v>70</v>
      </c>
      <c r="Z96" s="2"/>
      <c r="AA96" s="2">
        <v>65</v>
      </c>
      <c r="AB96" s="2"/>
      <c r="AC96" s="2">
        <f>Post2020_Derivation!G126</f>
        <v>70</v>
      </c>
      <c r="AD96" s="2" t="e">
        <f ca="1">IF(Post2020_Derivation!H126="","",Post2020_Derivation!H126)</f>
        <v>#NAME?</v>
      </c>
      <c r="AE96" s="2">
        <f>Post2020_Derivation!M126</f>
        <v>111</v>
      </c>
      <c r="AF96" s="2" t="e">
        <f ca="1">IF(Post2020_Derivation!N126="","",Post2020_Derivation!N126)</f>
        <v>#NAME?</v>
      </c>
      <c r="AG96" s="2">
        <f>Post2020_Derivation!S126</f>
        <v>120</v>
      </c>
      <c r="AH96" s="2" t="e">
        <f ca="1">IF(Post2020_Derivation!T126="","",Post2020_Derivation!T126)</f>
        <v>#NAME?</v>
      </c>
    </row>
    <row r="97" spans="1:34">
      <c r="A97" t="s">
        <v>270</v>
      </c>
      <c r="B97" t="s">
        <v>271</v>
      </c>
      <c r="C97" s="2" t="s">
        <v>43</v>
      </c>
      <c r="D97" s="2"/>
      <c r="E97" s="2" t="s">
        <v>43</v>
      </c>
      <c r="F97" s="2"/>
      <c r="G97" s="2" t="s">
        <v>43</v>
      </c>
      <c r="H97" s="2"/>
      <c r="I97" s="2" t="s">
        <v>43</v>
      </c>
      <c r="J97" s="2"/>
      <c r="K97" s="2" t="s">
        <v>43</v>
      </c>
      <c r="L97" s="2"/>
      <c r="M97" s="2" t="s">
        <v>43</v>
      </c>
      <c r="N97" s="2" t="s">
        <v>44</v>
      </c>
      <c r="O97" s="2" t="s">
        <v>43</v>
      </c>
      <c r="P97" s="2" t="s">
        <v>44</v>
      </c>
      <c r="Q97" s="2">
        <v>8</v>
      </c>
      <c r="R97" s="2"/>
      <c r="S97" s="2">
        <v>13</v>
      </c>
      <c r="T97" s="2"/>
      <c r="U97" s="2">
        <v>9</v>
      </c>
      <c r="V97" s="2"/>
      <c r="W97" s="2">
        <v>10</v>
      </c>
      <c r="X97" s="2" t="s">
        <v>334</v>
      </c>
      <c r="Y97" s="2">
        <v>11</v>
      </c>
      <c r="Z97" s="2"/>
      <c r="AA97" s="2" t="s">
        <v>43</v>
      </c>
      <c r="AB97" s="2" t="s">
        <v>44</v>
      </c>
      <c r="AC97" s="2">
        <f>Post2020_Derivation!G127</f>
        <v>10</v>
      </c>
      <c r="AD97" s="2" t="e">
        <f ca="1">IF(Post2020_Derivation!H127="","",Post2020_Derivation!H127)</f>
        <v>#NAME?</v>
      </c>
      <c r="AE97" s="2">
        <f>Post2020_Derivation!M127</f>
        <v>10</v>
      </c>
      <c r="AF97" s="2" t="e">
        <f ca="1">IF(Post2020_Derivation!N127="","",Post2020_Derivation!N127)</f>
        <v>#NAME?</v>
      </c>
      <c r="AG97" s="2">
        <f>Post2020_Derivation!S127</f>
        <v>10</v>
      </c>
      <c r="AH97" s="2" t="e">
        <f ca="1">IF(Post2020_Derivation!T127="","",Post2020_Derivation!T127)</f>
        <v>#NAME?</v>
      </c>
    </row>
    <row r="98" spans="1:34">
      <c r="A98" t="s">
        <v>272</v>
      </c>
      <c r="B98" t="s">
        <v>273</v>
      </c>
      <c r="C98" s="2" t="s">
        <v>43</v>
      </c>
      <c r="D98" s="2"/>
      <c r="E98" s="2" t="s">
        <v>43</v>
      </c>
      <c r="F98" s="2"/>
      <c r="G98" s="2" t="s">
        <v>43</v>
      </c>
      <c r="H98" s="2"/>
      <c r="I98" s="2" t="s">
        <v>43</v>
      </c>
      <c r="J98" s="2"/>
      <c r="K98" s="2" t="s">
        <v>43</v>
      </c>
      <c r="L98" s="2"/>
      <c r="M98" s="2">
        <v>83</v>
      </c>
      <c r="N98" s="2"/>
      <c r="O98" s="2">
        <v>69</v>
      </c>
      <c r="P98" s="2"/>
      <c r="Q98" s="2">
        <v>46</v>
      </c>
      <c r="R98" s="2"/>
      <c r="S98" s="2">
        <v>63</v>
      </c>
      <c r="T98" s="2"/>
      <c r="U98" s="2">
        <v>41</v>
      </c>
      <c r="V98" s="2"/>
      <c r="W98" s="2">
        <v>48</v>
      </c>
      <c r="X98" s="2" t="s">
        <v>334</v>
      </c>
      <c r="Y98" s="2">
        <v>55</v>
      </c>
      <c r="Z98" s="2"/>
      <c r="AA98" s="2" t="s">
        <v>43</v>
      </c>
      <c r="AB98" s="2" t="s">
        <v>44</v>
      </c>
      <c r="AC98" s="2">
        <f>Post2020_Derivation!G128</f>
        <v>54</v>
      </c>
      <c r="AD98" s="2" t="e">
        <f ca="1">IF(Post2020_Derivation!H128="","",Post2020_Derivation!H128)</f>
        <v>#NAME?</v>
      </c>
      <c r="AE98" s="2">
        <f>Post2020_Derivation!M128</f>
        <v>52</v>
      </c>
      <c r="AF98" s="2" t="e">
        <f ca="1">IF(Post2020_Derivation!N128="","",Post2020_Derivation!N128)</f>
        <v>#NAME?</v>
      </c>
      <c r="AG98" s="2">
        <f>Post2020_Derivation!S128</f>
        <v>64</v>
      </c>
      <c r="AH98" s="2" t="e">
        <f ca="1">IF(Post2020_Derivation!T128="","",Post2020_Derivation!T128)</f>
        <v>#NAME?</v>
      </c>
    </row>
    <row r="99" spans="1:34">
      <c r="A99" t="s">
        <v>274</v>
      </c>
      <c r="B99" t="s">
        <v>275</v>
      </c>
      <c r="C99" s="2" t="s">
        <v>43</v>
      </c>
      <c r="D99" s="2"/>
      <c r="E99" s="2" t="s">
        <v>43</v>
      </c>
      <c r="F99" s="2"/>
      <c r="G99" s="2" t="s">
        <v>43</v>
      </c>
      <c r="H99" s="2"/>
      <c r="I99" s="2" t="s">
        <v>43</v>
      </c>
      <c r="J99" s="2"/>
      <c r="K99" s="2" t="s">
        <v>43</v>
      </c>
      <c r="L99" s="2"/>
      <c r="M99" s="2">
        <v>32</v>
      </c>
      <c r="N99" s="2"/>
      <c r="O99" s="2" t="s">
        <v>43</v>
      </c>
      <c r="P99" s="2" t="s">
        <v>44</v>
      </c>
      <c r="Q99" s="2">
        <v>24</v>
      </c>
      <c r="R99" s="2"/>
      <c r="S99" s="2">
        <v>33</v>
      </c>
      <c r="T99" s="2"/>
      <c r="U99" s="2">
        <v>24</v>
      </c>
      <c r="V99" s="2"/>
      <c r="W99" s="2">
        <v>25</v>
      </c>
      <c r="X99" s="2" t="s">
        <v>334</v>
      </c>
      <c r="Y99" s="2">
        <v>27</v>
      </c>
      <c r="Z99" s="2"/>
      <c r="AA99" s="2">
        <v>30</v>
      </c>
      <c r="AB99" s="2"/>
      <c r="AC99" s="2">
        <f>Post2020_Derivation!G129</f>
        <v>34</v>
      </c>
      <c r="AD99" s="2" t="e">
        <f ca="1">IF(Post2020_Derivation!H129="","",Post2020_Derivation!H129)</f>
        <v>#NAME?</v>
      </c>
      <c r="AE99" s="2">
        <f>Post2020_Derivation!M129</f>
        <v>34</v>
      </c>
      <c r="AF99" s="2" t="e">
        <f ca="1">IF(Post2020_Derivation!N129="","",Post2020_Derivation!N129)</f>
        <v>#NAME?</v>
      </c>
      <c r="AG99" s="2">
        <f>Post2020_Derivation!S129</f>
        <v>40</v>
      </c>
      <c r="AH99" s="2" t="e">
        <f ca="1">IF(Post2020_Derivation!T129="","",Post2020_Derivation!T129)</f>
        <v>#NAME?</v>
      </c>
    </row>
    <row r="100" spans="1:34">
      <c r="A100" t="s">
        <v>276</v>
      </c>
      <c r="B100" t="s">
        <v>277</v>
      </c>
      <c r="C100" s="2" t="s">
        <v>43</v>
      </c>
      <c r="D100" s="2"/>
      <c r="E100" s="2" t="s">
        <v>43</v>
      </c>
      <c r="F100" s="2"/>
      <c r="G100" s="2" t="s">
        <v>43</v>
      </c>
      <c r="H100" s="2"/>
      <c r="I100" s="2" t="s">
        <v>43</v>
      </c>
      <c r="J100" s="2"/>
      <c r="K100" s="2" t="s">
        <v>43</v>
      </c>
      <c r="L100" s="2"/>
      <c r="M100" s="2">
        <v>49</v>
      </c>
      <c r="N100" s="2"/>
      <c r="O100" s="2">
        <v>59</v>
      </c>
      <c r="P100" s="2"/>
      <c r="Q100" s="2">
        <v>50</v>
      </c>
      <c r="R100" s="2"/>
      <c r="S100" s="2">
        <v>52</v>
      </c>
      <c r="T100" s="2"/>
      <c r="U100" s="2">
        <v>53</v>
      </c>
      <c r="V100" s="2"/>
      <c r="W100" s="2">
        <v>49</v>
      </c>
      <c r="X100" s="2" t="s">
        <v>334</v>
      </c>
      <c r="Y100" s="2">
        <v>55</v>
      </c>
      <c r="Z100" s="2"/>
      <c r="AA100" s="2">
        <v>53</v>
      </c>
      <c r="AB100" s="2"/>
      <c r="AC100" s="2">
        <f>Post2020_Derivation!G130</f>
        <v>64</v>
      </c>
      <c r="AD100" s="2" t="e">
        <f ca="1">IF(Post2020_Derivation!H130="","",Post2020_Derivation!H130)</f>
        <v>#NAME?</v>
      </c>
      <c r="AE100" s="2">
        <f>Post2020_Derivation!M130</f>
        <v>64</v>
      </c>
      <c r="AF100" s="2" t="e">
        <f ca="1">IF(Post2020_Derivation!N130="","",Post2020_Derivation!N130)</f>
        <v>#NAME?</v>
      </c>
      <c r="AG100" s="2">
        <f>Post2020_Derivation!S130</f>
        <v>62</v>
      </c>
      <c r="AH100" s="2" t="e">
        <f ca="1">IF(Post2020_Derivation!T130="","",Post2020_Derivation!T130)</f>
        <v>#NAME?</v>
      </c>
    </row>
    <row r="101" spans="1:34">
      <c r="A101" t="s">
        <v>278</v>
      </c>
      <c r="B101" t="s">
        <v>68</v>
      </c>
      <c r="C101" s="2">
        <v>0</v>
      </c>
      <c r="D101" s="2"/>
      <c r="E101" s="2" t="s">
        <v>43</v>
      </c>
      <c r="F101" s="2"/>
      <c r="G101" s="2" t="s">
        <v>43</v>
      </c>
      <c r="H101" s="2"/>
      <c r="I101" s="2" t="s">
        <v>43</v>
      </c>
      <c r="J101" s="2"/>
      <c r="K101" s="2" t="s">
        <v>43</v>
      </c>
      <c r="L101" s="2"/>
      <c r="M101" s="2" t="s">
        <v>43</v>
      </c>
      <c r="N101" s="2"/>
      <c r="O101" s="2">
        <v>0</v>
      </c>
      <c r="P101" s="2"/>
      <c r="Q101" s="2">
        <v>0</v>
      </c>
      <c r="R101" s="2" t="s">
        <v>334</v>
      </c>
      <c r="S101" s="2">
        <v>0</v>
      </c>
      <c r="T101" s="2"/>
      <c r="U101" s="2">
        <v>0</v>
      </c>
      <c r="V101" s="2"/>
      <c r="W101" s="2">
        <v>0</v>
      </c>
      <c r="X101" s="2" t="s">
        <v>334</v>
      </c>
      <c r="Y101" s="2" t="s">
        <v>43</v>
      </c>
      <c r="Z101" s="2"/>
      <c r="AA101" s="2" t="s">
        <v>43</v>
      </c>
      <c r="AB101" s="2"/>
      <c r="AC101" s="2" t="str">
        <f>Post2020_Derivation!G131</f>
        <v/>
      </c>
      <c r="AD101" s="2" t="e">
        <f ca="1">IF(Post2020_Derivation!H131="","",Post2020_Derivation!H131)</f>
        <v>#NAME?</v>
      </c>
      <c r="AE101" s="2" t="str">
        <f>Post2020_Derivation!M131</f>
        <v/>
      </c>
      <c r="AF101" s="2" t="e">
        <f ca="1">IF(Post2020_Derivation!N131="","",Post2020_Derivation!N131)</f>
        <v>#NAME?</v>
      </c>
      <c r="AG101" s="2" t="str">
        <f>Post2020_Derivation!S131</f>
        <v/>
      </c>
      <c r="AH101" s="2" t="e">
        <f ca="1">IF(Post2020_Derivation!T131="","",Post2020_Derivation!T131)</f>
        <v>#NAME?</v>
      </c>
    </row>
    <row r="102" spans="1:34">
      <c r="A102" t="s">
        <v>279</v>
      </c>
      <c r="B102" t="s">
        <v>70</v>
      </c>
      <c r="C102" s="2">
        <v>0</v>
      </c>
      <c r="D102" s="2"/>
      <c r="E102" s="2" t="s">
        <v>43</v>
      </c>
      <c r="F102" s="2"/>
      <c r="G102" s="2" t="s">
        <v>43</v>
      </c>
      <c r="H102" s="2"/>
      <c r="I102" s="2" t="s">
        <v>43</v>
      </c>
      <c r="J102" s="2"/>
      <c r="K102" s="2" t="s">
        <v>43</v>
      </c>
      <c r="L102" s="2"/>
      <c r="M102" s="2" t="s">
        <v>43</v>
      </c>
      <c r="N102" s="2"/>
      <c r="O102" s="2">
        <v>0</v>
      </c>
      <c r="P102" s="2"/>
      <c r="Q102" s="2">
        <v>0</v>
      </c>
      <c r="R102" s="2" t="s">
        <v>334</v>
      </c>
      <c r="S102" s="2">
        <v>0</v>
      </c>
      <c r="T102" s="2"/>
      <c r="U102" s="2">
        <v>0</v>
      </c>
      <c r="V102" s="2"/>
      <c r="W102" s="2">
        <v>0</v>
      </c>
      <c r="X102" s="2" t="s">
        <v>334</v>
      </c>
      <c r="Y102" s="2" t="s">
        <v>43</v>
      </c>
      <c r="Z102" s="2"/>
      <c r="AA102" s="2" t="s">
        <v>43</v>
      </c>
      <c r="AB102" s="2"/>
      <c r="AC102" s="2" t="str">
        <f>Post2020_Derivation!G132</f>
        <v/>
      </c>
      <c r="AD102" s="2" t="e">
        <f ca="1">IF(Post2020_Derivation!H132="","",Post2020_Derivation!H132)</f>
        <v>#NAME?</v>
      </c>
      <c r="AE102" s="2" t="str">
        <f>Post2020_Derivation!M132</f>
        <v/>
      </c>
      <c r="AF102" s="2" t="e">
        <f ca="1">IF(Post2020_Derivation!N132="","",Post2020_Derivation!N132)</f>
        <v>#NAME?</v>
      </c>
      <c r="AG102" s="2" t="str">
        <f>Post2020_Derivation!S132</f>
        <v/>
      </c>
      <c r="AH102" s="2" t="e">
        <f ca="1">IF(Post2020_Derivation!T132="","",Post2020_Derivation!T132)</f>
        <v>#NAME?</v>
      </c>
    </row>
    <row r="103" spans="1:34">
      <c r="A103" t="s">
        <v>280</v>
      </c>
      <c r="B103" t="s">
        <v>281</v>
      </c>
      <c r="C103" s="2">
        <v>164407</v>
      </c>
      <c r="D103" s="2"/>
      <c r="E103" s="2">
        <v>146004</v>
      </c>
      <c r="F103" s="2"/>
      <c r="G103" s="2">
        <v>141426</v>
      </c>
      <c r="H103" s="2"/>
      <c r="I103" s="2">
        <v>139832</v>
      </c>
      <c r="J103" s="2"/>
      <c r="K103" s="2">
        <v>134503</v>
      </c>
      <c r="L103" s="2"/>
      <c r="M103" s="2">
        <v>131837</v>
      </c>
      <c r="N103" s="2"/>
      <c r="O103" s="2">
        <v>135997</v>
      </c>
      <c r="P103" s="2"/>
      <c r="Q103" s="2">
        <v>144252</v>
      </c>
      <c r="R103" s="2"/>
      <c r="S103" s="2">
        <v>152123</v>
      </c>
      <c r="T103" s="2"/>
      <c r="U103" s="2">
        <v>156259</v>
      </c>
      <c r="V103" s="2"/>
      <c r="W103" s="2">
        <v>158276</v>
      </c>
      <c r="X103" s="2" t="s">
        <v>334</v>
      </c>
      <c r="Y103" s="2">
        <v>156093</v>
      </c>
      <c r="Z103" s="2"/>
      <c r="AA103" s="2">
        <v>154145</v>
      </c>
      <c r="AB103" s="2"/>
      <c r="AC103" s="2">
        <f>Post2020_Derivation!G133</f>
        <v>152775</v>
      </c>
      <c r="AD103" s="2" t="e">
        <f ca="1">IF(Post2020_Derivation!H133="","",Post2020_Derivation!H133)</f>
        <v>#NAME?</v>
      </c>
      <c r="AE103" s="2">
        <f>Post2020_Derivation!M133</f>
        <v>149942</v>
      </c>
      <c r="AF103" s="2" t="e">
        <f ca="1">IF(Post2020_Derivation!N133="","",Post2020_Derivation!N133)</f>
        <v>#NAME?</v>
      </c>
      <c r="AG103" s="2">
        <f>Post2020_Derivation!S133</f>
        <v>147852</v>
      </c>
      <c r="AH103" s="2" t="e">
        <f ca="1">IF(Post2020_Derivation!T133="","",Post2020_Derivation!T133)</f>
        <v>#NAME?</v>
      </c>
    </row>
    <row r="104" spans="1:34">
      <c r="A104" t="s">
        <v>282</v>
      </c>
      <c r="B104" t="s">
        <v>283</v>
      </c>
      <c r="C104" s="2">
        <v>22788</v>
      </c>
      <c r="D104" s="2"/>
      <c r="E104" s="2">
        <v>19492</v>
      </c>
      <c r="F104" s="2"/>
      <c r="G104" s="2">
        <v>18922</v>
      </c>
      <c r="H104" s="2"/>
      <c r="I104" s="2">
        <v>18110</v>
      </c>
      <c r="J104" s="2"/>
      <c r="K104" s="2">
        <v>17391</v>
      </c>
      <c r="L104" s="2"/>
      <c r="M104" s="2">
        <v>17377</v>
      </c>
      <c r="N104" s="2"/>
      <c r="O104" s="2">
        <v>16514</v>
      </c>
      <c r="P104" s="2"/>
      <c r="Q104" s="2">
        <v>16313</v>
      </c>
      <c r="R104" s="2"/>
      <c r="S104" s="2">
        <v>17545</v>
      </c>
      <c r="T104" s="2"/>
      <c r="U104" s="2">
        <v>17917</v>
      </c>
      <c r="V104" s="2"/>
      <c r="W104" s="2">
        <v>18518</v>
      </c>
      <c r="X104" s="2" t="s">
        <v>334</v>
      </c>
      <c r="Y104" s="2">
        <v>18279</v>
      </c>
      <c r="Z104" s="2"/>
      <c r="AA104" s="2">
        <v>20131</v>
      </c>
      <c r="AB104" s="2"/>
      <c r="AC104" s="2">
        <f>Post2020_Derivation!G134</f>
        <v>20160</v>
      </c>
      <c r="AD104" s="2" t="e">
        <f ca="1">IF(Post2020_Derivation!H134="","",Post2020_Derivation!H134)</f>
        <v>#NAME?</v>
      </c>
      <c r="AE104" s="2">
        <f>Post2020_Derivation!M134</f>
        <v>19228</v>
      </c>
      <c r="AF104" s="2" t="e">
        <f ca="1">IF(Post2020_Derivation!N134="","",Post2020_Derivation!N134)</f>
        <v>#NAME?</v>
      </c>
      <c r="AG104" s="2">
        <f>Post2020_Derivation!S134</f>
        <v>19497</v>
      </c>
      <c r="AH104" s="2" t="e">
        <f ca="1">IF(Post2020_Derivation!T134="","",Post2020_Derivation!T134)</f>
        <v>#NAME?</v>
      </c>
    </row>
    <row r="105" spans="1:34">
      <c r="A105" t="s">
        <v>284</v>
      </c>
      <c r="B105" t="s">
        <v>285</v>
      </c>
      <c r="C105" s="2">
        <v>18839</v>
      </c>
      <c r="D105" s="2"/>
      <c r="E105" s="2">
        <v>16026</v>
      </c>
      <c r="F105" s="2"/>
      <c r="G105" s="2">
        <v>15374</v>
      </c>
      <c r="H105" s="2"/>
      <c r="I105" s="2">
        <v>14523</v>
      </c>
      <c r="J105" s="2"/>
      <c r="K105" s="2">
        <v>13986</v>
      </c>
      <c r="L105" s="2"/>
      <c r="M105" s="2">
        <v>14043</v>
      </c>
      <c r="N105" s="2"/>
      <c r="O105" s="2">
        <v>13198</v>
      </c>
      <c r="P105" s="2"/>
      <c r="Q105" s="2">
        <v>12962</v>
      </c>
      <c r="R105" s="2"/>
      <c r="S105" s="2">
        <v>13911</v>
      </c>
      <c r="T105" s="2"/>
      <c r="U105" s="2">
        <v>13898</v>
      </c>
      <c r="V105" s="2"/>
      <c r="W105" s="2">
        <v>14526</v>
      </c>
      <c r="X105" s="2" t="s">
        <v>334</v>
      </c>
      <c r="Y105" s="2">
        <v>14513</v>
      </c>
      <c r="Z105" s="2"/>
      <c r="AA105" s="2">
        <v>16377</v>
      </c>
      <c r="AB105" s="2"/>
      <c r="AC105" s="2">
        <f>Post2020_Derivation!G135</f>
        <v>16335</v>
      </c>
      <c r="AD105" s="2" t="e">
        <f ca="1">IF(Post2020_Derivation!H135="","",Post2020_Derivation!H135)</f>
        <v>#NAME?</v>
      </c>
      <c r="AE105" s="2">
        <f>Post2020_Derivation!M135</f>
        <v>15600</v>
      </c>
      <c r="AF105" s="2" t="e">
        <f ca="1">IF(Post2020_Derivation!N135="","",Post2020_Derivation!N135)</f>
        <v>#NAME?</v>
      </c>
      <c r="AG105" s="2">
        <f>Post2020_Derivation!S135</f>
        <v>15730</v>
      </c>
      <c r="AH105" s="2" t="e">
        <f ca="1">IF(Post2020_Derivation!T135="","",Post2020_Derivation!T135)</f>
        <v>#NAME?</v>
      </c>
    </row>
    <row r="106" spans="1:34">
      <c r="A106" t="s">
        <v>286</v>
      </c>
      <c r="B106" t="s">
        <v>287</v>
      </c>
      <c r="C106" s="2">
        <v>1167</v>
      </c>
      <c r="D106" s="2"/>
      <c r="E106" s="2">
        <v>904</v>
      </c>
      <c r="F106" s="2"/>
      <c r="G106" s="2">
        <v>1037</v>
      </c>
      <c r="H106" s="2"/>
      <c r="I106" s="2">
        <v>1034</v>
      </c>
      <c r="J106" s="2"/>
      <c r="K106" s="2">
        <v>926</v>
      </c>
      <c r="L106" s="2"/>
      <c r="M106" s="2">
        <v>804</v>
      </c>
      <c r="N106" s="2"/>
      <c r="O106" s="2">
        <v>782</v>
      </c>
      <c r="P106" s="2"/>
      <c r="Q106" s="2">
        <v>791</v>
      </c>
      <c r="R106" s="2"/>
      <c r="S106" s="2">
        <v>764</v>
      </c>
      <c r="T106" s="2"/>
      <c r="U106" s="2">
        <v>866</v>
      </c>
      <c r="V106" s="2"/>
      <c r="W106" s="2">
        <v>870</v>
      </c>
      <c r="X106" s="2" t="s">
        <v>334</v>
      </c>
      <c r="Y106" s="2">
        <v>866</v>
      </c>
      <c r="Z106" s="2"/>
      <c r="AA106" s="2">
        <v>856</v>
      </c>
      <c r="AB106" s="2"/>
      <c r="AC106" s="2">
        <f>Post2020_Derivation!G136</f>
        <v>621</v>
      </c>
      <c r="AD106" s="2" t="e">
        <f ca="1">IF(Post2020_Derivation!H136="","",Post2020_Derivation!H136)</f>
        <v>#NAME?</v>
      </c>
      <c r="AE106" s="2">
        <f>Post2020_Derivation!M136</f>
        <v>630</v>
      </c>
      <c r="AF106" s="2" t="e">
        <f ca="1">IF(Post2020_Derivation!N136="","",Post2020_Derivation!N136)</f>
        <v>#NAME?</v>
      </c>
      <c r="AG106" s="2">
        <f>Post2020_Derivation!S136</f>
        <v>646</v>
      </c>
      <c r="AH106" s="2" t="e">
        <f ca="1">IF(Post2020_Derivation!T136="","",Post2020_Derivation!T136)</f>
        <v>#NAME?</v>
      </c>
    </row>
    <row r="107" spans="1:34">
      <c r="A107" t="s">
        <v>288</v>
      </c>
      <c r="B107" t="s">
        <v>289</v>
      </c>
      <c r="C107" s="2">
        <v>2782</v>
      </c>
      <c r="D107" s="2"/>
      <c r="E107" s="2">
        <v>2562</v>
      </c>
      <c r="F107" s="2"/>
      <c r="G107" s="2">
        <v>2511</v>
      </c>
      <c r="H107" s="2"/>
      <c r="I107" s="2">
        <v>2553</v>
      </c>
      <c r="J107" s="2"/>
      <c r="K107" s="2">
        <v>2479</v>
      </c>
      <c r="L107" s="2"/>
      <c r="M107" s="2">
        <v>2530</v>
      </c>
      <c r="N107" s="2"/>
      <c r="O107" s="2">
        <v>2534</v>
      </c>
      <c r="P107" s="2"/>
      <c r="Q107" s="2">
        <v>2560</v>
      </c>
      <c r="R107" s="2"/>
      <c r="S107" s="2">
        <v>2871</v>
      </c>
      <c r="T107" s="2"/>
      <c r="U107" s="2">
        <v>3153</v>
      </c>
      <c r="V107" s="2"/>
      <c r="W107" s="2">
        <v>3121</v>
      </c>
      <c r="X107" s="2" t="s">
        <v>334</v>
      </c>
      <c r="Y107" s="2">
        <v>2900</v>
      </c>
      <c r="Z107" s="2"/>
      <c r="AA107" s="2">
        <v>2898</v>
      </c>
      <c r="AB107" s="2"/>
      <c r="AC107" s="2">
        <f>Post2020_Derivation!G137</f>
        <v>3120</v>
      </c>
      <c r="AD107" s="2" t="e">
        <f ca="1">IF(Post2020_Derivation!H137="","",Post2020_Derivation!H137)</f>
        <v>#NAME?</v>
      </c>
      <c r="AE107" s="2">
        <f>Post2020_Derivation!M137</f>
        <v>3132</v>
      </c>
      <c r="AF107" s="2" t="e">
        <f ca="1">IF(Post2020_Derivation!N137="","",Post2020_Derivation!N137)</f>
        <v>#NAME?</v>
      </c>
      <c r="AG107" s="2">
        <f>Post2020_Derivation!S137</f>
        <v>3100</v>
      </c>
      <c r="AH107" s="2" t="e">
        <f ca="1">IF(Post2020_Derivation!T137="","",Post2020_Derivation!T137)</f>
        <v>#NAME?</v>
      </c>
    </row>
    <row r="108" spans="1:34">
      <c r="A108" t="s">
        <v>290</v>
      </c>
      <c r="B108" t="s">
        <v>291</v>
      </c>
      <c r="C108" s="2">
        <v>43748</v>
      </c>
      <c r="D108" s="2"/>
      <c r="E108" s="2">
        <v>41458</v>
      </c>
      <c r="F108" s="2"/>
      <c r="G108" s="2">
        <v>41177</v>
      </c>
      <c r="H108" s="2"/>
      <c r="I108" s="2">
        <v>40781</v>
      </c>
      <c r="J108" s="2"/>
      <c r="K108" s="2">
        <v>38792</v>
      </c>
      <c r="L108" s="2"/>
      <c r="M108" s="2">
        <v>36927</v>
      </c>
      <c r="N108" s="2"/>
      <c r="O108" s="2">
        <v>37711</v>
      </c>
      <c r="P108" s="2"/>
      <c r="Q108" s="2">
        <v>38042</v>
      </c>
      <c r="R108" s="2"/>
      <c r="S108" s="2">
        <v>42518</v>
      </c>
      <c r="T108" s="2"/>
      <c r="U108" s="2">
        <v>44205</v>
      </c>
      <c r="V108" s="2"/>
      <c r="W108" s="2">
        <v>45753</v>
      </c>
      <c r="X108" s="2" t="s">
        <v>334</v>
      </c>
      <c r="Y108" s="2">
        <v>45760</v>
      </c>
      <c r="Z108" s="2"/>
      <c r="AA108" s="2">
        <v>45133</v>
      </c>
      <c r="AB108" s="2"/>
      <c r="AC108" s="2">
        <f>Post2020_Derivation!G138</f>
        <v>44036</v>
      </c>
      <c r="AD108" s="2" t="e">
        <f ca="1">IF(Post2020_Derivation!H138="","",Post2020_Derivation!H138)</f>
        <v>#NAME?</v>
      </c>
      <c r="AE108" s="2">
        <f>Post2020_Derivation!M138</f>
        <v>44304</v>
      </c>
      <c r="AF108" s="2" t="e">
        <f ca="1">IF(Post2020_Derivation!N138="","",Post2020_Derivation!N138)</f>
        <v>#NAME?</v>
      </c>
      <c r="AG108" s="2">
        <f>Post2020_Derivation!S138</f>
        <v>43872</v>
      </c>
      <c r="AH108" s="2" t="e">
        <f ca="1">IF(Post2020_Derivation!T138="","",Post2020_Derivation!T138)</f>
        <v>#NAME?</v>
      </c>
    </row>
    <row r="109" spans="1:34">
      <c r="A109" t="s">
        <v>292</v>
      </c>
      <c r="B109" t="s">
        <v>293</v>
      </c>
      <c r="C109" s="2">
        <v>13844</v>
      </c>
      <c r="D109" s="2"/>
      <c r="E109" s="2">
        <v>12390</v>
      </c>
      <c r="F109" s="2"/>
      <c r="G109" s="2">
        <v>12903</v>
      </c>
      <c r="H109" s="2"/>
      <c r="I109" s="2">
        <v>12141</v>
      </c>
      <c r="J109" s="2"/>
      <c r="K109" s="2">
        <v>12081</v>
      </c>
      <c r="L109" s="2"/>
      <c r="M109" s="2">
        <v>12133</v>
      </c>
      <c r="N109" s="2"/>
      <c r="O109" s="2">
        <v>12456</v>
      </c>
      <c r="P109" s="2"/>
      <c r="Q109" s="2">
        <v>11700</v>
      </c>
      <c r="R109" s="2"/>
      <c r="S109" s="2">
        <v>13975</v>
      </c>
      <c r="T109" s="2"/>
      <c r="U109" s="2">
        <v>14169</v>
      </c>
      <c r="V109" s="2"/>
      <c r="W109" s="2">
        <v>14852</v>
      </c>
      <c r="X109" s="2" t="s">
        <v>334</v>
      </c>
      <c r="Y109" s="2">
        <v>14505</v>
      </c>
      <c r="Z109" s="2"/>
      <c r="AA109" s="2">
        <v>13662</v>
      </c>
      <c r="AB109" s="2"/>
      <c r="AC109" s="2">
        <f>Post2020_Derivation!G139</f>
        <v>13248</v>
      </c>
      <c r="AD109" s="2" t="e">
        <f ca="1">IF(Post2020_Derivation!H139="","",Post2020_Derivation!H139)</f>
        <v>#NAME?</v>
      </c>
      <c r="AE109" s="2">
        <f>Post2020_Derivation!M139</f>
        <v>13585</v>
      </c>
      <c r="AF109" s="2" t="e">
        <f ca="1">IF(Post2020_Derivation!N139="","",Post2020_Derivation!N139)</f>
        <v>#NAME?</v>
      </c>
      <c r="AG109" s="2">
        <f>Post2020_Derivation!S139</f>
        <v>13884</v>
      </c>
      <c r="AH109" s="2" t="e">
        <f ca="1">IF(Post2020_Derivation!T139="","",Post2020_Derivation!T139)</f>
        <v>#NAME?</v>
      </c>
    </row>
    <row r="110" spans="1:34">
      <c r="A110" t="s">
        <v>294</v>
      </c>
      <c r="B110" t="s">
        <v>295</v>
      </c>
      <c r="C110" s="2">
        <v>11697</v>
      </c>
      <c r="D110" s="2"/>
      <c r="E110" s="2">
        <v>11740</v>
      </c>
      <c r="F110" s="2"/>
      <c r="G110" s="2">
        <v>11908</v>
      </c>
      <c r="H110" s="2"/>
      <c r="I110" s="2">
        <v>12719</v>
      </c>
      <c r="J110" s="2"/>
      <c r="K110" s="2">
        <v>11590</v>
      </c>
      <c r="L110" s="2"/>
      <c r="M110" s="2">
        <v>11171</v>
      </c>
      <c r="N110" s="2"/>
      <c r="O110" s="2">
        <v>11010</v>
      </c>
      <c r="P110" s="2"/>
      <c r="Q110" s="2">
        <v>11607</v>
      </c>
      <c r="R110" s="2"/>
      <c r="S110" s="2">
        <v>11954</v>
      </c>
      <c r="T110" s="2"/>
      <c r="U110" s="2">
        <v>12010</v>
      </c>
      <c r="V110" s="2"/>
      <c r="W110" s="2">
        <v>12106</v>
      </c>
      <c r="X110" s="2" t="s">
        <v>334</v>
      </c>
      <c r="Y110" s="2">
        <v>12463</v>
      </c>
      <c r="Z110" s="2"/>
      <c r="AA110" s="2">
        <v>12629</v>
      </c>
      <c r="AB110" s="2"/>
      <c r="AC110" s="2">
        <f>Post2020_Derivation!G140</f>
        <v>12360</v>
      </c>
      <c r="AD110" s="2" t="e">
        <f ca="1">IF(Post2020_Derivation!H140="","",Post2020_Derivation!H140)</f>
        <v>#NAME?</v>
      </c>
      <c r="AE110" s="2">
        <f>Post2020_Derivation!M140</f>
        <v>12084</v>
      </c>
      <c r="AF110" s="2" t="e">
        <f ca="1">IF(Post2020_Derivation!N140="","",Post2020_Derivation!N140)</f>
        <v>#NAME?</v>
      </c>
      <c r="AG110" s="2">
        <f>Post2020_Derivation!S140</f>
        <v>12091</v>
      </c>
      <c r="AH110" s="2" t="e">
        <f ca="1">IF(Post2020_Derivation!T140="","",Post2020_Derivation!T140)</f>
        <v>#NAME?</v>
      </c>
    </row>
    <row r="111" spans="1:34">
      <c r="A111" t="s">
        <v>296</v>
      </c>
      <c r="B111" t="s">
        <v>297</v>
      </c>
      <c r="C111" s="2">
        <v>1261</v>
      </c>
      <c r="D111" s="2"/>
      <c r="E111" s="2">
        <v>1217</v>
      </c>
      <c r="F111" s="2"/>
      <c r="G111" s="2">
        <v>1237</v>
      </c>
      <c r="H111" s="2"/>
      <c r="I111" s="2">
        <v>1248</v>
      </c>
      <c r="J111" s="2"/>
      <c r="K111" s="2">
        <v>1178</v>
      </c>
      <c r="L111" s="2"/>
      <c r="M111" s="2">
        <v>821</v>
      </c>
      <c r="N111" s="2"/>
      <c r="O111" s="2">
        <v>905</v>
      </c>
      <c r="P111" s="2"/>
      <c r="Q111" s="2">
        <v>1037</v>
      </c>
      <c r="R111" s="2"/>
      <c r="S111" s="2">
        <v>1066</v>
      </c>
      <c r="T111" s="2"/>
      <c r="U111" s="2">
        <v>1321</v>
      </c>
      <c r="V111" s="2"/>
      <c r="W111" s="2">
        <v>1106</v>
      </c>
      <c r="X111" s="2" t="s">
        <v>334</v>
      </c>
      <c r="Y111" s="2">
        <v>1116</v>
      </c>
      <c r="Z111" s="2"/>
      <c r="AA111" s="2">
        <v>1159</v>
      </c>
      <c r="AB111" s="2"/>
      <c r="AC111" s="2">
        <f>Post2020_Derivation!G141</f>
        <v>1121</v>
      </c>
      <c r="AD111" s="2" t="e">
        <f ca="1">IF(Post2020_Derivation!H141="","",Post2020_Derivation!H141)</f>
        <v>#NAME?</v>
      </c>
      <c r="AE111" s="2">
        <f>Post2020_Derivation!M141</f>
        <v>1127</v>
      </c>
      <c r="AF111" s="2" t="e">
        <f ca="1">IF(Post2020_Derivation!N141="","",Post2020_Derivation!N141)</f>
        <v>#NAME?</v>
      </c>
      <c r="AG111" s="2">
        <f>Post2020_Derivation!S141</f>
        <v>1092</v>
      </c>
      <c r="AH111" s="2" t="e">
        <f ca="1">IF(Post2020_Derivation!T141="","",Post2020_Derivation!T141)</f>
        <v>#NAME?</v>
      </c>
    </row>
    <row r="112" spans="1:34">
      <c r="A112" t="s">
        <v>298</v>
      </c>
      <c r="B112" t="s">
        <v>299</v>
      </c>
      <c r="C112" s="2">
        <v>16946</v>
      </c>
      <c r="D112" s="2"/>
      <c r="E112" s="2">
        <v>16111</v>
      </c>
      <c r="F112" s="2"/>
      <c r="G112" s="2">
        <v>15130</v>
      </c>
      <c r="H112" s="2"/>
      <c r="I112" s="2">
        <v>14673</v>
      </c>
      <c r="J112" s="2"/>
      <c r="K112" s="2">
        <v>13942</v>
      </c>
      <c r="L112" s="2"/>
      <c r="M112" s="2">
        <v>12803</v>
      </c>
      <c r="N112" s="2"/>
      <c r="O112" s="2">
        <v>13340</v>
      </c>
      <c r="P112" s="2"/>
      <c r="Q112" s="2">
        <v>13698</v>
      </c>
      <c r="R112" s="2"/>
      <c r="S112" s="2">
        <v>15522</v>
      </c>
      <c r="T112" s="2"/>
      <c r="U112" s="2">
        <v>16705</v>
      </c>
      <c r="V112" s="2"/>
      <c r="W112" s="2">
        <v>17689</v>
      </c>
      <c r="X112" s="2" t="s">
        <v>334</v>
      </c>
      <c r="Y112" s="2">
        <v>17677</v>
      </c>
      <c r="Z112" s="2"/>
      <c r="AA112" s="2">
        <v>17683</v>
      </c>
      <c r="AB112" s="2"/>
      <c r="AC112" s="2">
        <f>Post2020_Derivation!G142</f>
        <v>17248</v>
      </c>
      <c r="AD112" s="2" t="e">
        <f ca="1">IF(Post2020_Derivation!H142="","",Post2020_Derivation!H142)</f>
        <v>#NAME?</v>
      </c>
      <c r="AE112" s="2">
        <f>Post2020_Derivation!M142</f>
        <v>17556</v>
      </c>
      <c r="AF112" s="2" t="e">
        <f ca="1">IF(Post2020_Derivation!N142="","",Post2020_Derivation!N142)</f>
        <v>#NAME?</v>
      </c>
      <c r="AG112" s="2">
        <f>Post2020_Derivation!S142</f>
        <v>16600</v>
      </c>
      <c r="AH112" s="2" t="e">
        <f ca="1">IF(Post2020_Derivation!T142="","",Post2020_Derivation!T142)</f>
        <v>#NAME?</v>
      </c>
    </row>
    <row r="113" spans="1:34">
      <c r="A113" t="s">
        <v>300</v>
      </c>
      <c r="B113" t="s">
        <v>301</v>
      </c>
      <c r="C113" s="2">
        <v>12814</v>
      </c>
      <c r="D113" s="2"/>
      <c r="E113" s="2">
        <v>11988</v>
      </c>
      <c r="F113" s="2"/>
      <c r="G113" s="2">
        <v>11174</v>
      </c>
      <c r="H113" s="2"/>
      <c r="I113" s="2">
        <v>10950</v>
      </c>
      <c r="J113" s="2"/>
      <c r="K113" s="2">
        <v>10375</v>
      </c>
      <c r="L113" s="2"/>
      <c r="M113" s="2">
        <v>10018</v>
      </c>
      <c r="N113" s="2"/>
      <c r="O113" s="2">
        <v>9467</v>
      </c>
      <c r="P113" s="2"/>
      <c r="Q113" s="2">
        <v>9782</v>
      </c>
      <c r="R113" s="2"/>
      <c r="S113" s="2">
        <v>10094</v>
      </c>
      <c r="T113" s="2"/>
      <c r="U113" s="2">
        <v>10685</v>
      </c>
      <c r="V113" s="2"/>
      <c r="W113" s="2">
        <v>10329</v>
      </c>
      <c r="X113" s="2" t="s">
        <v>334</v>
      </c>
      <c r="Y113" s="2">
        <v>9768</v>
      </c>
      <c r="Z113" s="2"/>
      <c r="AA113" s="2">
        <v>9412</v>
      </c>
      <c r="AB113" s="2"/>
      <c r="AC113" s="2">
        <f>Post2020_Derivation!G143</f>
        <v>10830</v>
      </c>
      <c r="AD113" s="2" t="e">
        <f ca="1">IF(Post2020_Derivation!H143="","",Post2020_Derivation!H143)</f>
        <v>#NAME?</v>
      </c>
      <c r="AE113" s="2">
        <f>Post2020_Derivation!M143</f>
        <v>9840</v>
      </c>
      <c r="AF113" s="2" t="e">
        <f ca="1">IF(Post2020_Derivation!N143="","",Post2020_Derivation!N143)</f>
        <v>#NAME?</v>
      </c>
      <c r="AG113" s="2">
        <f>Post2020_Derivation!S143</f>
        <v>12070</v>
      </c>
      <c r="AH113" s="2" t="e">
        <f ca="1">IF(Post2020_Derivation!T143="","",Post2020_Derivation!T143)</f>
        <v>#NAME?</v>
      </c>
    </row>
    <row r="114" spans="1:34">
      <c r="A114" t="s">
        <v>302</v>
      </c>
      <c r="B114" t="s">
        <v>301</v>
      </c>
      <c r="C114" s="2">
        <v>12814</v>
      </c>
      <c r="D114" s="2"/>
      <c r="E114" s="2">
        <v>11988</v>
      </c>
      <c r="F114" s="2"/>
      <c r="G114" s="2">
        <v>11174</v>
      </c>
      <c r="H114" s="2"/>
      <c r="I114" s="2">
        <v>10950</v>
      </c>
      <c r="J114" s="2"/>
      <c r="K114" s="2">
        <v>10375</v>
      </c>
      <c r="L114" s="2"/>
      <c r="M114" s="2">
        <v>10018</v>
      </c>
      <c r="N114" s="2"/>
      <c r="O114" s="2">
        <v>9467</v>
      </c>
      <c r="P114" s="2"/>
      <c r="Q114" s="2">
        <v>9782</v>
      </c>
      <c r="R114" s="2"/>
      <c r="S114" s="2">
        <v>10094</v>
      </c>
      <c r="T114" s="2"/>
      <c r="U114" s="2">
        <v>10685</v>
      </c>
      <c r="V114" s="2"/>
      <c r="W114" s="2">
        <v>10329</v>
      </c>
      <c r="X114" s="2" t="s">
        <v>334</v>
      </c>
      <c r="Y114" s="2">
        <v>9768</v>
      </c>
      <c r="Z114" s="2"/>
      <c r="AA114" s="2">
        <v>9412</v>
      </c>
      <c r="AB114" s="2"/>
      <c r="AC114" s="2">
        <f>Post2020_Derivation!G144</f>
        <v>10830</v>
      </c>
      <c r="AD114" s="2" t="e">
        <f ca="1">IF(Post2020_Derivation!H144="","",Post2020_Derivation!H144)</f>
        <v>#NAME?</v>
      </c>
      <c r="AE114" s="2">
        <f>Post2020_Derivation!M144</f>
        <v>9840</v>
      </c>
      <c r="AF114" s="2" t="e">
        <f ca="1">IF(Post2020_Derivation!N144="","",Post2020_Derivation!N144)</f>
        <v>#NAME?</v>
      </c>
      <c r="AG114" s="2">
        <f>Post2020_Derivation!S144</f>
        <v>12070</v>
      </c>
      <c r="AH114" s="2" t="e">
        <f ca="1">IF(Post2020_Derivation!T144="","",Post2020_Derivation!T144)</f>
        <v>#NAME?</v>
      </c>
    </row>
    <row r="115" spans="1:34">
      <c r="A115" t="s">
        <v>303</v>
      </c>
      <c r="B115" t="s">
        <v>304</v>
      </c>
      <c r="C115" s="2">
        <v>18693</v>
      </c>
      <c r="D115" s="2"/>
      <c r="E115" s="2">
        <v>17388</v>
      </c>
      <c r="F115" s="2"/>
      <c r="G115" s="2">
        <v>16605</v>
      </c>
      <c r="H115" s="2"/>
      <c r="I115" s="2">
        <v>16892</v>
      </c>
      <c r="J115" s="2"/>
      <c r="K115" s="2">
        <v>15680</v>
      </c>
      <c r="L115" s="2"/>
      <c r="M115" s="2">
        <v>15631</v>
      </c>
      <c r="N115" s="2"/>
      <c r="O115" s="2">
        <v>16227</v>
      </c>
      <c r="P115" s="2"/>
      <c r="Q115" s="2">
        <v>20730</v>
      </c>
      <c r="R115" s="2"/>
      <c r="S115" s="2">
        <v>22621</v>
      </c>
      <c r="T115" s="2"/>
      <c r="U115" s="2">
        <v>21873</v>
      </c>
      <c r="V115" s="2"/>
      <c r="W115" s="2">
        <v>21606</v>
      </c>
      <c r="X115" s="2" t="s">
        <v>334</v>
      </c>
      <c r="Y115" s="2">
        <v>22193</v>
      </c>
      <c r="Z115" s="2"/>
      <c r="AA115" s="2">
        <v>21686</v>
      </c>
      <c r="AB115" s="2"/>
      <c r="AC115" s="2">
        <f>Post2020_Derivation!G145</f>
        <v>21238</v>
      </c>
      <c r="AD115" s="2" t="e">
        <f ca="1">IF(Post2020_Derivation!H145="","",Post2020_Derivation!H145)</f>
        <v>#NAME?</v>
      </c>
      <c r="AE115" s="2">
        <f>Post2020_Derivation!M145</f>
        <v>22294</v>
      </c>
      <c r="AF115" s="2" t="e">
        <f ca="1">IF(Post2020_Derivation!N145="","",Post2020_Derivation!N145)</f>
        <v>#NAME?</v>
      </c>
      <c r="AG115" s="2">
        <f>Post2020_Derivation!S145</f>
        <v>22230</v>
      </c>
      <c r="AH115" s="2" t="e">
        <f ca="1">IF(Post2020_Derivation!T145="","",Post2020_Derivation!T145)</f>
        <v>#NAME?</v>
      </c>
    </row>
    <row r="116" spans="1:34">
      <c r="A116" t="s">
        <v>305</v>
      </c>
      <c r="B116" t="s">
        <v>306</v>
      </c>
      <c r="C116" s="2">
        <v>15816</v>
      </c>
      <c r="D116" s="2"/>
      <c r="E116" s="2">
        <v>15059</v>
      </c>
      <c r="F116" s="2"/>
      <c r="G116" s="2">
        <v>14170</v>
      </c>
      <c r="H116" s="2"/>
      <c r="I116" s="2">
        <v>14228</v>
      </c>
      <c r="J116" s="2"/>
      <c r="K116" s="2">
        <v>13190</v>
      </c>
      <c r="L116" s="2"/>
      <c r="M116" s="2">
        <v>13006</v>
      </c>
      <c r="N116" s="2"/>
      <c r="O116" s="2">
        <v>13797</v>
      </c>
      <c r="P116" s="2"/>
      <c r="Q116" s="2">
        <v>18235</v>
      </c>
      <c r="R116" s="2"/>
      <c r="S116" s="2">
        <v>19955</v>
      </c>
      <c r="T116" s="2"/>
      <c r="U116" s="2">
        <v>18938</v>
      </c>
      <c r="V116" s="2"/>
      <c r="W116" s="2">
        <v>18155</v>
      </c>
      <c r="X116" s="2" t="s">
        <v>334</v>
      </c>
      <c r="Y116" s="2">
        <v>18648</v>
      </c>
      <c r="Z116" s="2"/>
      <c r="AA116" s="2">
        <v>17564</v>
      </c>
      <c r="AB116" s="2"/>
      <c r="AC116" s="2">
        <f>Post2020_Derivation!G146</f>
        <v>16704</v>
      </c>
      <c r="AD116" s="2" t="e">
        <f ca="1">IF(Post2020_Derivation!H146="","",Post2020_Derivation!H146)</f>
        <v>#NAME?</v>
      </c>
      <c r="AE116" s="2">
        <f>Post2020_Derivation!M146</f>
        <v>17760</v>
      </c>
      <c r="AF116" s="2" t="e">
        <f ca="1">IF(Post2020_Derivation!N146="","",Post2020_Derivation!N146)</f>
        <v>#NAME?</v>
      </c>
      <c r="AG116" s="2">
        <f>Post2020_Derivation!S146</f>
        <v>17365</v>
      </c>
      <c r="AH116" s="2" t="e">
        <f ca="1">IF(Post2020_Derivation!T146="","",Post2020_Derivation!T146)</f>
        <v>#NAME?</v>
      </c>
    </row>
    <row r="117" spans="1:34">
      <c r="A117" t="s">
        <v>307</v>
      </c>
      <c r="B117" t="s">
        <v>308</v>
      </c>
      <c r="C117" s="2">
        <v>2685</v>
      </c>
      <c r="D117" s="2"/>
      <c r="E117" s="2">
        <v>2157</v>
      </c>
      <c r="F117" s="2"/>
      <c r="G117" s="2">
        <v>2287</v>
      </c>
      <c r="H117" s="2"/>
      <c r="I117" s="2">
        <v>2405</v>
      </c>
      <c r="J117" s="2"/>
      <c r="K117" s="2">
        <v>2365</v>
      </c>
      <c r="L117" s="2"/>
      <c r="M117" s="2">
        <v>2521</v>
      </c>
      <c r="N117" s="2"/>
      <c r="O117" s="2">
        <v>2340</v>
      </c>
      <c r="P117" s="2"/>
      <c r="Q117" s="2">
        <v>2396</v>
      </c>
      <c r="R117" s="2"/>
      <c r="S117" s="2">
        <v>2548</v>
      </c>
      <c r="T117" s="2"/>
      <c r="U117" s="2">
        <v>2806</v>
      </c>
      <c r="V117" s="2"/>
      <c r="W117" s="2">
        <v>3343</v>
      </c>
      <c r="X117" s="2" t="s">
        <v>334</v>
      </c>
      <c r="Y117" s="2">
        <v>3411</v>
      </c>
      <c r="Z117" s="2"/>
      <c r="AA117" s="2">
        <v>4008</v>
      </c>
      <c r="AB117" s="2"/>
      <c r="AC117" s="2">
        <f>Post2020_Derivation!G147</f>
        <v>4329</v>
      </c>
      <c r="AD117" s="2" t="e">
        <f ca="1">IF(Post2020_Derivation!H147="","",Post2020_Derivation!H147)</f>
        <v>#NAME?</v>
      </c>
      <c r="AE117" s="2">
        <f>Post2020_Derivation!M147</f>
        <v>4472</v>
      </c>
      <c r="AF117" s="2" t="e">
        <f ca="1">IF(Post2020_Derivation!N147="","",Post2020_Derivation!N147)</f>
        <v>#NAME?</v>
      </c>
      <c r="AG117" s="2">
        <f>Post2020_Derivation!S147</f>
        <v>4680</v>
      </c>
      <c r="AH117" s="2" t="e">
        <f ca="1">IF(Post2020_Derivation!T147="","",Post2020_Derivation!T147)</f>
        <v>#NAME?</v>
      </c>
    </row>
    <row r="118" spans="1:34">
      <c r="A118" t="s">
        <v>309</v>
      </c>
      <c r="B118" t="s">
        <v>310</v>
      </c>
      <c r="C118" s="2">
        <v>192</v>
      </c>
      <c r="D118" s="2"/>
      <c r="E118" s="2">
        <v>171</v>
      </c>
      <c r="F118" s="2"/>
      <c r="G118" s="2">
        <v>148</v>
      </c>
      <c r="H118" s="2"/>
      <c r="I118" s="2">
        <v>259</v>
      </c>
      <c r="J118" s="2"/>
      <c r="K118" s="2">
        <v>125</v>
      </c>
      <c r="L118" s="2"/>
      <c r="M118" s="2">
        <v>103</v>
      </c>
      <c r="N118" s="2"/>
      <c r="O118" s="2">
        <v>90</v>
      </c>
      <c r="P118" s="2"/>
      <c r="Q118" s="2">
        <v>99</v>
      </c>
      <c r="R118" s="2"/>
      <c r="S118" s="2">
        <v>118</v>
      </c>
      <c r="T118" s="2"/>
      <c r="U118" s="2">
        <v>128</v>
      </c>
      <c r="V118" s="2"/>
      <c r="W118" s="2">
        <v>108</v>
      </c>
      <c r="X118" s="2" t="s">
        <v>334</v>
      </c>
      <c r="Y118" s="2">
        <v>134</v>
      </c>
      <c r="Z118" s="2"/>
      <c r="AA118" s="2">
        <v>114</v>
      </c>
      <c r="AB118" s="2"/>
      <c r="AC118" s="2">
        <f>Post2020_Derivation!G148</f>
        <v>104</v>
      </c>
      <c r="AD118" s="2" t="e">
        <f ca="1">IF(Post2020_Derivation!H148="","",Post2020_Derivation!H148)</f>
        <v>#NAME?</v>
      </c>
      <c r="AE118" s="2">
        <f>Post2020_Derivation!M148</f>
        <v>150</v>
      </c>
      <c r="AF118" s="2" t="e">
        <f ca="1">IF(Post2020_Derivation!N148="","",Post2020_Derivation!N148)</f>
        <v>#NAME?</v>
      </c>
      <c r="AG118" s="2">
        <f>Post2020_Derivation!S148</f>
        <v>116</v>
      </c>
      <c r="AH118" s="2" t="e">
        <f ca="1">IF(Post2020_Derivation!T148="","",Post2020_Derivation!T148)</f>
        <v>#NAME?</v>
      </c>
    </row>
    <row r="119" spans="1:34">
      <c r="A119" t="s">
        <v>311</v>
      </c>
      <c r="B119" t="s">
        <v>312</v>
      </c>
      <c r="C119" s="2">
        <v>59861</v>
      </c>
      <c r="D119" s="2"/>
      <c r="E119" s="2">
        <v>50319</v>
      </c>
      <c r="F119" s="2"/>
      <c r="G119" s="2">
        <v>48412</v>
      </c>
      <c r="H119" s="2"/>
      <c r="I119" s="2">
        <v>48536</v>
      </c>
      <c r="J119" s="2"/>
      <c r="K119" s="2">
        <v>48411</v>
      </c>
      <c r="L119" s="2"/>
      <c r="M119" s="2">
        <v>48207</v>
      </c>
      <c r="N119" s="2"/>
      <c r="O119" s="2">
        <v>52514</v>
      </c>
      <c r="P119" s="2"/>
      <c r="Q119" s="2">
        <v>55415</v>
      </c>
      <c r="R119" s="2"/>
      <c r="S119" s="2">
        <v>55185</v>
      </c>
      <c r="T119" s="2"/>
      <c r="U119" s="2">
        <v>56590</v>
      </c>
      <c r="V119" s="2"/>
      <c r="W119" s="2">
        <v>56527</v>
      </c>
      <c r="X119" s="2" t="s">
        <v>334</v>
      </c>
      <c r="Y119" s="2">
        <v>54765</v>
      </c>
      <c r="Z119" s="2"/>
      <c r="AA119" s="2">
        <v>52536</v>
      </c>
      <c r="AB119" s="2"/>
      <c r="AC119" s="2">
        <f>Post2020_Derivation!G149</f>
        <v>50856</v>
      </c>
      <c r="AD119" s="2" t="e">
        <f ca="1">IF(Post2020_Derivation!H149="","",Post2020_Derivation!H149)</f>
        <v>#NAME?</v>
      </c>
      <c r="AE119" s="2">
        <f>Post2020_Derivation!M149</f>
        <v>47894</v>
      </c>
      <c r="AF119" s="2" t="e">
        <f ca="1">IF(Post2020_Derivation!N149="","",Post2020_Derivation!N149)</f>
        <v>#NAME?</v>
      </c>
      <c r="AG119" s="2">
        <f>Post2020_Derivation!S149</f>
        <v>45600</v>
      </c>
      <c r="AH119" s="2" t="e">
        <f ca="1">IF(Post2020_Derivation!T149="","",Post2020_Derivation!T149)</f>
        <v>#NAME?</v>
      </c>
    </row>
    <row r="120" spans="1:34">
      <c r="A120" t="s">
        <v>313</v>
      </c>
      <c r="B120" t="s">
        <v>314</v>
      </c>
      <c r="C120" s="2">
        <v>45752</v>
      </c>
      <c r="D120" s="2"/>
      <c r="E120" s="2">
        <v>37775</v>
      </c>
      <c r="F120" s="2"/>
      <c r="G120" s="2">
        <v>36383</v>
      </c>
      <c r="H120" s="2"/>
      <c r="I120" s="2">
        <v>36379</v>
      </c>
      <c r="J120" s="2"/>
      <c r="K120" s="2">
        <v>36312</v>
      </c>
      <c r="L120" s="2"/>
      <c r="M120" s="2">
        <v>35212</v>
      </c>
      <c r="N120" s="2"/>
      <c r="O120" s="2">
        <v>37137</v>
      </c>
      <c r="P120" s="2"/>
      <c r="Q120" s="2">
        <v>37544</v>
      </c>
      <c r="R120" s="2"/>
      <c r="S120" s="2">
        <v>37828</v>
      </c>
      <c r="T120" s="2"/>
      <c r="U120" s="2">
        <v>39046</v>
      </c>
      <c r="V120" s="2"/>
      <c r="W120" s="2">
        <v>39074</v>
      </c>
      <c r="X120" s="2" t="s">
        <v>334</v>
      </c>
      <c r="Y120" s="2">
        <v>38845</v>
      </c>
      <c r="Z120" s="2"/>
      <c r="AA120" s="2">
        <v>36655</v>
      </c>
      <c r="AB120" s="2"/>
      <c r="AC120" s="2">
        <f>Post2020_Derivation!G150</f>
        <v>35958</v>
      </c>
      <c r="AD120" s="2" t="e">
        <f ca="1">IF(Post2020_Derivation!H150="","",Post2020_Derivation!H150)</f>
        <v>#NAME?</v>
      </c>
      <c r="AE120" s="2">
        <f>Post2020_Derivation!M150</f>
        <v>32631</v>
      </c>
      <c r="AF120" s="2" t="e">
        <f ca="1">IF(Post2020_Derivation!N150="","",Post2020_Derivation!N150)</f>
        <v>#NAME?</v>
      </c>
      <c r="AG120" s="2">
        <f>Post2020_Derivation!S150</f>
        <v>31244</v>
      </c>
      <c r="AH120" s="2" t="e">
        <f ca="1">IF(Post2020_Derivation!T150="","",Post2020_Derivation!T150)</f>
        <v>#NAME?</v>
      </c>
    </row>
    <row r="121" spans="1:34">
      <c r="A121" t="s">
        <v>315</v>
      </c>
      <c r="B121" t="s">
        <v>316</v>
      </c>
      <c r="C121" s="2" t="s">
        <v>43</v>
      </c>
      <c r="D121" s="2" t="s">
        <v>44</v>
      </c>
      <c r="E121" s="2">
        <v>12501</v>
      </c>
      <c r="F121" s="2"/>
      <c r="G121" s="2" t="s">
        <v>43</v>
      </c>
      <c r="H121" s="2" t="s">
        <v>44</v>
      </c>
      <c r="I121" s="2" t="s">
        <v>43</v>
      </c>
      <c r="J121" s="2" t="s">
        <v>44</v>
      </c>
      <c r="K121" s="2" t="s">
        <v>43</v>
      </c>
      <c r="L121" s="2" t="s">
        <v>44</v>
      </c>
      <c r="M121" s="2">
        <v>12959</v>
      </c>
      <c r="N121" s="2"/>
      <c r="O121" s="2">
        <v>15346</v>
      </c>
      <c r="P121" s="2"/>
      <c r="Q121" s="2">
        <v>17833</v>
      </c>
      <c r="R121" s="2"/>
      <c r="S121" s="2">
        <v>17325</v>
      </c>
      <c r="T121" s="2"/>
      <c r="U121" s="2">
        <v>17476</v>
      </c>
      <c r="V121" s="2"/>
      <c r="W121" s="2">
        <v>17385</v>
      </c>
      <c r="X121" s="2" t="s">
        <v>334</v>
      </c>
      <c r="Y121" s="2">
        <v>15848</v>
      </c>
      <c r="Z121" s="2"/>
      <c r="AA121" s="2">
        <v>15824</v>
      </c>
      <c r="AB121" s="2"/>
      <c r="AC121" s="2" t="str">
        <f>Post2020_Derivation!G151</f>
        <v/>
      </c>
      <c r="AD121" s="2" t="e">
        <f ca="1">IF(Post2020_Derivation!H151="","",Post2020_Derivation!H151)</f>
        <v>#NAME?</v>
      </c>
      <c r="AE121" s="2">
        <f>Post2020_Derivation!M151</f>
        <v>15180</v>
      </c>
      <c r="AF121" s="2" t="e">
        <f ca="1">IF(Post2020_Derivation!N151="","",Post2020_Derivation!N151)</f>
        <v>#NAME?</v>
      </c>
      <c r="AG121" s="2">
        <f>Post2020_Derivation!S151</f>
        <v>14774</v>
      </c>
      <c r="AH121" s="2" t="e">
        <f ca="1">IF(Post2020_Derivation!T151="","",Post2020_Derivation!T151)</f>
        <v>#NAME?</v>
      </c>
    </row>
    <row r="122" spans="1:34">
      <c r="A122" t="s">
        <v>317</v>
      </c>
      <c r="B122" t="s">
        <v>318</v>
      </c>
      <c r="C122" s="2" t="s">
        <v>43</v>
      </c>
      <c r="D122" s="2" t="s">
        <v>44</v>
      </c>
      <c r="E122" s="2">
        <v>42</v>
      </c>
      <c r="F122" s="2"/>
      <c r="G122" s="2" t="s">
        <v>43</v>
      </c>
      <c r="H122" s="2" t="s">
        <v>44</v>
      </c>
      <c r="I122" s="2" t="s">
        <v>43</v>
      </c>
      <c r="J122" s="2" t="s">
        <v>44</v>
      </c>
      <c r="K122" s="2" t="s">
        <v>43</v>
      </c>
      <c r="L122" s="2" t="s">
        <v>44</v>
      </c>
      <c r="M122" s="2">
        <v>36</v>
      </c>
      <c r="N122" s="2"/>
      <c r="O122" s="2">
        <v>31</v>
      </c>
      <c r="P122" s="2"/>
      <c r="Q122" s="2">
        <v>39</v>
      </c>
      <c r="R122" s="2"/>
      <c r="S122" s="2">
        <v>32</v>
      </c>
      <c r="T122" s="2"/>
      <c r="U122" s="2">
        <v>67</v>
      </c>
      <c r="V122" s="2"/>
      <c r="W122" s="2">
        <v>68</v>
      </c>
      <c r="X122" s="2" t="s">
        <v>334</v>
      </c>
      <c r="Y122" s="2">
        <v>72</v>
      </c>
      <c r="Z122" s="2"/>
      <c r="AA122" s="2">
        <v>57</v>
      </c>
      <c r="AB122" s="2"/>
      <c r="AC122" s="2" t="str">
        <f>Post2020_Derivation!G152</f>
        <v/>
      </c>
      <c r="AD122" s="2" t="e">
        <f ca="1">IF(Post2020_Derivation!H152="","",Post2020_Derivation!H152)</f>
        <v>#NAME?</v>
      </c>
      <c r="AE122" s="2">
        <f>Post2020_Derivation!M152</f>
        <v>108</v>
      </c>
      <c r="AF122" s="2" t="e">
        <f ca="1">IF(Post2020_Derivation!N152="","",Post2020_Derivation!N152)</f>
        <v>#NAME?</v>
      </c>
      <c r="AG122" s="2">
        <f>Post2020_Derivation!S152</f>
        <v>28</v>
      </c>
      <c r="AH122" s="2" t="e">
        <f ca="1">IF(Post2020_Derivation!T152="","",Post2020_Derivation!T152)</f>
        <v>#NAME?</v>
      </c>
    </row>
    <row r="123" spans="1:34">
      <c r="A123" t="s">
        <v>319</v>
      </c>
      <c r="B123" t="s">
        <v>320</v>
      </c>
      <c r="C123" s="2">
        <v>6314</v>
      </c>
      <c r="D123" s="2"/>
      <c r="E123" s="2">
        <v>5172</v>
      </c>
      <c r="F123" s="2"/>
      <c r="G123" s="2">
        <v>4980</v>
      </c>
      <c r="H123" s="2"/>
      <c r="I123" s="2">
        <v>4449</v>
      </c>
      <c r="J123" s="2"/>
      <c r="K123" s="2">
        <v>3755</v>
      </c>
      <c r="L123" s="2"/>
      <c r="M123" s="2">
        <v>3551</v>
      </c>
      <c r="N123" s="2"/>
      <c r="O123" s="2">
        <v>3488</v>
      </c>
      <c r="P123" s="2"/>
      <c r="Q123" s="2">
        <v>3903</v>
      </c>
      <c r="R123" s="2"/>
      <c r="S123" s="2">
        <v>4043</v>
      </c>
      <c r="T123" s="2"/>
      <c r="U123" s="2">
        <v>4879</v>
      </c>
      <c r="V123" s="2"/>
      <c r="W123" s="2">
        <v>5438</v>
      </c>
      <c r="X123" s="2" t="s">
        <v>334</v>
      </c>
      <c r="Y123" s="2">
        <v>5219</v>
      </c>
      <c r="Z123" s="2"/>
      <c r="AA123" s="2">
        <v>5155</v>
      </c>
      <c r="AB123" s="2"/>
      <c r="AC123" s="2">
        <f>Post2020_Derivation!G153</f>
        <v>5680</v>
      </c>
      <c r="AD123" s="2" t="e">
        <f ca="1">IF(Post2020_Derivation!H153="","",Post2020_Derivation!H153)</f>
        <v>#NAME?</v>
      </c>
      <c r="AE123" s="2">
        <f>Post2020_Derivation!M153</f>
        <v>5120</v>
      </c>
      <c r="AF123" s="2" t="e">
        <f ca="1">IF(Post2020_Derivation!N153="","",Post2020_Derivation!N153)</f>
        <v>#NAME?</v>
      </c>
      <c r="AG123" s="2">
        <f>Post2020_Derivation!S153</f>
        <v>5200</v>
      </c>
      <c r="AH123" s="2" t="e">
        <f ca="1">IF(Post2020_Derivation!T153="","",Post2020_Derivation!T153)</f>
        <v>#NAME?</v>
      </c>
    </row>
    <row r="124" spans="1:34">
      <c r="A124" t="s">
        <v>321</v>
      </c>
      <c r="B124" t="s">
        <v>322</v>
      </c>
      <c r="C124" s="2">
        <v>5729</v>
      </c>
      <c r="D124" s="2"/>
      <c r="E124" s="2">
        <v>4731</v>
      </c>
      <c r="F124" s="2"/>
      <c r="G124" s="2">
        <v>4466</v>
      </c>
      <c r="H124" s="2"/>
      <c r="I124" s="2">
        <v>3983</v>
      </c>
      <c r="J124" s="2"/>
      <c r="K124" s="2">
        <v>3271</v>
      </c>
      <c r="L124" s="2"/>
      <c r="M124" s="2">
        <v>3218</v>
      </c>
      <c r="N124" s="2"/>
      <c r="O124" s="2">
        <v>3154</v>
      </c>
      <c r="P124" s="2"/>
      <c r="Q124" s="2">
        <v>3551</v>
      </c>
      <c r="R124" s="2"/>
      <c r="S124" s="2">
        <v>3718</v>
      </c>
      <c r="T124" s="2"/>
      <c r="U124" s="2">
        <v>4493</v>
      </c>
      <c r="V124" s="2"/>
      <c r="W124" s="2">
        <v>4958</v>
      </c>
      <c r="X124" s="2" t="s">
        <v>334</v>
      </c>
      <c r="Y124" s="2">
        <v>4766</v>
      </c>
      <c r="Z124" s="2"/>
      <c r="AA124" s="2">
        <v>4678</v>
      </c>
      <c r="AB124" s="2"/>
      <c r="AC124" s="2">
        <f>Post2020_Derivation!G154</f>
        <v>5082</v>
      </c>
      <c r="AD124" s="2" t="e">
        <f ca="1">IF(Post2020_Derivation!H154="","",Post2020_Derivation!H154)</f>
        <v>#NAME?</v>
      </c>
      <c r="AE124" s="2">
        <f>Post2020_Derivation!M154</f>
        <v>4632</v>
      </c>
      <c r="AF124" s="2" t="e">
        <f ca="1">IF(Post2020_Derivation!N154="","",Post2020_Derivation!N154)</f>
        <v>#NAME?</v>
      </c>
      <c r="AG124" s="2">
        <f>Post2020_Derivation!S154</f>
        <v>4761</v>
      </c>
      <c r="AH124" s="2" t="e">
        <f ca="1">IF(Post2020_Derivation!T154="","",Post2020_Derivation!T154)</f>
        <v>#NAME?</v>
      </c>
    </row>
    <row r="125" spans="1:34">
      <c r="A125" t="s">
        <v>323</v>
      </c>
      <c r="B125" t="s">
        <v>324</v>
      </c>
      <c r="C125" s="2">
        <v>585</v>
      </c>
      <c r="D125" s="2"/>
      <c r="E125" s="2">
        <v>441</v>
      </c>
      <c r="F125" s="2"/>
      <c r="G125" s="2">
        <v>513</v>
      </c>
      <c r="H125" s="2"/>
      <c r="I125" s="2">
        <v>466</v>
      </c>
      <c r="J125" s="2"/>
      <c r="K125" s="2">
        <v>484</v>
      </c>
      <c r="L125" s="2"/>
      <c r="M125" s="2">
        <v>332</v>
      </c>
      <c r="N125" s="2"/>
      <c r="O125" s="2">
        <v>334</v>
      </c>
      <c r="P125" s="2"/>
      <c r="Q125" s="2">
        <v>352</v>
      </c>
      <c r="R125" s="2"/>
      <c r="S125" s="2">
        <v>325</v>
      </c>
      <c r="T125" s="2"/>
      <c r="U125" s="2">
        <v>385</v>
      </c>
      <c r="V125" s="2"/>
      <c r="W125" s="2">
        <v>480</v>
      </c>
      <c r="X125" s="2" t="s">
        <v>334</v>
      </c>
      <c r="Y125" s="2">
        <v>453</v>
      </c>
      <c r="Z125" s="2"/>
      <c r="AA125" s="2">
        <v>477</v>
      </c>
      <c r="AB125" s="2"/>
      <c r="AC125" s="2">
        <f>Post2020_Derivation!G155</f>
        <v>477</v>
      </c>
      <c r="AD125" s="2" t="e">
        <f ca="1">IF(Post2020_Derivation!H155="","",Post2020_Derivation!H155)</f>
        <v>#NAME?</v>
      </c>
      <c r="AE125" s="2">
        <f>Post2020_Derivation!M155</f>
        <v>567</v>
      </c>
      <c r="AF125" s="2" t="e">
        <f ca="1">IF(Post2020_Derivation!N155="","",Post2020_Derivation!N155)</f>
        <v>#NAME?</v>
      </c>
      <c r="AG125" s="2">
        <f>Post2020_Derivation!S155</f>
        <v>530</v>
      </c>
      <c r="AH125" s="2" t="e">
        <f ca="1">IF(Post2020_Derivation!T155="","",Post2020_Derivation!T155)</f>
        <v>#NAME?</v>
      </c>
    </row>
    <row r="126" spans="1:34">
      <c r="A126" t="s">
        <v>325</v>
      </c>
      <c r="B126" t="s">
        <v>326</v>
      </c>
      <c r="C126" s="2">
        <v>0</v>
      </c>
      <c r="D126" s="2"/>
      <c r="E126" s="2">
        <v>0</v>
      </c>
      <c r="F126" s="2"/>
      <c r="G126" s="2">
        <v>0</v>
      </c>
      <c r="H126" s="2"/>
      <c r="I126" s="2">
        <v>0</v>
      </c>
      <c r="J126" s="2"/>
      <c r="K126" s="2">
        <v>0</v>
      </c>
      <c r="L126" s="2"/>
      <c r="M126" s="2">
        <v>0</v>
      </c>
      <c r="N126" s="2"/>
      <c r="O126" s="2">
        <v>0</v>
      </c>
      <c r="P126" s="2"/>
      <c r="Q126" s="2">
        <v>0</v>
      </c>
      <c r="R126" s="2"/>
      <c r="S126" s="2">
        <v>0</v>
      </c>
      <c r="T126" s="2"/>
      <c r="U126" s="2">
        <v>0</v>
      </c>
      <c r="V126" s="2"/>
      <c r="W126" s="2">
        <v>0</v>
      </c>
      <c r="X126" s="2" t="s">
        <v>334</v>
      </c>
      <c r="Y126" s="2">
        <v>0</v>
      </c>
      <c r="Z126" s="2"/>
      <c r="AA126" s="2">
        <v>0</v>
      </c>
      <c r="AB126" s="2"/>
      <c r="AC126" s="2" t="str">
        <f>Post2020_Derivation!G156</f>
        <v/>
      </c>
      <c r="AD126" s="2" t="e">
        <f ca="1">IF(Post2020_Derivation!H156="","",Post2020_Derivation!H156)</f>
        <v>#NAME?</v>
      </c>
      <c r="AE126" s="2" t="str">
        <f>Post2020_Derivation!M156</f>
        <v/>
      </c>
      <c r="AF126" s="2" t="e">
        <f ca="1">IF(Post2020_Derivation!N156="","",Post2020_Derivation!N156)</f>
        <v>#NAME?</v>
      </c>
      <c r="AG126" s="2" t="str">
        <f>Post2020_Derivation!S156</f>
        <v/>
      </c>
      <c r="AH126" s="2" t="e">
        <f ca="1">IF(Post2020_Derivation!T156="","",Post2020_Derivation!T156)</f>
        <v>#NAME?</v>
      </c>
    </row>
    <row r="127" spans="1:34">
      <c r="A127" t="s">
        <v>327</v>
      </c>
      <c r="B127" t="s">
        <v>328</v>
      </c>
      <c r="C127" s="2">
        <v>0</v>
      </c>
      <c r="D127" s="2"/>
      <c r="E127" s="2">
        <v>0</v>
      </c>
      <c r="F127" s="2"/>
      <c r="G127" s="2">
        <v>0</v>
      </c>
      <c r="H127" s="2"/>
      <c r="I127" s="2">
        <v>0</v>
      </c>
      <c r="J127" s="2"/>
      <c r="K127" s="2">
        <v>0</v>
      </c>
      <c r="L127" s="2"/>
      <c r="M127" s="2">
        <v>0</v>
      </c>
      <c r="N127" s="2"/>
      <c r="O127" s="2">
        <v>0</v>
      </c>
      <c r="P127" s="2"/>
      <c r="Q127" s="2">
        <v>0</v>
      </c>
      <c r="R127" s="2"/>
      <c r="S127" s="2">
        <v>0</v>
      </c>
      <c r="T127" s="2"/>
      <c r="U127" s="2">
        <v>0</v>
      </c>
      <c r="V127" s="2"/>
      <c r="W127" s="2">
        <v>0</v>
      </c>
      <c r="X127" s="2" t="s">
        <v>334</v>
      </c>
      <c r="Y127" s="2">
        <v>0</v>
      </c>
      <c r="Z127" s="2"/>
      <c r="AA127" s="2">
        <v>0</v>
      </c>
      <c r="AB127" s="2"/>
      <c r="AC127" s="2" t="str">
        <f>Post2020_Derivation!G157</f>
        <v/>
      </c>
      <c r="AD127" s="2" t="e">
        <f ca="1">IF(Post2020_Derivation!H157="","",Post2020_Derivation!H157)</f>
        <v>#NAME?</v>
      </c>
      <c r="AE127" s="2" t="str">
        <f>Post2020_Derivation!M157</f>
        <v/>
      </c>
      <c r="AF127" s="2" t="e">
        <f ca="1">IF(Post2020_Derivation!N157="","",Post2020_Derivation!N157)</f>
        <v>#NAME?</v>
      </c>
      <c r="AG127" s="2" t="str">
        <f>Post2020_Derivation!S157</f>
        <v/>
      </c>
      <c r="AH127" s="2" t="e">
        <f ca="1">IF(Post2020_Derivation!T157="","",Post2020_Derivation!T157)</f>
        <v>#NAME?</v>
      </c>
    </row>
    <row r="128" spans="1:34">
      <c r="A128" t="s">
        <v>329</v>
      </c>
      <c r="B128" t="s">
        <v>330</v>
      </c>
      <c r="C128" s="2">
        <v>189</v>
      </c>
      <c r="D128" s="2"/>
      <c r="E128" s="2">
        <v>188</v>
      </c>
      <c r="F128" s="2"/>
      <c r="G128" s="2">
        <v>158</v>
      </c>
      <c r="H128" s="2"/>
      <c r="I128" s="2">
        <v>114</v>
      </c>
      <c r="J128" s="2"/>
      <c r="K128" s="2">
        <v>100</v>
      </c>
      <c r="L128" s="2"/>
      <c r="M128" s="2">
        <v>126</v>
      </c>
      <c r="N128" s="2"/>
      <c r="O128" s="2">
        <v>76</v>
      </c>
      <c r="P128" s="2"/>
      <c r="Q128" s="2">
        <v>67</v>
      </c>
      <c r="R128" s="2"/>
      <c r="S128" s="2">
        <v>118</v>
      </c>
      <c r="T128" s="2"/>
      <c r="U128" s="2">
        <v>111</v>
      </c>
      <c r="V128" s="2"/>
      <c r="W128" s="2">
        <v>105</v>
      </c>
      <c r="X128" s="2" t="s">
        <v>334</v>
      </c>
      <c r="Y128" s="2">
        <v>109</v>
      </c>
      <c r="Z128" s="2"/>
      <c r="AA128" s="2">
        <v>92</v>
      </c>
      <c r="AB128" s="2"/>
      <c r="AC128" s="2">
        <f>Post2020_Derivation!G158</f>
        <v>84</v>
      </c>
      <c r="AD128" s="2" t="e">
        <f ca="1">IF(Post2020_Derivation!H158="","",Post2020_Derivation!H158)</f>
        <v>#NAME?</v>
      </c>
      <c r="AE128" s="2">
        <f>Post2020_Derivation!M158</f>
        <v>115</v>
      </c>
      <c r="AF128" s="2" t="e">
        <f ca="1">IF(Post2020_Derivation!N158="","",Post2020_Derivation!N158)</f>
        <v>#NAME?</v>
      </c>
      <c r="AG128" s="2">
        <f>Post2020_Derivation!S158</f>
        <v>104</v>
      </c>
      <c r="AH128" s="2" t="e">
        <f ca="1">IF(Post2020_Derivation!T158="","",Post2020_Derivation!T158)</f>
        <v>#NAME?</v>
      </c>
    </row>
    <row r="129" spans="1:34">
      <c r="A129" t="s">
        <v>331</v>
      </c>
      <c r="B129" t="s">
        <v>330</v>
      </c>
      <c r="C129" s="2">
        <v>189</v>
      </c>
      <c r="D129" s="2"/>
      <c r="E129" s="2">
        <v>188</v>
      </c>
      <c r="F129" s="2"/>
      <c r="G129" s="2">
        <v>158</v>
      </c>
      <c r="H129" s="2"/>
      <c r="I129" s="2">
        <v>114</v>
      </c>
      <c r="J129" s="2"/>
      <c r="K129" s="2">
        <v>100</v>
      </c>
      <c r="L129" s="2"/>
      <c r="M129" s="2">
        <v>126</v>
      </c>
      <c r="N129" s="2"/>
      <c r="O129" s="2">
        <v>76</v>
      </c>
      <c r="P129" s="2"/>
      <c r="Q129" s="2">
        <v>67</v>
      </c>
      <c r="R129" s="2"/>
      <c r="S129" s="2">
        <v>118</v>
      </c>
      <c r="T129" s="2"/>
      <c r="U129" s="2">
        <v>111</v>
      </c>
      <c r="V129" s="2"/>
      <c r="W129" s="2">
        <v>105</v>
      </c>
      <c r="X129" s="2" t="s">
        <v>334</v>
      </c>
      <c r="Y129" s="2">
        <v>109</v>
      </c>
      <c r="Z129" s="2"/>
      <c r="AA129" s="2">
        <v>92</v>
      </c>
      <c r="AB129" s="2"/>
      <c r="AC129" s="2">
        <f>Post2020_Derivation!G159</f>
        <v>84</v>
      </c>
      <c r="AD129" s="2" t="e">
        <f ca="1">IF(Post2020_Derivation!H159="","",Post2020_Derivation!H159)</f>
        <v>#NAME?</v>
      </c>
      <c r="AE129" s="2">
        <f>Post2020_Derivation!M159</f>
        <v>115</v>
      </c>
      <c r="AF129" s="2" t="e">
        <f ca="1">IF(Post2020_Derivation!N159="","",Post2020_Derivation!N159)</f>
        <v>#NAME?</v>
      </c>
      <c r="AG129" s="2">
        <f>Post2020_Derivation!S159</f>
        <v>104</v>
      </c>
      <c r="AH129" s="2" t="e">
        <f ca="1">IF(Post2020_Derivation!T159="","",Post2020_Derivation!T159)</f>
        <v>#NAME?</v>
      </c>
    </row>
    <row r="130" spans="1:34">
      <c r="A130" t="s">
        <v>884</v>
      </c>
      <c r="B130" t="s">
        <v>68</v>
      </c>
      <c r="C130" s="2" t="s">
        <v>43</v>
      </c>
      <c r="D130" s="2"/>
      <c r="E130" s="2" t="s">
        <v>43</v>
      </c>
      <c r="F130" s="2"/>
      <c r="G130" s="2" t="s">
        <v>43</v>
      </c>
      <c r="H130" s="2"/>
      <c r="I130" s="2" t="s">
        <v>43</v>
      </c>
      <c r="J130" s="2"/>
      <c r="K130" s="2" t="s">
        <v>43</v>
      </c>
      <c r="L130" s="2"/>
      <c r="M130" s="2" t="s">
        <v>43</v>
      </c>
      <c r="N130" s="2"/>
      <c r="O130" s="2" t="s">
        <v>43</v>
      </c>
      <c r="P130" s="2"/>
      <c r="Q130" s="2" t="s">
        <v>43</v>
      </c>
      <c r="R130" s="2"/>
      <c r="S130" s="2" t="s">
        <v>43</v>
      </c>
      <c r="T130" s="2"/>
      <c r="U130" s="2" t="s">
        <v>43</v>
      </c>
      <c r="V130" s="2"/>
      <c r="W130" s="2" t="s">
        <v>43</v>
      </c>
      <c r="X130" s="2"/>
      <c r="Y130" s="2" t="s">
        <v>43</v>
      </c>
      <c r="Z130" s="2"/>
      <c r="AA130" s="2" t="s">
        <v>43</v>
      </c>
      <c r="AB130" s="2"/>
      <c r="AC130" s="2" t="str">
        <f>""</f>
        <v/>
      </c>
      <c r="AD130" s="2" t="str">
        <f>""</f>
        <v/>
      </c>
      <c r="AE130" s="2" t="str">
        <f>""</f>
        <v/>
      </c>
      <c r="AF130" s="2" t="str">
        <f>""</f>
        <v/>
      </c>
      <c r="AG130" s="2" t="str">
        <f>""</f>
        <v/>
      </c>
      <c r="AH130" s="2" t="str">
        <f>""</f>
        <v/>
      </c>
    </row>
    <row r="131" spans="1:34">
      <c r="A131" t="s">
        <v>885</v>
      </c>
      <c r="B131" t="s">
        <v>70</v>
      </c>
      <c r="C131" s="2" t="s">
        <v>43</v>
      </c>
      <c r="D131" s="2"/>
      <c r="E131" s="2" t="s">
        <v>43</v>
      </c>
      <c r="F131" s="2"/>
      <c r="G131" s="2" t="s">
        <v>43</v>
      </c>
      <c r="H131" s="2"/>
      <c r="I131" s="2" t="s">
        <v>43</v>
      </c>
      <c r="J131" s="2"/>
      <c r="K131" s="2" t="s">
        <v>43</v>
      </c>
      <c r="L131" s="2"/>
      <c r="M131" s="2" t="s">
        <v>43</v>
      </c>
      <c r="N131" s="2"/>
      <c r="O131" s="2" t="s">
        <v>43</v>
      </c>
      <c r="P131" s="2"/>
      <c r="Q131" s="2" t="s">
        <v>43</v>
      </c>
      <c r="R131" s="2"/>
      <c r="S131" s="2" t="s">
        <v>43</v>
      </c>
      <c r="T131" s="2"/>
      <c r="U131" s="2" t="s">
        <v>43</v>
      </c>
      <c r="V131" s="2"/>
      <c r="W131" s="2" t="s">
        <v>43</v>
      </c>
      <c r="X131" s="2"/>
      <c r="Y131" s="2" t="s">
        <v>43</v>
      </c>
      <c r="Z131" s="2"/>
      <c r="AA131" s="2" t="s">
        <v>43</v>
      </c>
      <c r="AB131" s="2"/>
      <c r="AC131" s="2" t="str">
        <f>""</f>
        <v/>
      </c>
      <c r="AD131" s="2" t="str">
        <f>""</f>
        <v/>
      </c>
      <c r="AE131" s="2" t="str">
        <f>""</f>
        <v/>
      </c>
      <c r="AF131" s="2" t="str">
        <f>""</f>
        <v/>
      </c>
      <c r="AG131" s="2" t="str">
        <f>""</f>
        <v/>
      </c>
      <c r="AH131" s="2" t="str">
        <f>""</f>
        <v/>
      </c>
    </row>
    <row r="132" spans="1:34">
      <c r="A132" t="s">
        <v>332</v>
      </c>
      <c r="B132" t="s">
        <v>333</v>
      </c>
      <c r="C132" s="2" t="s">
        <v>43</v>
      </c>
      <c r="D132" s="2" t="s">
        <v>886</v>
      </c>
      <c r="E132" s="2" t="s">
        <v>43</v>
      </c>
      <c r="F132" s="2"/>
      <c r="G132" s="2">
        <v>224618</v>
      </c>
      <c r="H132" s="2"/>
      <c r="I132" s="2">
        <v>224163</v>
      </c>
      <c r="J132" s="2"/>
      <c r="K132" s="2">
        <v>243840</v>
      </c>
      <c r="L132" s="2"/>
      <c r="M132" s="2">
        <v>234435</v>
      </c>
      <c r="N132" s="2"/>
      <c r="O132" s="2">
        <v>230423</v>
      </c>
      <c r="P132" s="2" t="s">
        <v>334</v>
      </c>
      <c r="Q132" s="2">
        <v>223319</v>
      </c>
      <c r="R132" s="2" t="s">
        <v>334</v>
      </c>
      <c r="S132" s="2">
        <v>213353</v>
      </c>
      <c r="T132" s="2" t="s">
        <v>887</v>
      </c>
      <c r="U132" s="2">
        <v>227924</v>
      </c>
      <c r="V132" s="2" t="s">
        <v>887</v>
      </c>
      <c r="W132" s="2">
        <v>238666</v>
      </c>
      <c r="X132" s="2"/>
      <c r="Y132" s="2">
        <v>232643</v>
      </c>
      <c r="Z132" s="2"/>
      <c r="AA132" s="2">
        <v>234260</v>
      </c>
      <c r="AB132" s="2"/>
      <c r="AC132" s="2">
        <v>182172</v>
      </c>
      <c r="AD132" s="2" t="e">
        <v>#NAME?</v>
      </c>
      <c r="AE132" s="2">
        <v>176595</v>
      </c>
      <c r="AF132" s="2" t="e">
        <v>#NAME?</v>
      </c>
      <c r="AG132" s="2">
        <v>177132</v>
      </c>
      <c r="AH132" s="2" t="e">
        <v>#NAME?</v>
      </c>
    </row>
    <row r="133" spans="1:34">
      <c r="A133" s="4" t="s">
        <v>337</v>
      </c>
      <c r="B133" s="5" t="s">
        <v>1160</v>
      </c>
      <c r="C133" s="6" t="s">
        <v>43</v>
      </c>
      <c r="D133" s="5" t="s">
        <v>886</v>
      </c>
      <c r="E133" s="6" t="s">
        <v>43</v>
      </c>
      <c r="F133" s="5"/>
      <c r="G133" s="6">
        <v>142423</v>
      </c>
      <c r="H133" s="5"/>
      <c r="I133" s="6">
        <v>143585</v>
      </c>
      <c r="J133" s="5"/>
      <c r="K133" s="6">
        <v>147179</v>
      </c>
      <c r="L133" s="5"/>
      <c r="M133" s="6">
        <v>138629</v>
      </c>
      <c r="N133" s="5"/>
      <c r="O133" s="6">
        <v>137859</v>
      </c>
      <c r="P133" s="5" t="s">
        <v>334</v>
      </c>
      <c r="Q133" s="6">
        <v>133462</v>
      </c>
      <c r="R133" s="5" t="s">
        <v>334</v>
      </c>
      <c r="S133" s="6">
        <v>127510</v>
      </c>
      <c r="T133" s="5" t="s">
        <v>887</v>
      </c>
      <c r="U133" s="6">
        <v>141433</v>
      </c>
      <c r="V133" s="5" t="s">
        <v>887</v>
      </c>
      <c r="W133" s="6">
        <v>153993</v>
      </c>
      <c r="X133" s="5"/>
      <c r="Y133" s="6">
        <v>148962</v>
      </c>
      <c r="Z133" s="5"/>
      <c r="AA133" s="6">
        <v>147947</v>
      </c>
      <c r="AB133" s="5"/>
      <c r="AC133" s="6">
        <v>37506</v>
      </c>
      <c r="AD133" s="5" t="s">
        <v>1161</v>
      </c>
      <c r="AE133" s="6">
        <v>35695</v>
      </c>
      <c r="AF133" s="5"/>
      <c r="AG133" s="6">
        <v>34574</v>
      </c>
      <c r="AH133" s="7"/>
    </row>
    <row r="134" spans="1:34">
      <c r="A134" s="8" t="s">
        <v>338</v>
      </c>
      <c r="B134" s="9" t="s">
        <v>1162</v>
      </c>
      <c r="C134" s="10" t="s">
        <v>43</v>
      </c>
      <c r="D134" s="9" t="s">
        <v>886</v>
      </c>
      <c r="E134" s="10" t="s">
        <v>43</v>
      </c>
      <c r="F134" s="9"/>
      <c r="G134" s="10">
        <v>4195</v>
      </c>
      <c r="H134" s="9"/>
      <c r="I134" s="10">
        <v>3861</v>
      </c>
      <c r="J134" s="9"/>
      <c r="K134" s="10">
        <v>4116</v>
      </c>
      <c r="L134" s="9"/>
      <c r="M134" s="10">
        <v>4964</v>
      </c>
      <c r="N134" s="9"/>
      <c r="O134" s="10">
        <v>3446</v>
      </c>
      <c r="P134" s="9" t="s">
        <v>334</v>
      </c>
      <c r="Q134" s="10">
        <v>3199</v>
      </c>
      <c r="R134" s="9" t="s">
        <v>334</v>
      </c>
      <c r="S134" s="10">
        <v>2310</v>
      </c>
      <c r="T134" s="9" t="s">
        <v>888</v>
      </c>
      <c r="U134" s="10" t="s">
        <v>43</v>
      </c>
      <c r="V134" s="9" t="s">
        <v>403</v>
      </c>
      <c r="W134" s="10">
        <v>3444</v>
      </c>
      <c r="X134" s="9"/>
      <c r="Y134" s="10">
        <v>5190</v>
      </c>
      <c r="Z134" s="9"/>
      <c r="AA134" s="10">
        <v>4692</v>
      </c>
      <c r="AB134" s="9"/>
      <c r="AC134" s="10">
        <v>5244</v>
      </c>
      <c r="AD134" s="9" t="s">
        <v>1161</v>
      </c>
      <c r="AE134" s="10">
        <v>4284</v>
      </c>
      <c r="AF134" s="9"/>
      <c r="AG134" s="10">
        <v>4386</v>
      </c>
      <c r="AH134" s="11"/>
    </row>
    <row r="135" spans="1:34">
      <c r="A135" s="4" t="s">
        <v>341</v>
      </c>
      <c r="B135" s="5" t="s">
        <v>342</v>
      </c>
      <c r="C135" s="6" t="s">
        <v>43</v>
      </c>
      <c r="D135" s="5" t="s">
        <v>886</v>
      </c>
      <c r="E135" s="6" t="s">
        <v>43</v>
      </c>
      <c r="F135" s="5"/>
      <c r="G135" s="6">
        <v>6934</v>
      </c>
      <c r="H135" s="5"/>
      <c r="I135" s="6">
        <v>6453</v>
      </c>
      <c r="J135" s="5"/>
      <c r="K135" s="6">
        <v>8227</v>
      </c>
      <c r="L135" s="5"/>
      <c r="M135" s="6">
        <v>8163</v>
      </c>
      <c r="N135" s="5"/>
      <c r="O135" s="6">
        <v>7901</v>
      </c>
      <c r="P135" s="5" t="s">
        <v>334</v>
      </c>
      <c r="Q135" s="6" t="s">
        <v>43</v>
      </c>
      <c r="R135" s="5" t="s">
        <v>1163</v>
      </c>
      <c r="S135" s="6">
        <v>8932</v>
      </c>
      <c r="T135" s="5" t="s">
        <v>888</v>
      </c>
      <c r="U135" s="6" t="s">
        <v>43</v>
      </c>
      <c r="V135" s="5" t="s">
        <v>403</v>
      </c>
      <c r="W135" s="6">
        <v>6190</v>
      </c>
      <c r="X135" s="5"/>
      <c r="Y135" s="6">
        <v>5129</v>
      </c>
      <c r="Z135" s="5"/>
      <c r="AA135" s="6">
        <v>4842</v>
      </c>
      <c r="AB135" s="5"/>
      <c r="AC135" s="6">
        <v>18625</v>
      </c>
      <c r="AD135" s="5" t="s">
        <v>1161</v>
      </c>
      <c r="AE135" s="6">
        <v>18408</v>
      </c>
      <c r="AF135" s="5"/>
      <c r="AG135" s="6">
        <v>17784</v>
      </c>
      <c r="AH135" s="7"/>
    </row>
    <row r="136" spans="1:34">
      <c r="A136" s="8" t="s">
        <v>347</v>
      </c>
      <c r="B136" s="9" t="s">
        <v>348</v>
      </c>
      <c r="C136" s="10" t="s">
        <v>43</v>
      </c>
      <c r="D136" s="9" t="s">
        <v>886</v>
      </c>
      <c r="E136" s="10" t="s">
        <v>43</v>
      </c>
      <c r="F136" s="9"/>
      <c r="G136" s="10">
        <v>3646</v>
      </c>
      <c r="H136" s="9"/>
      <c r="I136" s="10">
        <v>3755</v>
      </c>
      <c r="J136" s="9"/>
      <c r="K136" s="10">
        <v>4445</v>
      </c>
      <c r="L136" s="9"/>
      <c r="M136" s="10">
        <v>4212</v>
      </c>
      <c r="N136" s="9"/>
      <c r="O136" s="10">
        <v>4045</v>
      </c>
      <c r="P136" s="9" t="s">
        <v>334</v>
      </c>
      <c r="Q136" s="10" t="s">
        <v>43</v>
      </c>
      <c r="R136" s="9" t="s">
        <v>1164</v>
      </c>
      <c r="S136" s="10">
        <v>4447</v>
      </c>
      <c r="T136" s="9" t="s">
        <v>888</v>
      </c>
      <c r="U136" s="10" t="s">
        <v>43</v>
      </c>
      <c r="V136" s="9" t="s">
        <v>403</v>
      </c>
      <c r="W136" s="10">
        <v>5778</v>
      </c>
      <c r="X136" s="9"/>
      <c r="Y136" s="10" t="s">
        <v>43</v>
      </c>
      <c r="Z136" s="9" t="s">
        <v>44</v>
      </c>
      <c r="AA136" s="10">
        <v>3035</v>
      </c>
      <c r="AB136" s="9"/>
      <c r="AC136" s="10">
        <v>17136</v>
      </c>
      <c r="AD136" s="9" t="s">
        <v>1161</v>
      </c>
      <c r="AE136" s="10">
        <v>16274</v>
      </c>
      <c r="AF136" s="9"/>
      <c r="AG136" s="10">
        <v>16393</v>
      </c>
      <c r="AH136" s="11"/>
    </row>
    <row r="137" spans="1:34">
      <c r="A137" s="4" t="s">
        <v>353</v>
      </c>
      <c r="B137" s="5" t="s">
        <v>354</v>
      </c>
      <c r="C137" s="6" t="s">
        <v>43</v>
      </c>
      <c r="D137" s="5" t="s">
        <v>886</v>
      </c>
      <c r="E137" s="6" t="s">
        <v>43</v>
      </c>
      <c r="F137" s="5"/>
      <c r="G137" s="6">
        <v>16285</v>
      </c>
      <c r="H137" s="5"/>
      <c r="I137" s="6">
        <v>14965</v>
      </c>
      <c r="J137" s="5"/>
      <c r="K137" s="6">
        <v>16528</v>
      </c>
      <c r="L137" s="5"/>
      <c r="M137" s="6">
        <v>16842</v>
      </c>
      <c r="N137" s="5"/>
      <c r="O137" s="6">
        <v>14923</v>
      </c>
      <c r="P137" s="5" t="s">
        <v>334</v>
      </c>
      <c r="Q137" s="6" t="s">
        <v>43</v>
      </c>
      <c r="R137" s="5" t="s">
        <v>1164</v>
      </c>
      <c r="S137" s="6">
        <v>11786</v>
      </c>
      <c r="T137" s="5" t="s">
        <v>888</v>
      </c>
      <c r="U137" s="6">
        <v>9789</v>
      </c>
      <c r="V137" s="5" t="s">
        <v>887</v>
      </c>
      <c r="W137" s="6">
        <v>9963</v>
      </c>
      <c r="X137" s="5"/>
      <c r="Y137" s="6">
        <v>6375</v>
      </c>
      <c r="Z137" s="5"/>
      <c r="AA137" s="6">
        <v>6194</v>
      </c>
      <c r="AB137" s="5"/>
      <c r="AC137" s="6">
        <v>27000</v>
      </c>
      <c r="AD137" s="5" t="s">
        <v>1161</v>
      </c>
      <c r="AE137" s="6">
        <v>26668</v>
      </c>
      <c r="AF137" s="5"/>
      <c r="AG137" s="6">
        <v>26448</v>
      </c>
      <c r="AH137" s="7"/>
    </row>
    <row r="138" spans="1:34">
      <c r="A138" s="8" t="s">
        <v>359</v>
      </c>
      <c r="B138" s="9" t="s">
        <v>360</v>
      </c>
      <c r="C138" s="10" t="s">
        <v>43</v>
      </c>
      <c r="D138" s="9" t="s">
        <v>886</v>
      </c>
      <c r="E138" s="10" t="s">
        <v>43</v>
      </c>
      <c r="F138" s="9"/>
      <c r="G138" s="10">
        <v>14234</v>
      </c>
      <c r="H138" s="9"/>
      <c r="I138" s="10">
        <v>14285</v>
      </c>
      <c r="J138" s="9"/>
      <c r="K138" s="10">
        <v>15203</v>
      </c>
      <c r="L138" s="9"/>
      <c r="M138" s="10">
        <v>15831</v>
      </c>
      <c r="N138" s="9"/>
      <c r="O138" s="10">
        <v>15321</v>
      </c>
      <c r="P138" s="9" t="s">
        <v>334</v>
      </c>
      <c r="Q138" s="10" t="s">
        <v>43</v>
      </c>
      <c r="R138" s="9" t="s">
        <v>1164</v>
      </c>
      <c r="S138" s="10">
        <v>14246</v>
      </c>
      <c r="T138" s="9" t="s">
        <v>888</v>
      </c>
      <c r="U138" s="10">
        <v>12074</v>
      </c>
      <c r="V138" s="9" t="s">
        <v>887</v>
      </c>
      <c r="W138" s="10" t="s">
        <v>43</v>
      </c>
      <c r="X138" s="9" t="s">
        <v>44</v>
      </c>
      <c r="Y138" s="10">
        <v>11262</v>
      </c>
      <c r="Z138" s="9"/>
      <c r="AA138" s="10">
        <v>11056</v>
      </c>
      <c r="AB138" s="9"/>
      <c r="AC138" s="10">
        <v>24038</v>
      </c>
      <c r="AD138" s="9" t="s">
        <v>1161</v>
      </c>
      <c r="AE138" s="10">
        <v>23112</v>
      </c>
      <c r="AF138" s="9"/>
      <c r="AG138" s="10">
        <v>23381</v>
      </c>
      <c r="AH138" s="11"/>
    </row>
    <row r="139" spans="1:34">
      <c r="A139" s="4" t="s">
        <v>367</v>
      </c>
      <c r="B139" s="5" t="s">
        <v>368</v>
      </c>
      <c r="C139" s="6" t="s">
        <v>43</v>
      </c>
      <c r="D139" s="5" t="s">
        <v>886</v>
      </c>
      <c r="E139" s="6" t="s">
        <v>43</v>
      </c>
      <c r="F139" s="5"/>
      <c r="G139" s="6">
        <v>7795</v>
      </c>
      <c r="H139" s="5"/>
      <c r="I139" s="6">
        <v>7844</v>
      </c>
      <c r="J139" s="5"/>
      <c r="K139" s="6">
        <v>10773</v>
      </c>
      <c r="L139" s="5"/>
      <c r="M139" s="6">
        <v>9579</v>
      </c>
      <c r="N139" s="5"/>
      <c r="O139" s="6">
        <v>9596</v>
      </c>
      <c r="P139" s="5" t="s">
        <v>334</v>
      </c>
      <c r="Q139" s="6">
        <v>9398</v>
      </c>
      <c r="R139" s="5" t="s">
        <v>334</v>
      </c>
      <c r="S139" s="6">
        <v>9359</v>
      </c>
      <c r="T139" s="5" t="s">
        <v>888</v>
      </c>
      <c r="U139" s="6">
        <v>8426</v>
      </c>
      <c r="V139" s="5" t="s">
        <v>887</v>
      </c>
      <c r="W139" s="6">
        <v>7950</v>
      </c>
      <c r="X139" s="5"/>
      <c r="Y139" s="6">
        <v>7554</v>
      </c>
      <c r="Z139" s="5"/>
      <c r="AA139" s="6">
        <v>6924</v>
      </c>
      <c r="AB139" s="5"/>
      <c r="AC139" s="6">
        <v>13166</v>
      </c>
      <c r="AD139" s="5" t="s">
        <v>1161</v>
      </c>
      <c r="AE139" s="6">
        <v>13100</v>
      </c>
      <c r="AF139" s="5"/>
      <c r="AG139" s="6">
        <v>13152</v>
      </c>
      <c r="AH139" s="7"/>
    </row>
    <row r="140" spans="1:34">
      <c r="A140" s="8" t="s">
        <v>370</v>
      </c>
      <c r="B140" s="9" t="s">
        <v>371</v>
      </c>
      <c r="C140" s="10" t="s">
        <v>43</v>
      </c>
      <c r="D140" s="9" t="s">
        <v>886</v>
      </c>
      <c r="E140" s="10" t="s">
        <v>43</v>
      </c>
      <c r="F140" s="9"/>
      <c r="G140" s="10">
        <v>1878</v>
      </c>
      <c r="H140" s="9"/>
      <c r="I140" s="10">
        <v>1866</v>
      </c>
      <c r="J140" s="9"/>
      <c r="K140" s="10">
        <v>2440</v>
      </c>
      <c r="L140" s="9"/>
      <c r="M140" s="10">
        <v>1695</v>
      </c>
      <c r="N140" s="9"/>
      <c r="O140" s="10">
        <v>2303</v>
      </c>
      <c r="P140" s="9" t="s">
        <v>334</v>
      </c>
      <c r="Q140" s="10">
        <v>2208</v>
      </c>
      <c r="R140" s="9" t="s">
        <v>334</v>
      </c>
      <c r="S140" s="10">
        <v>2294</v>
      </c>
      <c r="T140" s="9" t="s">
        <v>888</v>
      </c>
      <c r="U140" s="10">
        <v>1737</v>
      </c>
      <c r="V140" s="9" t="s">
        <v>887</v>
      </c>
      <c r="W140" s="10">
        <v>1980</v>
      </c>
      <c r="X140" s="9"/>
      <c r="Y140" s="10">
        <v>2449</v>
      </c>
      <c r="Z140" s="9"/>
      <c r="AA140" s="10">
        <v>2141</v>
      </c>
      <c r="AB140" s="9"/>
      <c r="AC140" s="10">
        <v>5800</v>
      </c>
      <c r="AD140" s="9" t="s">
        <v>1161</v>
      </c>
      <c r="AE140" s="10">
        <v>5846</v>
      </c>
      <c r="AF140" s="9"/>
      <c r="AG140" s="10">
        <v>5577</v>
      </c>
      <c r="AH140" s="11"/>
    </row>
    <row r="141" spans="1:34">
      <c r="A141" s="4" t="s">
        <v>373</v>
      </c>
      <c r="B141" s="5" t="s">
        <v>374</v>
      </c>
      <c r="C141" s="6" t="s">
        <v>43</v>
      </c>
      <c r="D141" s="5" t="s">
        <v>886</v>
      </c>
      <c r="E141" s="6" t="s">
        <v>43</v>
      </c>
      <c r="F141" s="5"/>
      <c r="G141" s="6">
        <v>5857</v>
      </c>
      <c r="H141" s="5"/>
      <c r="I141" s="6">
        <v>6381</v>
      </c>
      <c r="J141" s="5"/>
      <c r="K141" s="6">
        <v>6101</v>
      </c>
      <c r="L141" s="5"/>
      <c r="M141" s="6">
        <v>6326</v>
      </c>
      <c r="N141" s="5"/>
      <c r="O141" s="6">
        <v>5697</v>
      </c>
      <c r="P141" s="5" t="s">
        <v>334</v>
      </c>
      <c r="Q141" s="6" t="s">
        <v>43</v>
      </c>
      <c r="R141" s="5" t="s">
        <v>1164</v>
      </c>
      <c r="S141" s="6">
        <v>5251</v>
      </c>
      <c r="T141" s="5" t="s">
        <v>888</v>
      </c>
      <c r="U141" s="6">
        <v>3199</v>
      </c>
      <c r="V141" s="5" t="s">
        <v>887</v>
      </c>
      <c r="W141" s="6">
        <v>3503</v>
      </c>
      <c r="X141" s="5"/>
      <c r="Y141" s="6">
        <v>3697</v>
      </c>
      <c r="Z141" s="5"/>
      <c r="AA141" s="6">
        <v>3444</v>
      </c>
      <c r="AB141" s="5"/>
      <c r="AC141" s="6">
        <v>6576</v>
      </c>
      <c r="AD141" s="5" t="s">
        <v>1161</v>
      </c>
      <c r="AE141" s="6">
        <v>6877</v>
      </c>
      <c r="AF141" s="5"/>
      <c r="AG141" s="6">
        <v>6780</v>
      </c>
      <c r="AH141" s="7"/>
    </row>
    <row r="142" spans="1:34">
      <c r="A142" s="8" t="s">
        <v>381</v>
      </c>
      <c r="B142" s="9" t="s">
        <v>382</v>
      </c>
      <c r="C142" s="10" t="s">
        <v>43</v>
      </c>
      <c r="D142" s="9" t="s">
        <v>886</v>
      </c>
      <c r="E142" s="10" t="s">
        <v>43</v>
      </c>
      <c r="F142" s="9"/>
      <c r="G142" s="10">
        <v>1413</v>
      </c>
      <c r="H142" s="9"/>
      <c r="I142" s="10">
        <v>1822</v>
      </c>
      <c r="J142" s="9"/>
      <c r="K142" s="10" t="s">
        <v>43</v>
      </c>
      <c r="L142" s="9" t="s">
        <v>44</v>
      </c>
      <c r="M142" s="10" t="s">
        <v>43</v>
      </c>
      <c r="N142" s="9" t="s">
        <v>44</v>
      </c>
      <c r="O142" s="10" t="s">
        <v>43</v>
      </c>
      <c r="P142" s="9" t="s">
        <v>1164</v>
      </c>
      <c r="Q142" s="10" t="s">
        <v>43</v>
      </c>
      <c r="R142" s="9" t="s">
        <v>1164</v>
      </c>
      <c r="S142" s="10">
        <v>1254</v>
      </c>
      <c r="T142" s="9" t="s">
        <v>888</v>
      </c>
      <c r="U142" s="10">
        <v>1277</v>
      </c>
      <c r="V142" s="9" t="s">
        <v>887</v>
      </c>
      <c r="W142" s="10" t="s">
        <v>43</v>
      </c>
      <c r="X142" s="9" t="s">
        <v>44</v>
      </c>
      <c r="Y142" s="10" t="s">
        <v>43</v>
      </c>
      <c r="Z142" s="9" t="s">
        <v>44</v>
      </c>
      <c r="AA142" s="10">
        <v>1325</v>
      </c>
      <c r="AB142" s="9"/>
      <c r="AC142" s="10">
        <v>4266</v>
      </c>
      <c r="AD142" s="9" t="s">
        <v>1161</v>
      </c>
      <c r="AE142" s="10">
        <v>4488</v>
      </c>
      <c r="AF142" s="9"/>
      <c r="AG142" s="10">
        <v>4576</v>
      </c>
      <c r="AH142" s="11"/>
    </row>
    <row r="143" spans="1:34">
      <c r="A143" s="4" t="s">
        <v>387</v>
      </c>
      <c r="B143" s="5" t="s">
        <v>388</v>
      </c>
      <c r="C143" s="6" t="s">
        <v>43</v>
      </c>
      <c r="D143" s="5" t="s">
        <v>886</v>
      </c>
      <c r="E143" s="6" t="s">
        <v>43</v>
      </c>
      <c r="F143" s="5"/>
      <c r="G143" s="6">
        <v>18168</v>
      </c>
      <c r="H143" s="5"/>
      <c r="I143" s="6">
        <v>17353</v>
      </c>
      <c r="J143" s="5"/>
      <c r="K143" s="6">
        <v>25555</v>
      </c>
      <c r="L143" s="5"/>
      <c r="M143" s="6">
        <v>25152</v>
      </c>
      <c r="N143" s="5"/>
      <c r="O143" s="6">
        <v>26463</v>
      </c>
      <c r="P143" s="5" t="s">
        <v>334</v>
      </c>
      <c r="Q143" s="6">
        <v>25844</v>
      </c>
      <c r="R143" s="5" t="s">
        <v>334</v>
      </c>
      <c r="S143" s="6">
        <v>24105</v>
      </c>
      <c r="T143" s="5" t="s">
        <v>888</v>
      </c>
      <c r="U143" s="6">
        <v>32863</v>
      </c>
      <c r="V143" s="5" t="s">
        <v>887</v>
      </c>
      <c r="W143" s="6">
        <v>30679</v>
      </c>
      <c r="X143" s="5"/>
      <c r="Y143" s="6">
        <v>30374</v>
      </c>
      <c r="Z143" s="5"/>
      <c r="AA143" s="6">
        <v>34775</v>
      </c>
      <c r="AB143" s="5"/>
      <c r="AC143" s="6">
        <v>21690</v>
      </c>
      <c r="AD143" s="5" t="s">
        <v>1161</v>
      </c>
      <c r="AE143" s="6">
        <v>20670</v>
      </c>
      <c r="AF143" s="5"/>
      <c r="AG143" s="6">
        <v>22000</v>
      </c>
      <c r="AH143" s="7"/>
    </row>
    <row r="144" spans="1:34">
      <c r="A144" s="8" t="s">
        <v>393</v>
      </c>
      <c r="B144" s="9" t="s">
        <v>394</v>
      </c>
      <c r="C144" s="10" t="s">
        <v>43</v>
      </c>
      <c r="D144" s="9" t="s">
        <v>886</v>
      </c>
      <c r="E144" s="10" t="s">
        <v>43</v>
      </c>
      <c r="F144" s="9"/>
      <c r="G144" s="10">
        <v>768</v>
      </c>
      <c r="H144" s="9"/>
      <c r="I144" s="10">
        <v>974</v>
      </c>
      <c r="J144" s="9"/>
      <c r="K144" s="10" t="s">
        <v>43</v>
      </c>
      <c r="L144" s="9" t="s">
        <v>44</v>
      </c>
      <c r="M144" s="10">
        <v>953</v>
      </c>
      <c r="N144" s="9"/>
      <c r="O144" s="10">
        <v>766</v>
      </c>
      <c r="P144" s="9" t="s">
        <v>334</v>
      </c>
      <c r="Q144" s="10" t="s">
        <v>43</v>
      </c>
      <c r="R144" s="9" t="s">
        <v>403</v>
      </c>
      <c r="S144" s="10" t="s">
        <v>43</v>
      </c>
      <c r="T144" s="9" t="s">
        <v>44</v>
      </c>
      <c r="U144" s="10">
        <v>1195</v>
      </c>
      <c r="V144" s="9" t="s">
        <v>887</v>
      </c>
      <c r="W144" s="10">
        <v>1261</v>
      </c>
      <c r="X144" s="9"/>
      <c r="Y144" s="10">
        <v>693</v>
      </c>
      <c r="Z144" s="9"/>
      <c r="AA144" s="10">
        <v>850</v>
      </c>
      <c r="AB144" s="9"/>
      <c r="AC144" s="10">
        <v>1314</v>
      </c>
      <c r="AD144" s="9" t="s">
        <v>1161</v>
      </c>
      <c r="AE144" s="10">
        <v>1272</v>
      </c>
      <c r="AF144" s="9"/>
      <c r="AG144" s="10">
        <v>1141</v>
      </c>
      <c r="AH144" s="11"/>
    </row>
    <row r="145" spans="1:34">
      <c r="A145" s="4" t="s">
        <v>396</v>
      </c>
      <c r="B145" s="5" t="s">
        <v>397</v>
      </c>
      <c r="C145" s="6" t="s">
        <v>43</v>
      </c>
      <c r="D145" s="5" t="s">
        <v>886</v>
      </c>
      <c r="E145" s="6" t="s">
        <v>43</v>
      </c>
      <c r="F145" s="5"/>
      <c r="G145" s="6" t="s">
        <v>43</v>
      </c>
      <c r="H145" s="5" t="s">
        <v>44</v>
      </c>
      <c r="I145" s="6" t="s">
        <v>43</v>
      </c>
      <c r="J145" s="5" t="s">
        <v>44</v>
      </c>
      <c r="K145" s="6" t="s">
        <v>43</v>
      </c>
      <c r="L145" s="5" t="s">
        <v>44</v>
      </c>
      <c r="M145" s="6" t="s">
        <v>43</v>
      </c>
      <c r="N145" s="5" t="s">
        <v>44</v>
      </c>
      <c r="O145" s="6" t="s">
        <v>43</v>
      </c>
      <c r="P145" s="5" t="s">
        <v>403</v>
      </c>
      <c r="Q145" s="6" t="s">
        <v>43</v>
      </c>
      <c r="R145" s="5" t="s">
        <v>403</v>
      </c>
      <c r="S145" s="6" t="s">
        <v>43</v>
      </c>
      <c r="T145" s="5" t="s">
        <v>44</v>
      </c>
      <c r="U145" s="6" t="s">
        <v>43</v>
      </c>
      <c r="V145" s="5" t="s">
        <v>403</v>
      </c>
      <c r="W145" s="6" t="s">
        <v>43</v>
      </c>
      <c r="X145" s="5" t="s">
        <v>44</v>
      </c>
      <c r="Y145" s="6">
        <v>24</v>
      </c>
      <c r="Z145" s="5"/>
      <c r="AA145" s="6" t="s">
        <v>43</v>
      </c>
      <c r="AB145" s="5" t="s">
        <v>44</v>
      </c>
      <c r="AC145" s="6">
        <v>15</v>
      </c>
      <c r="AD145" s="5" t="s">
        <v>1161</v>
      </c>
      <c r="AE145" s="6">
        <v>15</v>
      </c>
      <c r="AF145" s="5"/>
      <c r="AG145" s="6">
        <v>10</v>
      </c>
      <c r="AH145" s="7"/>
    </row>
    <row r="146" spans="1:34">
      <c r="A146" t="s">
        <v>414</v>
      </c>
      <c r="B146" t="s">
        <v>415</v>
      </c>
      <c r="C146" s="2" t="s">
        <v>43</v>
      </c>
      <c r="D146" s="2"/>
      <c r="E146" s="2" t="s">
        <v>43</v>
      </c>
      <c r="F146" s="2"/>
      <c r="G146" s="2" t="s">
        <v>43</v>
      </c>
      <c r="H146" s="2"/>
      <c r="I146" s="2" t="s">
        <v>43</v>
      </c>
      <c r="J146" s="2"/>
      <c r="K146" s="2" t="s">
        <v>43</v>
      </c>
      <c r="L146" s="2"/>
      <c r="M146" s="2" t="s">
        <v>43</v>
      </c>
      <c r="N146" s="2"/>
      <c r="O146" s="2">
        <v>2382</v>
      </c>
      <c r="P146" s="2"/>
      <c r="Q146" s="2">
        <v>2591</v>
      </c>
      <c r="R146" s="2"/>
      <c r="S146" s="2">
        <v>2781</v>
      </c>
      <c r="T146" s="2"/>
      <c r="U146" s="2">
        <v>2919</v>
      </c>
      <c r="V146" s="2"/>
      <c r="W146" s="2">
        <v>2947</v>
      </c>
      <c r="X146" s="2"/>
      <c r="Y146" s="2">
        <v>2289</v>
      </c>
      <c r="Z146" s="2" t="s">
        <v>334</v>
      </c>
      <c r="AA146" s="2">
        <v>2246</v>
      </c>
      <c r="AB146" s="2"/>
      <c r="AC146" s="2">
        <f>Post2020_Derivation!G204</f>
        <v>2325</v>
      </c>
      <c r="AD146" s="2" t="e">
        <f ca="1">IF(Post2020_Derivation!H204="","",Post2020_Derivation!H204)</f>
        <v>#NAME?</v>
      </c>
      <c r="AE146" s="2">
        <f>Post2020_Derivation!M204</f>
        <v>2512</v>
      </c>
      <c r="AF146" s="2" t="e">
        <f ca="1">IF(Post2020_Derivation!N204="","",Post2020_Derivation!N204)</f>
        <v>#NAME?</v>
      </c>
      <c r="AG146" s="2">
        <f>Post2020_Derivation!S204</f>
        <v>2686</v>
      </c>
      <c r="AH146" s="2" t="e">
        <f ca="1">IF(Post2020_Derivation!T204="","",Post2020_Derivation!T204)</f>
        <v>#NAME?</v>
      </c>
    </row>
    <row r="147" spans="1:34">
      <c r="A147" t="s">
        <v>416</v>
      </c>
      <c r="B147" t="s">
        <v>417</v>
      </c>
      <c r="C147" s="2" t="s">
        <v>43</v>
      </c>
      <c r="D147" s="2"/>
      <c r="E147" s="2" t="s">
        <v>43</v>
      </c>
      <c r="F147" s="2"/>
      <c r="G147" s="2" t="s">
        <v>43</v>
      </c>
      <c r="H147" s="2"/>
      <c r="I147" s="2" t="s">
        <v>43</v>
      </c>
      <c r="J147" s="2"/>
      <c r="K147" s="2" t="s">
        <v>43</v>
      </c>
      <c r="L147" s="2"/>
      <c r="M147" s="2" t="s">
        <v>43</v>
      </c>
      <c r="N147" s="2"/>
      <c r="O147" s="2">
        <v>2382</v>
      </c>
      <c r="P147" s="2"/>
      <c r="Q147" s="2">
        <v>2591</v>
      </c>
      <c r="R147" s="2"/>
      <c r="S147" s="2">
        <v>2781</v>
      </c>
      <c r="T147" s="2"/>
      <c r="U147" s="2">
        <v>2919</v>
      </c>
      <c r="V147" s="2"/>
      <c r="W147" s="2">
        <v>2947</v>
      </c>
      <c r="X147" s="2"/>
      <c r="Y147" s="2">
        <v>2289</v>
      </c>
      <c r="Z147" s="2" t="s">
        <v>334</v>
      </c>
      <c r="AA147" s="2">
        <v>2246</v>
      </c>
      <c r="AB147" s="2"/>
      <c r="AC147" s="2">
        <f>Post2020_Derivation!G205</f>
        <v>2325</v>
      </c>
      <c r="AD147" s="2" t="e">
        <f ca="1">IF(Post2020_Derivation!H205="","",Post2020_Derivation!H205)</f>
        <v>#NAME?</v>
      </c>
      <c r="AE147" s="2">
        <f>Post2020_Derivation!M205</f>
        <v>2512</v>
      </c>
      <c r="AF147" s="2" t="e">
        <f ca="1">IF(Post2020_Derivation!N205="","",Post2020_Derivation!N205)</f>
        <v>#NAME?</v>
      </c>
      <c r="AG147" s="2">
        <f>Post2020_Derivation!S205</f>
        <v>2686</v>
      </c>
      <c r="AH147" s="2" t="e">
        <f ca="1">IF(Post2020_Derivation!T205="","",Post2020_Derivation!T205)</f>
        <v>#NAME?</v>
      </c>
    </row>
    <row r="148" spans="1:34">
      <c r="A148" t="s">
        <v>418</v>
      </c>
      <c r="B148" t="s">
        <v>419</v>
      </c>
      <c r="C148" s="2" t="s">
        <v>43</v>
      </c>
      <c r="D148" s="2"/>
      <c r="E148" s="2" t="s">
        <v>43</v>
      </c>
      <c r="F148" s="2"/>
      <c r="G148" s="2" t="s">
        <v>43</v>
      </c>
      <c r="H148" s="2"/>
      <c r="I148" s="2" t="s">
        <v>43</v>
      </c>
      <c r="J148" s="2"/>
      <c r="K148" s="2" t="s">
        <v>43</v>
      </c>
      <c r="L148" s="2"/>
      <c r="M148" s="2" t="s">
        <v>43</v>
      </c>
      <c r="N148" s="2"/>
      <c r="O148" s="2" t="s">
        <v>43</v>
      </c>
      <c r="P148" s="2"/>
      <c r="Q148" s="2" t="s">
        <v>43</v>
      </c>
      <c r="R148" s="2"/>
      <c r="S148" s="2" t="s">
        <v>43</v>
      </c>
      <c r="T148" s="2"/>
      <c r="U148" s="2" t="s">
        <v>43</v>
      </c>
      <c r="V148" s="2"/>
      <c r="W148" s="2" t="s">
        <v>43</v>
      </c>
      <c r="X148" s="2"/>
      <c r="Y148" s="2">
        <v>568</v>
      </c>
      <c r="Z148" s="2" t="s">
        <v>334</v>
      </c>
      <c r="AA148" s="2">
        <v>648</v>
      </c>
      <c r="AB148" s="2"/>
      <c r="AC148" s="2">
        <f>Post2020_Derivation!G206</f>
        <v>627</v>
      </c>
      <c r="AD148" s="2" t="e">
        <f ca="1">IF(Post2020_Derivation!H206="","",Post2020_Derivation!H206)</f>
        <v>#NAME?</v>
      </c>
      <c r="AE148" s="2">
        <f>Post2020_Derivation!M206</f>
        <v>594</v>
      </c>
      <c r="AF148" s="2" t="e">
        <f ca="1">IF(Post2020_Derivation!N206="","",Post2020_Derivation!N206)</f>
        <v>#NAME?</v>
      </c>
      <c r="AG148" s="2">
        <f>Post2020_Derivation!S206</f>
        <v>612</v>
      </c>
      <c r="AH148" s="2" t="e">
        <f ca="1">IF(Post2020_Derivation!T206="","",Post2020_Derivation!T206)</f>
        <v>#NAME?</v>
      </c>
    </row>
    <row r="149" spans="1:34">
      <c r="A149" t="s">
        <v>420</v>
      </c>
      <c r="B149" t="s">
        <v>421</v>
      </c>
      <c r="C149" s="2" t="s">
        <v>43</v>
      </c>
      <c r="D149" s="2"/>
      <c r="E149" s="2" t="s">
        <v>43</v>
      </c>
      <c r="F149" s="2"/>
      <c r="G149" s="2" t="s">
        <v>43</v>
      </c>
      <c r="H149" s="2"/>
      <c r="I149" s="2" t="s">
        <v>43</v>
      </c>
      <c r="J149" s="2"/>
      <c r="K149" s="2" t="s">
        <v>43</v>
      </c>
      <c r="L149" s="2"/>
      <c r="M149" s="2" t="s">
        <v>43</v>
      </c>
      <c r="N149" s="2"/>
      <c r="O149" s="2">
        <v>1387</v>
      </c>
      <c r="P149" s="2"/>
      <c r="Q149" s="2">
        <v>1487</v>
      </c>
      <c r="R149" s="2"/>
      <c r="S149" s="2">
        <v>1446</v>
      </c>
      <c r="T149" s="2"/>
      <c r="U149" s="2">
        <v>1321</v>
      </c>
      <c r="V149" s="2"/>
      <c r="W149" s="2">
        <v>1355</v>
      </c>
      <c r="X149" s="2"/>
      <c r="Y149" s="2">
        <v>584</v>
      </c>
      <c r="Z149" s="2" t="s">
        <v>334</v>
      </c>
      <c r="AA149" s="2">
        <v>567</v>
      </c>
      <c r="AB149" s="2"/>
      <c r="AC149" s="2">
        <f>Post2020_Derivation!G207</f>
        <v>600</v>
      </c>
      <c r="AD149" s="2" t="e">
        <f ca="1">IF(Post2020_Derivation!H207="","",Post2020_Derivation!H207)</f>
        <v>#NAME?</v>
      </c>
      <c r="AE149" s="2">
        <f>Post2020_Derivation!M207</f>
        <v>570</v>
      </c>
      <c r="AF149" s="2" t="e">
        <f ca="1">IF(Post2020_Derivation!N207="","",Post2020_Derivation!N207)</f>
        <v>#NAME?</v>
      </c>
      <c r="AG149" s="2">
        <f>Post2020_Derivation!S207</f>
        <v>624</v>
      </c>
      <c r="AH149" s="2" t="e">
        <f ca="1">IF(Post2020_Derivation!T207="","",Post2020_Derivation!T207)</f>
        <v>#NAME?</v>
      </c>
    </row>
    <row r="150" spans="1:34">
      <c r="A150" t="s">
        <v>966</v>
      </c>
      <c r="B150" t="s">
        <v>967</v>
      </c>
      <c r="C150" s="2" t="s">
        <v>43</v>
      </c>
      <c r="D150" s="2"/>
      <c r="E150" s="2" t="s">
        <v>43</v>
      </c>
      <c r="F150" s="2"/>
      <c r="G150" s="2" t="s">
        <v>43</v>
      </c>
      <c r="H150" s="2"/>
      <c r="I150" s="2" t="s">
        <v>43</v>
      </c>
      <c r="J150" s="2"/>
      <c r="K150" s="2" t="s">
        <v>43</v>
      </c>
      <c r="L150" s="2"/>
      <c r="M150" s="2" t="s">
        <v>43</v>
      </c>
      <c r="N150" s="2"/>
      <c r="O150" s="2">
        <v>995</v>
      </c>
      <c r="P150" s="2"/>
      <c r="Q150" s="2">
        <v>1104</v>
      </c>
      <c r="R150" s="2"/>
      <c r="S150" s="2">
        <v>1335</v>
      </c>
      <c r="T150" s="2"/>
      <c r="U150" s="2">
        <v>1598</v>
      </c>
      <c r="V150" s="2"/>
      <c r="W150" s="2">
        <v>1592</v>
      </c>
      <c r="X150" s="2"/>
      <c r="Y150" s="2" t="s">
        <v>43</v>
      </c>
      <c r="Z150" s="2"/>
      <c r="AA150" s="2" t="s">
        <v>43</v>
      </c>
      <c r="AB150" s="2"/>
      <c r="AC150" s="2" t="str">
        <f>""</f>
        <v/>
      </c>
      <c r="AD150" s="2" t="str">
        <f>""</f>
        <v/>
      </c>
      <c r="AE150" s="2" t="str">
        <f>""</f>
        <v/>
      </c>
      <c r="AF150" s="2" t="str">
        <f>""</f>
        <v/>
      </c>
      <c r="AG150" s="2" t="str">
        <f>""</f>
        <v/>
      </c>
      <c r="AH150" s="2" t="str">
        <f>""</f>
        <v/>
      </c>
    </row>
    <row r="151" spans="1:34">
      <c r="A151" t="s">
        <v>422</v>
      </c>
      <c r="B151" t="s">
        <v>423</v>
      </c>
      <c r="C151" s="2" t="s">
        <v>43</v>
      </c>
      <c r="D151" s="2"/>
      <c r="E151" s="2" t="s">
        <v>43</v>
      </c>
      <c r="F151" s="2"/>
      <c r="G151" s="2" t="s">
        <v>43</v>
      </c>
      <c r="H151" s="2"/>
      <c r="I151" s="2" t="s">
        <v>43</v>
      </c>
      <c r="J151" s="2"/>
      <c r="K151" s="2" t="s">
        <v>43</v>
      </c>
      <c r="L151" s="2"/>
      <c r="M151" s="2" t="s">
        <v>43</v>
      </c>
      <c r="N151" s="2"/>
      <c r="O151" s="2" t="s">
        <v>43</v>
      </c>
      <c r="P151" s="2"/>
      <c r="Q151" s="2" t="s">
        <v>43</v>
      </c>
      <c r="R151" s="2"/>
      <c r="S151" s="2" t="s">
        <v>43</v>
      </c>
      <c r="T151" s="2"/>
      <c r="U151" s="2" t="s">
        <v>43</v>
      </c>
      <c r="V151" s="2"/>
      <c r="W151" s="2" t="s">
        <v>43</v>
      </c>
      <c r="X151" s="2"/>
      <c r="Y151" s="2">
        <v>444</v>
      </c>
      <c r="Z151" s="2" t="s">
        <v>334</v>
      </c>
      <c r="AA151" s="2">
        <v>368</v>
      </c>
      <c r="AB151" s="2"/>
      <c r="AC151" s="2">
        <f>Post2020_Derivation!G208</f>
        <v>350</v>
      </c>
      <c r="AD151" s="2" t="e">
        <f ca="1">IF(Post2020_Derivation!H208="","",Post2020_Derivation!H208)</f>
        <v>#NAME?</v>
      </c>
      <c r="AE151" s="2">
        <f>Post2020_Derivation!M208</f>
        <v>396</v>
      </c>
      <c r="AF151" s="2" t="e">
        <f ca="1">IF(Post2020_Derivation!N208="","",Post2020_Derivation!N208)</f>
        <v>#NAME?</v>
      </c>
      <c r="AG151" s="2">
        <f>Post2020_Derivation!S208</f>
        <v>476</v>
      </c>
      <c r="AH151" s="2" t="e">
        <f ca="1">IF(Post2020_Derivation!T208="","",Post2020_Derivation!T208)</f>
        <v>#NAME?</v>
      </c>
    </row>
    <row r="152" spans="1:34">
      <c r="A152" t="s">
        <v>424</v>
      </c>
      <c r="B152" t="s">
        <v>425</v>
      </c>
      <c r="C152" s="2" t="s">
        <v>43</v>
      </c>
      <c r="D152" s="2"/>
      <c r="E152" s="2" t="s">
        <v>43</v>
      </c>
      <c r="F152" s="2"/>
      <c r="G152" s="2" t="s">
        <v>43</v>
      </c>
      <c r="H152" s="2"/>
      <c r="I152" s="2" t="s">
        <v>43</v>
      </c>
      <c r="J152" s="2"/>
      <c r="K152" s="2" t="s">
        <v>43</v>
      </c>
      <c r="L152" s="2"/>
      <c r="M152" s="2" t="s">
        <v>43</v>
      </c>
      <c r="N152" s="2"/>
      <c r="O152" s="2" t="s">
        <v>43</v>
      </c>
      <c r="P152" s="2"/>
      <c r="Q152" s="2" t="s">
        <v>43</v>
      </c>
      <c r="R152" s="2"/>
      <c r="S152" s="2" t="s">
        <v>43</v>
      </c>
      <c r="T152" s="2"/>
      <c r="U152" s="2" t="s">
        <v>43</v>
      </c>
      <c r="V152" s="2"/>
      <c r="W152" s="2" t="s">
        <v>43</v>
      </c>
      <c r="X152" s="2"/>
      <c r="Y152" s="2">
        <v>693</v>
      </c>
      <c r="Z152" s="2" t="s">
        <v>334</v>
      </c>
      <c r="AA152" s="2">
        <v>662</v>
      </c>
      <c r="AB152" s="2"/>
      <c r="AC152" s="2">
        <f>Post2020_Derivation!G209</f>
        <v>752</v>
      </c>
      <c r="AD152" s="2" t="e">
        <f ca="1">IF(Post2020_Derivation!H209="","",Post2020_Derivation!H209)</f>
        <v>#NAME?</v>
      </c>
      <c r="AE152" s="2">
        <f>Post2020_Derivation!M209</f>
        <v>950</v>
      </c>
      <c r="AF152" s="2" t="e">
        <f ca="1">IF(Post2020_Derivation!N209="","",Post2020_Derivation!N209)</f>
        <v>#NAME?</v>
      </c>
      <c r="AG152" s="2">
        <f>Post2020_Derivation!S209</f>
        <v>1029</v>
      </c>
      <c r="AH152" s="2" t="e">
        <f ca="1">IF(Post2020_Derivation!T209="","",Post2020_Derivation!T209)</f>
        <v>#NAME?</v>
      </c>
    </row>
    <row r="153" spans="1:34">
      <c r="A153" t="s">
        <v>426</v>
      </c>
      <c r="B153" t="s">
        <v>427</v>
      </c>
      <c r="C153" s="2">
        <v>177190</v>
      </c>
      <c r="D153" s="2"/>
      <c r="E153" s="2">
        <v>169666</v>
      </c>
      <c r="F153" s="2"/>
      <c r="G153" s="2">
        <v>164849</v>
      </c>
      <c r="H153" s="2"/>
      <c r="I153" s="2">
        <v>168557</v>
      </c>
      <c r="J153" s="2"/>
      <c r="K153" s="2">
        <v>162500</v>
      </c>
      <c r="L153" s="2"/>
      <c r="M153" s="2">
        <v>160929</v>
      </c>
      <c r="N153" s="2"/>
      <c r="O153" s="2">
        <v>158530</v>
      </c>
      <c r="P153" s="2"/>
      <c r="Q153" s="2">
        <v>159836</v>
      </c>
      <c r="R153" s="2"/>
      <c r="S153" s="2">
        <v>161702</v>
      </c>
      <c r="T153" s="2"/>
      <c r="U153" s="2">
        <v>161685</v>
      </c>
      <c r="V153" s="2"/>
      <c r="W153" s="2">
        <v>164021</v>
      </c>
      <c r="X153" s="2"/>
      <c r="Y153" s="2">
        <v>165007</v>
      </c>
      <c r="Z153" s="2"/>
      <c r="AA153" s="2">
        <v>163051</v>
      </c>
      <c r="AB153" s="2"/>
      <c r="AC153" s="2">
        <f>Post2020_Derivation!G210</f>
        <v>162292</v>
      </c>
      <c r="AD153" s="2" t="e">
        <f ca="1">IF(Post2020_Derivation!H210="","",Post2020_Derivation!H210)</f>
        <v>#NAME?</v>
      </c>
      <c r="AE153" s="2">
        <f>Post2020_Derivation!M210</f>
        <v>158967</v>
      </c>
      <c r="AF153" s="2" t="e">
        <f ca="1">IF(Post2020_Derivation!N210="","",Post2020_Derivation!N210)</f>
        <v>#NAME?</v>
      </c>
      <c r="AG153" s="2">
        <f>Post2020_Derivation!S210</f>
        <v>159834</v>
      </c>
      <c r="AH153" s="2" t="e">
        <f ca="1">IF(Post2020_Derivation!T210="","",Post2020_Derivation!T210)</f>
        <v>#NAME?</v>
      </c>
    </row>
    <row r="154" spans="1:34">
      <c r="A154" t="s">
        <v>428</v>
      </c>
      <c r="B154" t="s">
        <v>429</v>
      </c>
      <c r="C154" s="2">
        <v>92909</v>
      </c>
      <c r="D154" s="2"/>
      <c r="E154" s="2">
        <v>80161</v>
      </c>
      <c r="F154" s="2"/>
      <c r="G154" s="2">
        <v>77683</v>
      </c>
      <c r="H154" s="2"/>
      <c r="I154" s="2">
        <v>81186</v>
      </c>
      <c r="J154" s="2"/>
      <c r="K154" s="2">
        <v>77543</v>
      </c>
      <c r="L154" s="2"/>
      <c r="M154" s="2">
        <v>78530</v>
      </c>
      <c r="N154" s="2"/>
      <c r="O154" s="2">
        <v>78605</v>
      </c>
      <c r="P154" s="2"/>
      <c r="Q154" s="2">
        <v>78418</v>
      </c>
      <c r="R154" s="2"/>
      <c r="S154" s="2">
        <v>77558</v>
      </c>
      <c r="T154" s="2"/>
      <c r="U154" s="2">
        <v>76487</v>
      </c>
      <c r="V154" s="2"/>
      <c r="W154" s="2">
        <v>75931</v>
      </c>
      <c r="X154" s="2"/>
      <c r="Y154" s="2">
        <v>75281</v>
      </c>
      <c r="Z154" s="2"/>
      <c r="AA154" s="2">
        <v>73917</v>
      </c>
      <c r="AB154" s="2"/>
      <c r="AC154" s="2">
        <f>Post2020_Derivation!G211</f>
        <v>72522</v>
      </c>
      <c r="AD154" s="2" t="e">
        <f ca="1">IF(Post2020_Derivation!H211="","",Post2020_Derivation!H211)</f>
        <v>#NAME?</v>
      </c>
      <c r="AE154" s="2">
        <f>Post2020_Derivation!M211</f>
        <v>71285</v>
      </c>
      <c r="AF154" s="2" t="e">
        <f ca="1">IF(Post2020_Derivation!N211="","",Post2020_Derivation!N211)</f>
        <v>#NAME?</v>
      </c>
      <c r="AG154" s="2">
        <f>Post2020_Derivation!S211</f>
        <v>71020</v>
      </c>
      <c r="AH154" s="2" t="e">
        <f ca="1">IF(Post2020_Derivation!T211="","",Post2020_Derivation!T211)</f>
        <v>#NAME?</v>
      </c>
    </row>
    <row r="155" spans="1:34">
      <c r="A155" t="s">
        <v>430</v>
      </c>
      <c r="B155" t="s">
        <v>431</v>
      </c>
      <c r="C155" s="2">
        <v>59947</v>
      </c>
      <c r="D155" s="2"/>
      <c r="E155" s="2">
        <v>51874</v>
      </c>
      <c r="F155" s="2"/>
      <c r="G155" s="2">
        <v>51228</v>
      </c>
      <c r="H155" s="2"/>
      <c r="I155" s="2">
        <v>58904</v>
      </c>
      <c r="J155" s="2"/>
      <c r="K155" s="2">
        <v>52019</v>
      </c>
      <c r="L155" s="2"/>
      <c r="M155" s="2">
        <v>53272</v>
      </c>
      <c r="N155" s="2"/>
      <c r="O155" s="2">
        <v>53266</v>
      </c>
      <c r="P155" s="2"/>
      <c r="Q155" s="2">
        <v>52974</v>
      </c>
      <c r="R155" s="2"/>
      <c r="S155" s="2">
        <v>52122</v>
      </c>
      <c r="T155" s="2"/>
      <c r="U155" s="2">
        <v>50905</v>
      </c>
      <c r="V155" s="2"/>
      <c r="W155" s="2">
        <v>49914</v>
      </c>
      <c r="X155" s="2"/>
      <c r="Y155" s="2">
        <v>48650</v>
      </c>
      <c r="Z155" s="2"/>
      <c r="AA155" s="2">
        <v>47672</v>
      </c>
      <c r="AB155" s="2"/>
      <c r="AC155" s="2">
        <f>Post2020_Derivation!G212</f>
        <v>49567</v>
      </c>
      <c r="AD155" s="2" t="e">
        <f ca="1">IF(Post2020_Derivation!H212="","",Post2020_Derivation!H212)</f>
        <v>#NAME?</v>
      </c>
      <c r="AE155" s="2">
        <f>Post2020_Derivation!M212</f>
        <v>45158</v>
      </c>
      <c r="AF155" s="2" t="e">
        <f ca="1">IF(Post2020_Derivation!N212="","",Post2020_Derivation!N212)</f>
        <v>#NAME?</v>
      </c>
      <c r="AG155" s="2">
        <f>Post2020_Derivation!S212</f>
        <v>44682</v>
      </c>
      <c r="AH155" s="2" t="e">
        <f ca="1">IF(Post2020_Derivation!T212="","",Post2020_Derivation!T212)</f>
        <v>#NAME?</v>
      </c>
    </row>
    <row r="156" spans="1:34">
      <c r="A156" t="s">
        <v>432</v>
      </c>
      <c r="B156" t="s">
        <v>433</v>
      </c>
      <c r="C156" s="2" t="s">
        <v>43</v>
      </c>
      <c r="D156" s="2" t="s">
        <v>44</v>
      </c>
      <c r="E156" s="2" t="s">
        <v>43</v>
      </c>
      <c r="F156" s="2" t="s">
        <v>44</v>
      </c>
      <c r="G156" s="2" t="s">
        <v>43</v>
      </c>
      <c r="H156" s="2" t="s">
        <v>44</v>
      </c>
      <c r="I156" s="2" t="s">
        <v>43</v>
      </c>
      <c r="J156" s="2" t="s">
        <v>44</v>
      </c>
      <c r="K156" s="2" t="s">
        <v>43</v>
      </c>
      <c r="L156" s="2" t="s">
        <v>44</v>
      </c>
      <c r="M156" s="2" t="s">
        <v>43</v>
      </c>
      <c r="N156" s="2" t="s">
        <v>44</v>
      </c>
      <c r="O156" s="2">
        <v>4354</v>
      </c>
      <c r="P156" s="2"/>
      <c r="Q156" s="2">
        <v>333</v>
      </c>
      <c r="R156" s="2"/>
      <c r="S156" s="2">
        <v>342</v>
      </c>
      <c r="T156" s="2"/>
      <c r="U156" s="2">
        <v>370</v>
      </c>
      <c r="V156" s="2"/>
      <c r="W156" s="2">
        <v>376</v>
      </c>
      <c r="X156" s="2"/>
      <c r="Y156" s="2">
        <v>358</v>
      </c>
      <c r="Z156" s="2"/>
      <c r="AA156" s="2">
        <v>351</v>
      </c>
      <c r="AB156" s="2"/>
      <c r="AC156" s="2">
        <f>Post2020_Derivation!G213</f>
        <v>372</v>
      </c>
      <c r="AD156" s="2" t="e">
        <f ca="1">IF(Post2020_Derivation!H213="","",Post2020_Derivation!H213)</f>
        <v>#NAME?</v>
      </c>
      <c r="AE156" s="2">
        <f>Post2020_Derivation!M213</f>
        <v>342</v>
      </c>
      <c r="AF156" s="2" t="e">
        <f ca="1">IF(Post2020_Derivation!N213="","",Post2020_Derivation!N213)</f>
        <v>#NAME?</v>
      </c>
      <c r="AG156" s="2">
        <f>Post2020_Derivation!S213</f>
        <v>339</v>
      </c>
      <c r="AH156" s="2" t="e">
        <f ca="1">IF(Post2020_Derivation!T213="","",Post2020_Derivation!T213)</f>
        <v>#NAME?</v>
      </c>
    </row>
    <row r="157" spans="1:34">
      <c r="A157" t="s">
        <v>434</v>
      </c>
      <c r="B157" t="s">
        <v>435</v>
      </c>
      <c r="C157" s="2" t="s">
        <v>43</v>
      </c>
      <c r="D157" s="2" t="s">
        <v>44</v>
      </c>
      <c r="E157" s="2" t="s">
        <v>43</v>
      </c>
      <c r="F157" s="2" t="s">
        <v>44</v>
      </c>
      <c r="G157" s="2" t="s">
        <v>43</v>
      </c>
      <c r="H157" s="2" t="s">
        <v>44</v>
      </c>
      <c r="I157" s="2" t="s">
        <v>43</v>
      </c>
      <c r="J157" s="2" t="s">
        <v>44</v>
      </c>
      <c r="K157" s="2" t="s">
        <v>43</v>
      </c>
      <c r="L157" s="2" t="s">
        <v>44</v>
      </c>
      <c r="M157" s="2" t="s">
        <v>43</v>
      </c>
      <c r="N157" s="2" t="s">
        <v>44</v>
      </c>
      <c r="O157" s="2">
        <v>1174</v>
      </c>
      <c r="P157" s="2"/>
      <c r="Q157" s="2">
        <v>1522</v>
      </c>
      <c r="R157" s="2"/>
      <c r="S157" s="2">
        <v>1501</v>
      </c>
      <c r="T157" s="2"/>
      <c r="U157" s="2">
        <v>1585</v>
      </c>
      <c r="V157" s="2"/>
      <c r="W157" s="2">
        <v>1567</v>
      </c>
      <c r="X157" s="2"/>
      <c r="Y157" s="2">
        <v>1541</v>
      </c>
      <c r="Z157" s="2"/>
      <c r="AA157" s="2">
        <v>1513</v>
      </c>
      <c r="AB157" s="2"/>
      <c r="AC157" s="2">
        <f>Post2020_Derivation!G214</f>
        <v>1536</v>
      </c>
      <c r="AD157" s="2" t="e">
        <f ca="1">IF(Post2020_Derivation!H214="","",Post2020_Derivation!H214)</f>
        <v>#NAME?</v>
      </c>
      <c r="AE157" s="2">
        <f>Post2020_Derivation!M214</f>
        <v>1485</v>
      </c>
      <c r="AF157" s="2" t="e">
        <f ca="1">IF(Post2020_Derivation!N214="","",Post2020_Derivation!N214)</f>
        <v>#NAME?</v>
      </c>
      <c r="AG157" s="2">
        <f>Post2020_Derivation!S214</f>
        <v>1377</v>
      </c>
      <c r="AH157" s="2" t="e">
        <f ca="1">IF(Post2020_Derivation!T214="","",Post2020_Derivation!T214)</f>
        <v>#NAME?</v>
      </c>
    </row>
    <row r="158" spans="1:34">
      <c r="A158" t="s">
        <v>436</v>
      </c>
      <c r="B158" t="s">
        <v>437</v>
      </c>
      <c r="C158" s="2">
        <v>31583</v>
      </c>
      <c r="D158" s="2"/>
      <c r="E158" s="2">
        <v>27080</v>
      </c>
      <c r="F158" s="2"/>
      <c r="G158" s="2">
        <v>25252</v>
      </c>
      <c r="H158" s="2"/>
      <c r="I158" s="2">
        <v>20994</v>
      </c>
      <c r="J158" s="2"/>
      <c r="K158" s="2">
        <v>24287</v>
      </c>
      <c r="L158" s="2"/>
      <c r="M158" s="2">
        <v>23698</v>
      </c>
      <c r="N158" s="2"/>
      <c r="O158" s="2">
        <v>19811</v>
      </c>
      <c r="P158" s="2"/>
      <c r="Q158" s="2">
        <v>23589</v>
      </c>
      <c r="R158" s="2"/>
      <c r="S158" s="2">
        <v>23593</v>
      </c>
      <c r="T158" s="2"/>
      <c r="U158" s="2">
        <v>23627</v>
      </c>
      <c r="V158" s="2"/>
      <c r="W158" s="2">
        <v>24074</v>
      </c>
      <c r="X158" s="2"/>
      <c r="Y158" s="2">
        <v>24732</v>
      </c>
      <c r="Z158" s="2"/>
      <c r="AA158" s="2">
        <v>24381</v>
      </c>
      <c r="AB158" s="2"/>
      <c r="AC158" s="2">
        <f>Post2020_Derivation!G215</f>
        <v>21980</v>
      </c>
      <c r="AD158" s="2" t="e">
        <f ca="1">IF(Post2020_Derivation!H215="","",Post2020_Derivation!H215)</f>
        <v>#NAME?</v>
      </c>
      <c r="AE158" s="2">
        <f>Post2020_Derivation!M215</f>
        <v>24130</v>
      </c>
      <c r="AF158" s="2" t="e">
        <f ca="1">IF(Post2020_Derivation!N215="","",Post2020_Derivation!N215)</f>
        <v>#NAME?</v>
      </c>
      <c r="AG158" s="2">
        <f>Post2020_Derivation!S215</f>
        <v>24687</v>
      </c>
      <c r="AH158" s="2" t="e">
        <f ca="1">IF(Post2020_Derivation!T215="","",Post2020_Derivation!T215)</f>
        <v>#NAME?</v>
      </c>
    </row>
    <row r="159" spans="1:34">
      <c r="A159" t="s">
        <v>968</v>
      </c>
      <c r="B159" t="s">
        <v>969</v>
      </c>
      <c r="C159" s="2">
        <v>28784</v>
      </c>
      <c r="D159" s="2"/>
      <c r="E159" s="2">
        <v>29275</v>
      </c>
      <c r="F159" s="2"/>
      <c r="G159" s="2">
        <v>27991</v>
      </c>
      <c r="H159" s="2"/>
      <c r="I159" s="2" t="s">
        <v>43</v>
      </c>
      <c r="J159" s="2"/>
      <c r="K159" s="2" t="s">
        <v>43</v>
      </c>
      <c r="L159" s="2"/>
      <c r="M159" s="2" t="s">
        <v>43</v>
      </c>
      <c r="N159" s="2"/>
      <c r="O159" s="2" t="s">
        <v>43</v>
      </c>
      <c r="P159" s="2"/>
      <c r="Q159" s="2" t="s">
        <v>43</v>
      </c>
      <c r="R159" s="2"/>
      <c r="S159" s="2" t="s">
        <v>43</v>
      </c>
      <c r="T159" s="2"/>
      <c r="U159" s="2" t="s">
        <v>43</v>
      </c>
      <c r="V159" s="2"/>
      <c r="W159" s="2" t="s">
        <v>43</v>
      </c>
      <c r="X159" s="2"/>
      <c r="Y159" s="2" t="s">
        <v>43</v>
      </c>
      <c r="Z159" s="2"/>
      <c r="AA159" s="2" t="s">
        <v>43</v>
      </c>
      <c r="AB159" s="2"/>
      <c r="AC159" s="2" t="str">
        <f>""</f>
        <v/>
      </c>
      <c r="AD159" s="2" t="str">
        <f>""</f>
        <v/>
      </c>
      <c r="AE159" s="2" t="str">
        <f>""</f>
        <v/>
      </c>
      <c r="AF159" s="2" t="str">
        <f>""</f>
        <v/>
      </c>
      <c r="AG159" s="2" t="str">
        <f>""</f>
        <v/>
      </c>
      <c r="AH159" s="2" t="str">
        <f>""</f>
        <v/>
      </c>
    </row>
    <row r="160" spans="1:34">
      <c r="A160" t="s">
        <v>970</v>
      </c>
      <c r="B160" t="s">
        <v>971</v>
      </c>
      <c r="C160" s="2">
        <v>1851</v>
      </c>
      <c r="D160" s="2"/>
      <c r="E160" s="2">
        <v>1768</v>
      </c>
      <c r="F160" s="2"/>
      <c r="G160" s="2">
        <v>1543</v>
      </c>
      <c r="H160" s="2"/>
      <c r="I160" s="2" t="s">
        <v>43</v>
      </c>
      <c r="J160" s="2"/>
      <c r="K160" s="2" t="s">
        <v>43</v>
      </c>
      <c r="L160" s="2"/>
      <c r="M160" s="2" t="s">
        <v>43</v>
      </c>
      <c r="N160" s="2"/>
      <c r="O160" s="2" t="s">
        <v>43</v>
      </c>
      <c r="P160" s="2"/>
      <c r="Q160" s="2" t="s">
        <v>43</v>
      </c>
      <c r="R160" s="2"/>
      <c r="S160" s="2" t="s">
        <v>43</v>
      </c>
      <c r="T160" s="2"/>
      <c r="U160" s="2" t="s">
        <v>43</v>
      </c>
      <c r="V160" s="2"/>
      <c r="W160" s="2" t="s">
        <v>43</v>
      </c>
      <c r="X160" s="2"/>
      <c r="Y160" s="2" t="s">
        <v>43</v>
      </c>
      <c r="Z160" s="2"/>
      <c r="AA160" s="2" t="s">
        <v>43</v>
      </c>
      <c r="AB160" s="2"/>
      <c r="AC160" s="2" t="str">
        <f>""</f>
        <v/>
      </c>
      <c r="AD160" s="2" t="str">
        <f>""</f>
        <v/>
      </c>
      <c r="AE160" s="2" t="str">
        <f>""</f>
        <v/>
      </c>
      <c r="AF160" s="2" t="str">
        <f>""</f>
        <v/>
      </c>
      <c r="AG160" s="2" t="str">
        <f>""</f>
        <v/>
      </c>
      <c r="AH160" s="2" t="str">
        <f>""</f>
        <v/>
      </c>
    </row>
    <row r="161" spans="1:34">
      <c r="A161" t="s">
        <v>972</v>
      </c>
      <c r="B161" t="s">
        <v>973</v>
      </c>
      <c r="C161" s="2">
        <v>1523</v>
      </c>
      <c r="D161" s="2"/>
      <c r="E161" s="2">
        <v>1385</v>
      </c>
      <c r="F161" s="2"/>
      <c r="G161" s="2">
        <v>1214</v>
      </c>
      <c r="H161" s="2"/>
      <c r="I161" s="2" t="s">
        <v>43</v>
      </c>
      <c r="J161" s="2"/>
      <c r="K161" s="2" t="s">
        <v>43</v>
      </c>
      <c r="L161" s="2"/>
      <c r="M161" s="2" t="s">
        <v>43</v>
      </c>
      <c r="N161" s="2"/>
      <c r="O161" s="2" t="s">
        <v>43</v>
      </c>
      <c r="P161" s="2"/>
      <c r="Q161" s="2" t="s">
        <v>43</v>
      </c>
      <c r="R161" s="2"/>
      <c r="S161" s="2" t="s">
        <v>43</v>
      </c>
      <c r="T161" s="2"/>
      <c r="U161" s="2" t="s">
        <v>43</v>
      </c>
      <c r="V161" s="2"/>
      <c r="W161" s="2" t="s">
        <v>43</v>
      </c>
      <c r="X161" s="2"/>
      <c r="Y161" s="2" t="s">
        <v>43</v>
      </c>
      <c r="Z161" s="2"/>
      <c r="AA161" s="2" t="s">
        <v>43</v>
      </c>
      <c r="AB161" s="2"/>
      <c r="AC161" s="2" t="str">
        <f>""</f>
        <v/>
      </c>
      <c r="AD161" s="2" t="str">
        <f>""</f>
        <v/>
      </c>
      <c r="AE161" s="2" t="str">
        <f>""</f>
        <v/>
      </c>
      <c r="AF161" s="2" t="str">
        <f>""</f>
        <v/>
      </c>
      <c r="AG161" s="2" t="str">
        <f>""</f>
        <v/>
      </c>
      <c r="AH161" s="2" t="str">
        <f>""</f>
        <v/>
      </c>
    </row>
    <row r="162" spans="1:34">
      <c r="A162" t="s">
        <v>974</v>
      </c>
      <c r="B162" t="s">
        <v>975</v>
      </c>
      <c r="C162" s="2">
        <v>8103</v>
      </c>
      <c r="D162" s="2"/>
      <c r="E162" s="2">
        <v>7501</v>
      </c>
      <c r="F162" s="2"/>
      <c r="G162" s="2">
        <v>7026</v>
      </c>
      <c r="H162" s="2"/>
      <c r="I162" s="2" t="s">
        <v>43</v>
      </c>
      <c r="J162" s="2"/>
      <c r="K162" s="2" t="s">
        <v>43</v>
      </c>
      <c r="L162" s="2"/>
      <c r="M162" s="2" t="s">
        <v>43</v>
      </c>
      <c r="N162" s="2"/>
      <c r="O162" s="2" t="s">
        <v>43</v>
      </c>
      <c r="P162" s="2"/>
      <c r="Q162" s="2" t="s">
        <v>43</v>
      </c>
      <c r="R162" s="2"/>
      <c r="S162" s="2" t="s">
        <v>43</v>
      </c>
      <c r="T162" s="2"/>
      <c r="U162" s="2" t="s">
        <v>43</v>
      </c>
      <c r="V162" s="2"/>
      <c r="W162" s="2" t="s">
        <v>43</v>
      </c>
      <c r="X162" s="2"/>
      <c r="Y162" s="2" t="s">
        <v>43</v>
      </c>
      <c r="Z162" s="2"/>
      <c r="AA162" s="2" t="s">
        <v>43</v>
      </c>
      <c r="AB162" s="2"/>
      <c r="AC162" s="2" t="str">
        <f>""</f>
        <v/>
      </c>
      <c r="AD162" s="2" t="str">
        <f>""</f>
        <v/>
      </c>
      <c r="AE162" s="2" t="str">
        <f>""</f>
        <v/>
      </c>
      <c r="AF162" s="2" t="str">
        <f>""</f>
        <v/>
      </c>
      <c r="AG162" s="2" t="str">
        <f>""</f>
        <v/>
      </c>
      <c r="AH162" s="2" t="str">
        <f>""</f>
        <v/>
      </c>
    </row>
    <row r="163" spans="1:34">
      <c r="A163" t="s">
        <v>976</v>
      </c>
      <c r="B163" t="s">
        <v>977</v>
      </c>
      <c r="C163" s="2">
        <v>1516</v>
      </c>
      <c r="D163" s="2"/>
      <c r="E163" s="2">
        <v>1316</v>
      </c>
      <c r="F163" s="2"/>
      <c r="G163" s="2">
        <v>1415</v>
      </c>
      <c r="H163" s="2"/>
      <c r="I163" s="2" t="s">
        <v>43</v>
      </c>
      <c r="J163" s="2"/>
      <c r="K163" s="2" t="s">
        <v>43</v>
      </c>
      <c r="L163" s="2"/>
      <c r="M163" s="2" t="s">
        <v>43</v>
      </c>
      <c r="N163" s="2"/>
      <c r="O163" s="2" t="s">
        <v>43</v>
      </c>
      <c r="P163" s="2"/>
      <c r="Q163" s="2" t="s">
        <v>43</v>
      </c>
      <c r="R163" s="2"/>
      <c r="S163" s="2" t="s">
        <v>43</v>
      </c>
      <c r="T163" s="2"/>
      <c r="U163" s="2" t="s">
        <v>43</v>
      </c>
      <c r="V163" s="2"/>
      <c r="W163" s="2" t="s">
        <v>43</v>
      </c>
      <c r="X163" s="2"/>
      <c r="Y163" s="2" t="s">
        <v>43</v>
      </c>
      <c r="Z163" s="2"/>
      <c r="AA163" s="2" t="s">
        <v>43</v>
      </c>
      <c r="AB163" s="2"/>
      <c r="AC163" s="2" t="str">
        <f>""</f>
        <v/>
      </c>
      <c r="AD163" s="2" t="str">
        <f>""</f>
        <v/>
      </c>
      <c r="AE163" s="2" t="str">
        <f>""</f>
        <v/>
      </c>
      <c r="AF163" s="2" t="str">
        <f>""</f>
        <v/>
      </c>
      <c r="AG163" s="2" t="str">
        <f>""</f>
        <v/>
      </c>
      <c r="AH163" s="2" t="str">
        <f>""</f>
        <v/>
      </c>
    </row>
    <row r="164" spans="1:34">
      <c r="A164" t="s">
        <v>978</v>
      </c>
      <c r="B164" t="s">
        <v>979</v>
      </c>
      <c r="C164" s="2">
        <v>15791</v>
      </c>
      <c r="D164" s="2"/>
      <c r="E164" s="2">
        <v>17305</v>
      </c>
      <c r="F164" s="2"/>
      <c r="G164" s="2">
        <v>16793</v>
      </c>
      <c r="H164" s="2"/>
      <c r="I164" s="2" t="s">
        <v>43</v>
      </c>
      <c r="J164" s="2"/>
      <c r="K164" s="2" t="s">
        <v>43</v>
      </c>
      <c r="L164" s="2"/>
      <c r="M164" s="2" t="s">
        <v>43</v>
      </c>
      <c r="N164" s="2"/>
      <c r="O164" s="2" t="s">
        <v>43</v>
      </c>
      <c r="P164" s="2"/>
      <c r="Q164" s="2" t="s">
        <v>43</v>
      </c>
      <c r="R164" s="2"/>
      <c r="S164" s="2" t="s">
        <v>43</v>
      </c>
      <c r="T164" s="2"/>
      <c r="U164" s="2" t="s">
        <v>43</v>
      </c>
      <c r="V164" s="2"/>
      <c r="W164" s="2" t="s">
        <v>43</v>
      </c>
      <c r="X164" s="2"/>
      <c r="Y164" s="2" t="s">
        <v>43</v>
      </c>
      <c r="Z164" s="2"/>
      <c r="AA164" s="2" t="s">
        <v>43</v>
      </c>
      <c r="AB164" s="2"/>
      <c r="AC164" s="2" t="str">
        <f>""</f>
        <v/>
      </c>
      <c r="AD164" s="2" t="str">
        <f>""</f>
        <v/>
      </c>
      <c r="AE164" s="2" t="str">
        <f>""</f>
        <v/>
      </c>
      <c r="AF164" s="2" t="str">
        <f>""</f>
        <v/>
      </c>
      <c r="AG164" s="2" t="str">
        <f>""</f>
        <v/>
      </c>
      <c r="AH164" s="2" t="str">
        <f>""</f>
        <v/>
      </c>
    </row>
    <row r="165" spans="1:34">
      <c r="A165" t="s">
        <v>980</v>
      </c>
      <c r="B165" t="s">
        <v>981</v>
      </c>
      <c r="C165" s="2">
        <v>15581</v>
      </c>
      <c r="D165" s="2"/>
      <c r="E165" s="2">
        <v>16330</v>
      </c>
      <c r="F165" s="2"/>
      <c r="G165" s="2">
        <v>16892</v>
      </c>
      <c r="H165" s="2"/>
      <c r="I165" s="2" t="s">
        <v>43</v>
      </c>
      <c r="J165" s="2"/>
      <c r="K165" s="2" t="s">
        <v>43</v>
      </c>
      <c r="L165" s="2"/>
      <c r="M165" s="2" t="s">
        <v>43</v>
      </c>
      <c r="N165" s="2"/>
      <c r="O165" s="2" t="s">
        <v>43</v>
      </c>
      <c r="P165" s="2"/>
      <c r="Q165" s="2" t="s">
        <v>43</v>
      </c>
      <c r="R165" s="2"/>
      <c r="S165" s="2" t="s">
        <v>43</v>
      </c>
      <c r="T165" s="2"/>
      <c r="U165" s="2" t="s">
        <v>43</v>
      </c>
      <c r="V165" s="2"/>
      <c r="W165" s="2" t="s">
        <v>43</v>
      </c>
      <c r="X165" s="2"/>
      <c r="Y165" s="2" t="s">
        <v>43</v>
      </c>
      <c r="Z165" s="2"/>
      <c r="AA165" s="2" t="s">
        <v>43</v>
      </c>
      <c r="AB165" s="2"/>
      <c r="AC165" s="2" t="str">
        <f>""</f>
        <v/>
      </c>
      <c r="AD165" s="2" t="str">
        <f>""</f>
        <v/>
      </c>
      <c r="AE165" s="2" t="str">
        <f>""</f>
        <v/>
      </c>
      <c r="AF165" s="2" t="str">
        <f>""</f>
        <v/>
      </c>
      <c r="AG165" s="2" t="str">
        <f>""</f>
        <v/>
      </c>
      <c r="AH165" s="2" t="str">
        <f>""</f>
        <v/>
      </c>
    </row>
    <row r="166" spans="1:34">
      <c r="A166" t="s">
        <v>982</v>
      </c>
      <c r="B166" t="s">
        <v>983</v>
      </c>
      <c r="C166" s="2">
        <v>6126</v>
      </c>
      <c r="D166" s="2"/>
      <c r="E166" s="2">
        <v>5951</v>
      </c>
      <c r="F166" s="2"/>
      <c r="G166" s="2">
        <v>6672</v>
      </c>
      <c r="H166" s="2"/>
      <c r="I166" s="2" t="s">
        <v>43</v>
      </c>
      <c r="J166" s="2"/>
      <c r="K166" s="2" t="s">
        <v>43</v>
      </c>
      <c r="L166" s="2"/>
      <c r="M166" s="2" t="s">
        <v>43</v>
      </c>
      <c r="N166" s="2"/>
      <c r="O166" s="2" t="s">
        <v>43</v>
      </c>
      <c r="P166" s="2"/>
      <c r="Q166" s="2" t="s">
        <v>43</v>
      </c>
      <c r="R166" s="2"/>
      <c r="S166" s="2" t="s">
        <v>43</v>
      </c>
      <c r="T166" s="2"/>
      <c r="U166" s="2" t="s">
        <v>43</v>
      </c>
      <c r="V166" s="2"/>
      <c r="W166" s="2" t="s">
        <v>43</v>
      </c>
      <c r="X166" s="2"/>
      <c r="Y166" s="2" t="s">
        <v>43</v>
      </c>
      <c r="Z166" s="2"/>
      <c r="AA166" s="2" t="s">
        <v>43</v>
      </c>
      <c r="AB166" s="2"/>
      <c r="AC166" s="2" t="str">
        <f>""</f>
        <v/>
      </c>
      <c r="AD166" s="2" t="str">
        <f>""</f>
        <v/>
      </c>
      <c r="AE166" s="2" t="str">
        <f>""</f>
        <v/>
      </c>
      <c r="AF166" s="2" t="str">
        <f>""</f>
        <v/>
      </c>
      <c r="AG166" s="2" t="str">
        <f>""</f>
        <v/>
      </c>
      <c r="AH166" s="2" t="str">
        <f>""</f>
        <v/>
      </c>
    </row>
    <row r="167" spans="1:34">
      <c r="A167" t="s">
        <v>984</v>
      </c>
      <c r="B167" t="s">
        <v>985</v>
      </c>
      <c r="C167" s="2">
        <v>1047</v>
      </c>
      <c r="D167" s="2"/>
      <c r="E167" s="2">
        <v>1283</v>
      </c>
      <c r="F167" s="2"/>
      <c r="G167" s="2">
        <v>1219</v>
      </c>
      <c r="H167" s="2"/>
      <c r="I167" s="2" t="s">
        <v>43</v>
      </c>
      <c r="J167" s="2"/>
      <c r="K167" s="2" t="s">
        <v>43</v>
      </c>
      <c r="L167" s="2"/>
      <c r="M167" s="2" t="s">
        <v>43</v>
      </c>
      <c r="N167" s="2"/>
      <c r="O167" s="2" t="s">
        <v>43</v>
      </c>
      <c r="P167" s="2"/>
      <c r="Q167" s="2" t="s">
        <v>43</v>
      </c>
      <c r="R167" s="2"/>
      <c r="S167" s="2" t="s">
        <v>43</v>
      </c>
      <c r="T167" s="2"/>
      <c r="U167" s="2" t="s">
        <v>43</v>
      </c>
      <c r="V167" s="2"/>
      <c r="W167" s="2" t="s">
        <v>43</v>
      </c>
      <c r="X167" s="2"/>
      <c r="Y167" s="2" t="s">
        <v>43</v>
      </c>
      <c r="Z167" s="2"/>
      <c r="AA167" s="2" t="s">
        <v>43</v>
      </c>
      <c r="AB167" s="2"/>
      <c r="AC167" s="2" t="str">
        <f>""</f>
        <v/>
      </c>
      <c r="AD167" s="2" t="str">
        <f>""</f>
        <v/>
      </c>
      <c r="AE167" s="2" t="str">
        <f>""</f>
        <v/>
      </c>
      <c r="AF167" s="2" t="str">
        <f>""</f>
        <v/>
      </c>
      <c r="AG167" s="2" t="str">
        <f>""</f>
        <v/>
      </c>
      <c r="AH167" s="2" t="str">
        <f>""</f>
        <v/>
      </c>
    </row>
    <row r="168" spans="1:34">
      <c r="A168" t="s">
        <v>986</v>
      </c>
      <c r="B168" t="s">
        <v>987</v>
      </c>
      <c r="C168" s="2">
        <v>1359</v>
      </c>
      <c r="D168" s="2"/>
      <c r="E168" s="2">
        <v>1441</v>
      </c>
      <c r="F168" s="2"/>
      <c r="G168" s="2">
        <v>1259</v>
      </c>
      <c r="H168" s="2"/>
      <c r="I168" s="2" t="s">
        <v>43</v>
      </c>
      <c r="J168" s="2"/>
      <c r="K168" s="2" t="s">
        <v>43</v>
      </c>
      <c r="L168" s="2"/>
      <c r="M168" s="2" t="s">
        <v>43</v>
      </c>
      <c r="N168" s="2"/>
      <c r="O168" s="2" t="s">
        <v>43</v>
      </c>
      <c r="P168" s="2"/>
      <c r="Q168" s="2" t="s">
        <v>43</v>
      </c>
      <c r="R168" s="2"/>
      <c r="S168" s="2" t="s">
        <v>43</v>
      </c>
      <c r="T168" s="2"/>
      <c r="U168" s="2" t="s">
        <v>43</v>
      </c>
      <c r="V168" s="2"/>
      <c r="W168" s="2" t="s">
        <v>43</v>
      </c>
      <c r="X168" s="2"/>
      <c r="Y168" s="2" t="s">
        <v>43</v>
      </c>
      <c r="Z168" s="2"/>
      <c r="AA168" s="2" t="s">
        <v>43</v>
      </c>
      <c r="AB168" s="2"/>
      <c r="AC168" s="2" t="str">
        <f>""</f>
        <v/>
      </c>
      <c r="AD168" s="2" t="str">
        <f>""</f>
        <v/>
      </c>
      <c r="AE168" s="2" t="str">
        <f>""</f>
        <v/>
      </c>
      <c r="AF168" s="2" t="str">
        <f>""</f>
        <v/>
      </c>
      <c r="AG168" s="2" t="str">
        <f>""</f>
        <v/>
      </c>
      <c r="AH168" s="2" t="str">
        <f>""</f>
        <v/>
      </c>
    </row>
    <row r="169" spans="1:34">
      <c r="A169" t="s">
        <v>988</v>
      </c>
      <c r="B169" t="s">
        <v>989</v>
      </c>
      <c r="C169" s="2">
        <v>7049</v>
      </c>
      <c r="D169" s="2"/>
      <c r="E169" s="2">
        <v>7655</v>
      </c>
      <c r="F169" s="2"/>
      <c r="G169" s="2">
        <v>7742</v>
      </c>
      <c r="H169" s="2"/>
      <c r="I169" s="2" t="s">
        <v>43</v>
      </c>
      <c r="J169" s="2"/>
      <c r="K169" s="2" t="s">
        <v>43</v>
      </c>
      <c r="L169" s="2"/>
      <c r="M169" s="2" t="s">
        <v>43</v>
      </c>
      <c r="N169" s="2"/>
      <c r="O169" s="2" t="s">
        <v>43</v>
      </c>
      <c r="P169" s="2"/>
      <c r="Q169" s="2" t="s">
        <v>43</v>
      </c>
      <c r="R169" s="2"/>
      <c r="S169" s="2" t="s">
        <v>43</v>
      </c>
      <c r="T169" s="2"/>
      <c r="U169" s="2" t="s">
        <v>43</v>
      </c>
      <c r="V169" s="2"/>
      <c r="W169" s="2" t="s">
        <v>43</v>
      </c>
      <c r="X169" s="2"/>
      <c r="Y169" s="2" t="s">
        <v>43</v>
      </c>
      <c r="Z169" s="2"/>
      <c r="AA169" s="2" t="s">
        <v>43</v>
      </c>
      <c r="AB169" s="2"/>
      <c r="AC169" s="2" t="str">
        <f>""</f>
        <v/>
      </c>
      <c r="AD169" s="2" t="str">
        <f>""</f>
        <v/>
      </c>
      <c r="AE169" s="2" t="str">
        <f>""</f>
        <v/>
      </c>
      <c r="AF169" s="2" t="str">
        <f>""</f>
        <v/>
      </c>
      <c r="AG169" s="2" t="str">
        <f>""</f>
        <v/>
      </c>
      <c r="AH169" s="2" t="str">
        <f>""</f>
        <v/>
      </c>
    </row>
    <row r="170" spans="1:34">
      <c r="A170" t="s">
        <v>438</v>
      </c>
      <c r="B170" t="s">
        <v>439</v>
      </c>
      <c r="C170" s="2">
        <v>37316</v>
      </c>
      <c r="D170" s="2"/>
      <c r="E170" s="2">
        <v>41415</v>
      </c>
      <c r="F170" s="2"/>
      <c r="G170" s="2">
        <v>39729</v>
      </c>
      <c r="H170" s="2"/>
      <c r="I170" s="2">
        <v>42818</v>
      </c>
      <c r="J170" s="2"/>
      <c r="K170" s="2">
        <v>40359</v>
      </c>
      <c r="L170" s="2"/>
      <c r="M170" s="2">
        <v>39579</v>
      </c>
      <c r="N170" s="2"/>
      <c r="O170" s="2">
        <v>38514</v>
      </c>
      <c r="P170" s="2"/>
      <c r="Q170" s="2">
        <v>41484</v>
      </c>
      <c r="R170" s="2"/>
      <c r="S170" s="2">
        <v>42473</v>
      </c>
      <c r="T170" s="2"/>
      <c r="U170" s="2">
        <v>42333</v>
      </c>
      <c r="V170" s="2"/>
      <c r="W170" s="2">
        <v>43591</v>
      </c>
      <c r="X170" s="2"/>
      <c r="Y170" s="2">
        <v>43856</v>
      </c>
      <c r="Z170" s="2"/>
      <c r="AA170" s="2">
        <v>42311</v>
      </c>
      <c r="AB170" s="2"/>
      <c r="AC170" s="2">
        <f>Post2020_Derivation!G216</f>
        <v>42728</v>
      </c>
      <c r="AD170" s="2" t="e">
        <f ca="1">IF(Post2020_Derivation!H216="","",Post2020_Derivation!H216)</f>
        <v>#NAME?</v>
      </c>
      <c r="AE170" s="2">
        <f>Post2020_Derivation!M216</f>
        <v>41516</v>
      </c>
      <c r="AF170" s="2" t="e">
        <f ca="1">IF(Post2020_Derivation!N216="","",Post2020_Derivation!N216)</f>
        <v>#NAME?</v>
      </c>
      <c r="AG170" s="2">
        <f>Post2020_Derivation!S216</f>
        <v>40660</v>
      </c>
      <c r="AH170" s="2" t="e">
        <f ca="1">IF(Post2020_Derivation!T216="","",Post2020_Derivation!T216)</f>
        <v>#NAME?</v>
      </c>
    </row>
    <row r="171" spans="1:34">
      <c r="A171" t="s">
        <v>440</v>
      </c>
      <c r="B171" t="s">
        <v>441</v>
      </c>
      <c r="C171" s="2">
        <v>12069</v>
      </c>
      <c r="D171" s="2"/>
      <c r="E171" s="2">
        <v>11765</v>
      </c>
      <c r="F171" s="2"/>
      <c r="G171" s="2">
        <v>11410</v>
      </c>
      <c r="H171" s="2"/>
      <c r="I171" s="2">
        <v>11497</v>
      </c>
      <c r="J171" s="2"/>
      <c r="K171" s="2">
        <v>11666</v>
      </c>
      <c r="L171" s="2"/>
      <c r="M171" s="2">
        <v>10634</v>
      </c>
      <c r="N171" s="2"/>
      <c r="O171" s="2">
        <v>11199</v>
      </c>
      <c r="P171" s="2"/>
      <c r="Q171" s="2">
        <v>10846</v>
      </c>
      <c r="R171" s="2"/>
      <c r="S171" s="2">
        <v>11288</v>
      </c>
      <c r="T171" s="2"/>
      <c r="U171" s="2">
        <v>11564</v>
      </c>
      <c r="V171" s="2"/>
      <c r="W171" s="2">
        <v>12039</v>
      </c>
      <c r="X171" s="2"/>
      <c r="Y171" s="2">
        <v>12169</v>
      </c>
      <c r="Z171" s="2"/>
      <c r="AA171" s="2">
        <v>11226</v>
      </c>
      <c r="AB171" s="2"/>
      <c r="AC171" s="2">
        <f>Post2020_Derivation!G217</f>
        <v>11413</v>
      </c>
      <c r="AD171" s="2" t="e">
        <f ca="1">IF(Post2020_Derivation!H217="","",Post2020_Derivation!H217)</f>
        <v>#NAME?</v>
      </c>
      <c r="AE171" s="2">
        <f>Post2020_Derivation!M217</f>
        <v>11449</v>
      </c>
      <c r="AF171" s="2" t="e">
        <f ca="1">IF(Post2020_Derivation!N217="","",Post2020_Derivation!N217)</f>
        <v>#NAME?</v>
      </c>
      <c r="AG171" s="2">
        <f>Post2020_Derivation!S217</f>
        <v>11556</v>
      </c>
      <c r="AH171" s="2" t="e">
        <f ca="1">IF(Post2020_Derivation!T217="","",Post2020_Derivation!T217)</f>
        <v>#NAME?</v>
      </c>
    </row>
    <row r="172" spans="1:34">
      <c r="A172" t="s">
        <v>442</v>
      </c>
      <c r="B172" t="s">
        <v>443</v>
      </c>
      <c r="C172" s="2">
        <v>808</v>
      </c>
      <c r="D172" s="2"/>
      <c r="E172" s="2">
        <v>3305</v>
      </c>
      <c r="F172" s="2"/>
      <c r="G172" s="2">
        <v>3272</v>
      </c>
      <c r="H172" s="2"/>
      <c r="I172" s="2">
        <v>3090</v>
      </c>
      <c r="J172" s="2"/>
      <c r="K172" s="2">
        <v>3192</v>
      </c>
      <c r="L172" s="2"/>
      <c r="M172" s="2">
        <v>2777</v>
      </c>
      <c r="N172" s="2"/>
      <c r="O172" s="2">
        <v>2769</v>
      </c>
      <c r="P172" s="2"/>
      <c r="Q172" s="2">
        <v>2799</v>
      </c>
      <c r="R172" s="2"/>
      <c r="S172" s="2">
        <v>3155</v>
      </c>
      <c r="T172" s="2"/>
      <c r="U172" s="2">
        <v>3098</v>
      </c>
      <c r="V172" s="2"/>
      <c r="W172" s="2">
        <v>3409</v>
      </c>
      <c r="X172" s="2"/>
      <c r="Y172" s="2">
        <v>3264</v>
      </c>
      <c r="Z172" s="2"/>
      <c r="AA172" s="2">
        <v>3101</v>
      </c>
      <c r="AB172" s="2"/>
      <c r="AC172" s="2">
        <f>Post2020_Derivation!G218</f>
        <v>3060</v>
      </c>
      <c r="AD172" s="2" t="e">
        <f ca="1">IF(Post2020_Derivation!H218="","",Post2020_Derivation!H218)</f>
        <v>#NAME?</v>
      </c>
      <c r="AE172" s="2">
        <f>Post2020_Derivation!M218</f>
        <v>2871</v>
      </c>
      <c r="AF172" s="2" t="e">
        <f ca="1">IF(Post2020_Derivation!N218="","",Post2020_Derivation!N218)</f>
        <v>#NAME?</v>
      </c>
      <c r="AG172" s="2">
        <f>Post2020_Derivation!S218</f>
        <v>2827</v>
      </c>
      <c r="AH172" s="2" t="e">
        <f ca="1">IF(Post2020_Derivation!T218="","",Post2020_Derivation!T218)</f>
        <v>#NAME?</v>
      </c>
    </row>
    <row r="173" spans="1:34">
      <c r="A173" t="s">
        <v>444</v>
      </c>
      <c r="B173" t="s">
        <v>445</v>
      </c>
      <c r="C173" s="2">
        <v>12311</v>
      </c>
      <c r="D173" s="2"/>
      <c r="E173" s="2">
        <v>13321</v>
      </c>
      <c r="F173" s="2"/>
      <c r="G173" s="2">
        <v>11850</v>
      </c>
      <c r="H173" s="2"/>
      <c r="I173" s="2">
        <v>13446</v>
      </c>
      <c r="J173" s="2"/>
      <c r="K173" s="2">
        <v>11223</v>
      </c>
      <c r="L173" s="2"/>
      <c r="M173" s="2">
        <v>12351</v>
      </c>
      <c r="N173" s="2"/>
      <c r="O173" s="2">
        <v>12779</v>
      </c>
      <c r="P173" s="2"/>
      <c r="Q173" s="2">
        <v>13080</v>
      </c>
      <c r="R173" s="2"/>
      <c r="S173" s="2">
        <v>11498</v>
      </c>
      <c r="T173" s="2"/>
      <c r="U173" s="2">
        <v>11610</v>
      </c>
      <c r="V173" s="2"/>
      <c r="W173" s="2">
        <v>12223</v>
      </c>
      <c r="X173" s="2"/>
      <c r="Y173" s="2">
        <v>11929</v>
      </c>
      <c r="Z173" s="2"/>
      <c r="AA173" s="2">
        <v>11814</v>
      </c>
      <c r="AB173" s="2"/>
      <c r="AC173" s="2">
        <f>Post2020_Derivation!G219</f>
        <v>12283</v>
      </c>
      <c r="AD173" s="2" t="e">
        <f ca="1">IF(Post2020_Derivation!H219="","",Post2020_Derivation!H219)</f>
        <v>#NAME?</v>
      </c>
      <c r="AE173" s="2">
        <f>Post2020_Derivation!M219</f>
        <v>12024</v>
      </c>
      <c r="AF173" s="2" t="e">
        <f ca="1">IF(Post2020_Derivation!N219="","",Post2020_Derivation!N219)</f>
        <v>#NAME?</v>
      </c>
      <c r="AG173" s="2">
        <f>Post2020_Derivation!S219</f>
        <v>11550</v>
      </c>
      <c r="AH173" s="2" t="e">
        <f ca="1">IF(Post2020_Derivation!T219="","",Post2020_Derivation!T219)</f>
        <v>#NAME?</v>
      </c>
    </row>
    <row r="174" spans="1:34">
      <c r="A174" t="s">
        <v>446</v>
      </c>
      <c r="B174" t="s">
        <v>447</v>
      </c>
      <c r="C174" s="2">
        <v>4007</v>
      </c>
      <c r="D174" s="2"/>
      <c r="E174" s="2">
        <v>5148</v>
      </c>
      <c r="F174" s="2"/>
      <c r="G174" s="2">
        <v>5110</v>
      </c>
      <c r="H174" s="2"/>
      <c r="I174" s="2">
        <v>6812</v>
      </c>
      <c r="J174" s="2"/>
      <c r="K174" s="2">
        <v>6666</v>
      </c>
      <c r="L174" s="2"/>
      <c r="M174" s="2">
        <v>6507</v>
      </c>
      <c r="N174" s="2"/>
      <c r="O174" s="2">
        <v>6088</v>
      </c>
      <c r="P174" s="2"/>
      <c r="Q174" s="2">
        <v>6695</v>
      </c>
      <c r="R174" s="2"/>
      <c r="S174" s="2">
        <v>6966</v>
      </c>
      <c r="T174" s="2"/>
      <c r="U174" s="2">
        <v>6423</v>
      </c>
      <c r="V174" s="2"/>
      <c r="W174" s="2">
        <v>6374</v>
      </c>
      <c r="X174" s="2"/>
      <c r="Y174" s="2">
        <v>6448</v>
      </c>
      <c r="Z174" s="2"/>
      <c r="AA174" s="2">
        <v>6498</v>
      </c>
      <c r="AB174" s="2"/>
      <c r="AC174" s="2">
        <f>Post2020_Derivation!G220</f>
        <v>6552</v>
      </c>
      <c r="AD174" s="2" t="e">
        <f ca="1">IF(Post2020_Derivation!H220="","",Post2020_Derivation!H220)</f>
        <v>#NAME?</v>
      </c>
      <c r="AE174" s="2">
        <f>Post2020_Derivation!M220</f>
        <v>6450</v>
      </c>
      <c r="AF174" s="2" t="e">
        <f ca="1">IF(Post2020_Derivation!N220="","",Post2020_Derivation!N220)</f>
        <v>#NAME?</v>
      </c>
      <c r="AG174" s="2">
        <f>Post2020_Derivation!S220</f>
        <v>6460</v>
      </c>
      <c r="AH174" s="2" t="e">
        <f ca="1">IF(Post2020_Derivation!T220="","",Post2020_Derivation!T220)</f>
        <v>#NAME?</v>
      </c>
    </row>
    <row r="175" spans="1:34">
      <c r="A175" t="s">
        <v>448</v>
      </c>
      <c r="B175" t="s">
        <v>449</v>
      </c>
      <c r="C175" s="2">
        <v>8004</v>
      </c>
      <c r="D175" s="2"/>
      <c r="E175" s="2">
        <v>7698</v>
      </c>
      <c r="F175" s="2"/>
      <c r="G175" s="2">
        <v>7924</v>
      </c>
      <c r="H175" s="2"/>
      <c r="I175" s="2">
        <v>7871</v>
      </c>
      <c r="J175" s="2"/>
      <c r="K175" s="2">
        <v>7537</v>
      </c>
      <c r="L175" s="2"/>
      <c r="M175" s="2">
        <v>7238</v>
      </c>
      <c r="N175" s="2"/>
      <c r="O175" s="2">
        <v>5604</v>
      </c>
      <c r="P175" s="2"/>
      <c r="Q175" s="2">
        <v>7993</v>
      </c>
      <c r="R175" s="2"/>
      <c r="S175" s="2">
        <v>9480</v>
      </c>
      <c r="T175" s="2"/>
      <c r="U175" s="2">
        <v>9550</v>
      </c>
      <c r="V175" s="2"/>
      <c r="W175" s="2">
        <v>9452</v>
      </c>
      <c r="X175" s="2"/>
      <c r="Y175" s="2">
        <v>9943</v>
      </c>
      <c r="Z175" s="2"/>
      <c r="AA175" s="2">
        <v>9563</v>
      </c>
      <c r="AB175" s="2"/>
      <c r="AC175" s="2">
        <f>Post2020_Derivation!G221</f>
        <v>9472</v>
      </c>
      <c r="AD175" s="2" t="e">
        <f ca="1">IF(Post2020_Derivation!H221="","",Post2020_Derivation!H221)</f>
        <v>#NAME?</v>
      </c>
      <c r="AE175" s="2">
        <f>Post2020_Derivation!M221</f>
        <v>8556</v>
      </c>
      <c r="AF175" s="2" t="e">
        <f ca="1">IF(Post2020_Derivation!N221="","",Post2020_Derivation!N221)</f>
        <v>#NAME?</v>
      </c>
      <c r="AG175" s="2">
        <f>Post2020_Derivation!S221</f>
        <v>7920</v>
      </c>
      <c r="AH175" s="2" t="e">
        <f ca="1">IF(Post2020_Derivation!T221="","",Post2020_Derivation!T221)</f>
        <v>#NAME?</v>
      </c>
    </row>
    <row r="176" spans="1:34">
      <c r="A176" t="s">
        <v>450</v>
      </c>
      <c r="B176" t="s">
        <v>451</v>
      </c>
      <c r="C176" s="2">
        <v>117</v>
      </c>
      <c r="D176" s="2"/>
      <c r="E176" s="2">
        <v>178</v>
      </c>
      <c r="F176" s="2"/>
      <c r="G176" s="2">
        <v>163</v>
      </c>
      <c r="H176" s="2"/>
      <c r="I176" s="2">
        <v>102</v>
      </c>
      <c r="J176" s="2"/>
      <c r="K176" s="2">
        <v>75</v>
      </c>
      <c r="L176" s="2"/>
      <c r="M176" s="2">
        <v>72</v>
      </c>
      <c r="N176" s="2"/>
      <c r="O176" s="2">
        <v>75</v>
      </c>
      <c r="P176" s="2"/>
      <c r="Q176" s="2">
        <v>71</v>
      </c>
      <c r="R176" s="2"/>
      <c r="S176" s="2">
        <v>86</v>
      </c>
      <c r="T176" s="2"/>
      <c r="U176" s="2">
        <v>88</v>
      </c>
      <c r="V176" s="2"/>
      <c r="W176" s="2">
        <v>94</v>
      </c>
      <c r="X176" s="2"/>
      <c r="Y176" s="2">
        <v>103</v>
      </c>
      <c r="Z176" s="2"/>
      <c r="AA176" s="2">
        <v>109</v>
      </c>
      <c r="AB176" s="2"/>
      <c r="AC176" s="2">
        <f>Post2020_Derivation!G222</f>
        <v>96</v>
      </c>
      <c r="AD176" s="2" t="e">
        <f ca="1">IF(Post2020_Derivation!H222="","",Post2020_Derivation!H222)</f>
        <v>#NAME?</v>
      </c>
      <c r="AE176" s="2">
        <f>Post2020_Derivation!M222</f>
        <v>104</v>
      </c>
      <c r="AF176" s="2" t="e">
        <f ca="1">IF(Post2020_Derivation!N222="","",Post2020_Derivation!N222)</f>
        <v>#NAME?</v>
      </c>
      <c r="AG176" s="2">
        <f>Post2020_Derivation!S222</f>
        <v>104</v>
      </c>
      <c r="AH176" s="2" t="e">
        <f ca="1">IF(Post2020_Derivation!T222="","",Post2020_Derivation!T222)</f>
        <v>#NAME?</v>
      </c>
    </row>
    <row r="177" spans="1:34">
      <c r="A177" t="s">
        <v>452</v>
      </c>
      <c r="B177" t="s">
        <v>453</v>
      </c>
      <c r="C177" s="2">
        <v>2600</v>
      </c>
      <c r="D177" s="2"/>
      <c r="E177" s="2">
        <v>2485</v>
      </c>
      <c r="F177" s="2"/>
      <c r="G177" s="2">
        <v>2554</v>
      </c>
      <c r="H177" s="2"/>
      <c r="I177" s="2">
        <v>2357</v>
      </c>
      <c r="J177" s="2"/>
      <c r="K177" s="2">
        <v>2139</v>
      </c>
      <c r="L177" s="2"/>
      <c r="M177" s="2">
        <v>1733</v>
      </c>
      <c r="N177" s="2"/>
      <c r="O177" s="2">
        <v>1149</v>
      </c>
      <c r="P177" s="2"/>
      <c r="Q177" s="2">
        <v>526</v>
      </c>
      <c r="R177" s="2"/>
      <c r="S177" s="2">
        <v>627</v>
      </c>
      <c r="T177" s="2"/>
      <c r="U177" s="2">
        <v>560</v>
      </c>
      <c r="V177" s="2"/>
      <c r="W177" s="2">
        <v>615</v>
      </c>
      <c r="X177" s="2"/>
      <c r="Y177" s="2">
        <v>581</v>
      </c>
      <c r="Z177" s="2"/>
      <c r="AA177" s="2">
        <v>1287</v>
      </c>
      <c r="AB177" s="2"/>
      <c r="AC177" s="2">
        <f>Post2020_Derivation!G223</f>
        <v>1248</v>
      </c>
      <c r="AD177" s="2" t="e">
        <f ca="1">IF(Post2020_Derivation!H223="","",Post2020_Derivation!H223)</f>
        <v>#NAME?</v>
      </c>
      <c r="AE177" s="2">
        <f>Post2020_Derivation!M223</f>
        <v>1235</v>
      </c>
      <c r="AF177" s="2" t="e">
        <f ca="1">IF(Post2020_Derivation!N223="","",Post2020_Derivation!N223)</f>
        <v>#NAME?</v>
      </c>
      <c r="AG177" s="2">
        <f>Post2020_Derivation!S223</f>
        <v>1300</v>
      </c>
      <c r="AH177" s="2" t="e">
        <f ca="1">IF(Post2020_Derivation!T223="","",Post2020_Derivation!T223)</f>
        <v>#NAME?</v>
      </c>
    </row>
    <row r="178" spans="1:34">
      <c r="A178" t="s">
        <v>454</v>
      </c>
      <c r="B178" t="s">
        <v>455</v>
      </c>
      <c r="C178" s="2">
        <v>2517</v>
      </c>
      <c r="D178" s="2"/>
      <c r="E178" s="2">
        <v>2414</v>
      </c>
      <c r="F178" s="2"/>
      <c r="G178" s="2">
        <v>2470</v>
      </c>
      <c r="H178" s="2"/>
      <c r="I178" s="2">
        <v>2306</v>
      </c>
      <c r="J178" s="2"/>
      <c r="K178" s="2">
        <v>2091</v>
      </c>
      <c r="L178" s="2"/>
      <c r="M178" s="2">
        <v>1668</v>
      </c>
      <c r="N178" s="2"/>
      <c r="O178" s="2">
        <v>1102</v>
      </c>
      <c r="P178" s="2"/>
      <c r="Q178" s="2">
        <v>474</v>
      </c>
      <c r="R178" s="2"/>
      <c r="S178" s="2">
        <v>581</v>
      </c>
      <c r="T178" s="2"/>
      <c r="U178" s="2">
        <v>521</v>
      </c>
      <c r="V178" s="2"/>
      <c r="W178" s="2">
        <v>575</v>
      </c>
      <c r="X178" s="2"/>
      <c r="Y178" s="2">
        <v>538</v>
      </c>
      <c r="Z178" s="2"/>
      <c r="AA178" s="2">
        <v>1237</v>
      </c>
      <c r="AB178" s="2"/>
      <c r="AC178" s="2">
        <f>Post2020_Derivation!G224</f>
        <v>1260</v>
      </c>
      <c r="AD178" s="2" t="e">
        <f ca="1">IF(Post2020_Derivation!H224="","",Post2020_Derivation!H224)</f>
        <v>#NAME?</v>
      </c>
      <c r="AE178" s="2">
        <f>Post2020_Derivation!M224</f>
        <v>1162</v>
      </c>
      <c r="AF178" s="2" t="e">
        <f ca="1">IF(Post2020_Derivation!N224="","",Post2020_Derivation!N224)</f>
        <v>#NAME?</v>
      </c>
      <c r="AG178" s="2">
        <f>Post2020_Derivation!S224</f>
        <v>1218</v>
      </c>
      <c r="AH178" s="2" t="e">
        <f ca="1">IF(Post2020_Derivation!T224="","",Post2020_Derivation!T224)</f>
        <v>#NAME?</v>
      </c>
    </row>
    <row r="179" spans="1:34">
      <c r="A179" t="s">
        <v>456</v>
      </c>
      <c r="B179" t="s">
        <v>457</v>
      </c>
      <c r="C179" s="2">
        <v>83</v>
      </c>
      <c r="D179" s="2"/>
      <c r="E179" s="2">
        <v>71</v>
      </c>
      <c r="F179" s="2"/>
      <c r="G179" s="2">
        <v>84</v>
      </c>
      <c r="H179" s="2"/>
      <c r="I179" s="2">
        <v>51</v>
      </c>
      <c r="J179" s="2"/>
      <c r="K179" s="2">
        <v>48</v>
      </c>
      <c r="L179" s="2"/>
      <c r="M179" s="2">
        <v>65</v>
      </c>
      <c r="N179" s="2"/>
      <c r="O179" s="2">
        <v>47</v>
      </c>
      <c r="P179" s="2"/>
      <c r="Q179" s="2">
        <v>52</v>
      </c>
      <c r="R179" s="2"/>
      <c r="S179" s="2">
        <v>46</v>
      </c>
      <c r="T179" s="2"/>
      <c r="U179" s="2">
        <v>39</v>
      </c>
      <c r="V179" s="2"/>
      <c r="W179" s="2">
        <v>40</v>
      </c>
      <c r="X179" s="2"/>
      <c r="Y179" s="2">
        <v>43</v>
      </c>
      <c r="Z179" s="2"/>
      <c r="AA179" s="2">
        <v>50</v>
      </c>
      <c r="AB179" s="2"/>
      <c r="AC179" s="2">
        <f>Post2020_Derivation!G225</f>
        <v>60</v>
      </c>
      <c r="AD179" s="2" t="e">
        <f ca="1">IF(Post2020_Derivation!H225="","",Post2020_Derivation!H225)</f>
        <v>#NAME?</v>
      </c>
      <c r="AE179" s="2">
        <f>Post2020_Derivation!M225</f>
        <v>48</v>
      </c>
      <c r="AF179" s="2" t="e">
        <f ca="1">IF(Post2020_Derivation!N225="","",Post2020_Derivation!N225)</f>
        <v>#NAME?</v>
      </c>
      <c r="AG179" s="2">
        <f>Post2020_Derivation!S225</f>
        <v>65</v>
      </c>
      <c r="AH179" s="2" t="e">
        <f ca="1">IF(Post2020_Derivation!T225="","",Post2020_Derivation!T225)</f>
        <v>#NAME?</v>
      </c>
    </row>
    <row r="180" spans="1:34">
      <c r="A180" t="s">
        <v>458</v>
      </c>
      <c r="B180" t="s">
        <v>459</v>
      </c>
      <c r="C180" s="2" t="s">
        <v>43</v>
      </c>
      <c r="D180" s="2"/>
      <c r="E180" s="2" t="s">
        <v>43</v>
      </c>
      <c r="F180" s="2"/>
      <c r="G180" s="2" t="s">
        <v>43</v>
      </c>
      <c r="H180" s="2"/>
      <c r="I180" s="2">
        <v>26754</v>
      </c>
      <c r="J180" s="2"/>
      <c r="K180" s="2">
        <v>26769</v>
      </c>
      <c r="L180" s="2"/>
      <c r="M180" s="2">
        <v>25838</v>
      </c>
      <c r="N180" s="2"/>
      <c r="O180" s="2">
        <v>25709</v>
      </c>
      <c r="P180" s="2"/>
      <c r="Q180" s="2">
        <v>25728</v>
      </c>
      <c r="R180" s="2"/>
      <c r="S180" s="2">
        <v>26195</v>
      </c>
      <c r="T180" s="2"/>
      <c r="U180" s="2">
        <v>27627</v>
      </c>
      <c r="V180" s="2"/>
      <c r="W180" s="2">
        <v>28779</v>
      </c>
      <c r="X180" s="2"/>
      <c r="Y180" s="2">
        <v>30162</v>
      </c>
      <c r="Z180" s="2"/>
      <c r="AA180" s="2">
        <v>30645</v>
      </c>
      <c r="AB180" s="2"/>
      <c r="AC180" s="2">
        <f>Post2020_Derivation!G226</f>
        <v>30895</v>
      </c>
      <c r="AD180" s="2" t="e">
        <f ca="1">IF(Post2020_Derivation!H226="","",Post2020_Derivation!H226)</f>
        <v>#NAME?</v>
      </c>
      <c r="AE180" s="2">
        <f>Post2020_Derivation!M226</f>
        <v>31080</v>
      </c>
      <c r="AF180" s="2" t="e">
        <f ca="1">IF(Post2020_Derivation!N226="","",Post2020_Derivation!N226)</f>
        <v>#NAME?</v>
      </c>
      <c r="AG180" s="2">
        <f>Post2020_Derivation!S226</f>
        <v>30888</v>
      </c>
      <c r="AH180" s="2" t="e">
        <f ca="1">IF(Post2020_Derivation!T226="","",Post2020_Derivation!T226)</f>
        <v>#NAME?</v>
      </c>
    </row>
    <row r="181" spans="1:34">
      <c r="A181" t="s">
        <v>460</v>
      </c>
      <c r="B181" t="s">
        <v>461</v>
      </c>
      <c r="C181" s="2" t="s">
        <v>43</v>
      </c>
      <c r="D181" s="2"/>
      <c r="E181" s="2" t="s">
        <v>43</v>
      </c>
      <c r="F181" s="2"/>
      <c r="G181" s="2" t="s">
        <v>43</v>
      </c>
      <c r="H181" s="2"/>
      <c r="I181" s="2">
        <v>989</v>
      </c>
      <c r="J181" s="2"/>
      <c r="K181" s="2">
        <v>2455</v>
      </c>
      <c r="L181" s="2"/>
      <c r="M181" s="2">
        <v>2339</v>
      </c>
      <c r="N181" s="2"/>
      <c r="O181" s="2">
        <v>2618</v>
      </c>
      <c r="P181" s="2"/>
      <c r="Q181" s="2">
        <v>2192</v>
      </c>
      <c r="R181" s="2"/>
      <c r="S181" s="2">
        <v>1847</v>
      </c>
      <c r="T181" s="2"/>
      <c r="U181" s="2">
        <v>1907</v>
      </c>
      <c r="V181" s="2"/>
      <c r="W181" s="2">
        <v>1957</v>
      </c>
      <c r="X181" s="2"/>
      <c r="Y181" s="2">
        <v>1786</v>
      </c>
      <c r="Z181" s="2"/>
      <c r="AA181" s="2">
        <v>1779</v>
      </c>
      <c r="AB181" s="2"/>
      <c r="AC181" s="2">
        <f>Post2020_Derivation!G227</f>
        <v>1830</v>
      </c>
      <c r="AD181" s="2" t="e">
        <f ca="1">IF(Post2020_Derivation!H227="","",Post2020_Derivation!H227)</f>
        <v>#NAME?</v>
      </c>
      <c r="AE181" s="2">
        <f>Post2020_Derivation!M227</f>
        <v>2000</v>
      </c>
      <c r="AF181" s="2" t="e">
        <f ca="1">IF(Post2020_Derivation!N227="","",Post2020_Derivation!N227)</f>
        <v>#NAME?</v>
      </c>
      <c r="AG181" s="2">
        <f>Post2020_Derivation!S227</f>
        <v>2520</v>
      </c>
      <c r="AH181" s="2" t="e">
        <f ca="1">IF(Post2020_Derivation!T227="","",Post2020_Derivation!T227)</f>
        <v>#NAME?</v>
      </c>
    </row>
    <row r="182" spans="1:34">
      <c r="A182" t="s">
        <v>462</v>
      </c>
      <c r="B182" t="s">
        <v>463</v>
      </c>
      <c r="C182" s="2" t="s">
        <v>43</v>
      </c>
      <c r="D182" s="2"/>
      <c r="E182" s="2" t="s">
        <v>43</v>
      </c>
      <c r="F182" s="2"/>
      <c r="G182" s="2" t="s">
        <v>43</v>
      </c>
      <c r="H182" s="2"/>
      <c r="I182" s="2">
        <v>1120</v>
      </c>
      <c r="J182" s="2"/>
      <c r="K182" s="2">
        <v>1058</v>
      </c>
      <c r="L182" s="2"/>
      <c r="M182" s="2">
        <v>1065</v>
      </c>
      <c r="N182" s="2"/>
      <c r="O182" s="2">
        <v>738</v>
      </c>
      <c r="P182" s="2"/>
      <c r="Q182" s="2">
        <v>821</v>
      </c>
      <c r="R182" s="2"/>
      <c r="S182" s="2">
        <v>823</v>
      </c>
      <c r="T182" s="2"/>
      <c r="U182" s="2">
        <v>1132</v>
      </c>
      <c r="V182" s="2"/>
      <c r="W182" s="2">
        <v>1244</v>
      </c>
      <c r="X182" s="2"/>
      <c r="Y182" s="2">
        <v>1312</v>
      </c>
      <c r="Z182" s="2"/>
      <c r="AA182" s="2">
        <v>1513</v>
      </c>
      <c r="AB182" s="2"/>
      <c r="AC182" s="2">
        <f>Post2020_Derivation!G228</f>
        <v>1300</v>
      </c>
      <c r="AD182" s="2" t="e">
        <f ca="1">IF(Post2020_Derivation!H228="","",Post2020_Derivation!H228)</f>
        <v>#NAME?</v>
      </c>
      <c r="AE182" s="2">
        <f>Post2020_Derivation!M228</f>
        <v>1326</v>
      </c>
      <c r="AF182" s="2" t="e">
        <f ca="1">IF(Post2020_Derivation!N228="","",Post2020_Derivation!N228)</f>
        <v>#NAME?</v>
      </c>
      <c r="AG182" s="2">
        <f>Post2020_Derivation!S228</f>
        <v>1519</v>
      </c>
      <c r="AH182" s="2" t="e">
        <f ca="1">IF(Post2020_Derivation!T228="","",Post2020_Derivation!T228)</f>
        <v>#NAME?</v>
      </c>
    </row>
    <row r="183" spans="1:34">
      <c r="A183" t="s">
        <v>464</v>
      </c>
      <c r="B183" t="s">
        <v>465</v>
      </c>
      <c r="C183" s="2" t="s">
        <v>43</v>
      </c>
      <c r="D183" s="2"/>
      <c r="E183" s="2" t="s">
        <v>43</v>
      </c>
      <c r="F183" s="2"/>
      <c r="G183" s="2" t="s">
        <v>43</v>
      </c>
      <c r="H183" s="2"/>
      <c r="I183" s="2">
        <v>6921</v>
      </c>
      <c r="J183" s="2"/>
      <c r="K183" s="2">
        <v>6637</v>
      </c>
      <c r="L183" s="2"/>
      <c r="M183" s="2">
        <v>6901</v>
      </c>
      <c r="N183" s="2"/>
      <c r="O183" s="2">
        <v>6202</v>
      </c>
      <c r="P183" s="2"/>
      <c r="Q183" s="2">
        <v>6028</v>
      </c>
      <c r="R183" s="2"/>
      <c r="S183" s="2">
        <v>6028</v>
      </c>
      <c r="T183" s="2"/>
      <c r="U183" s="2">
        <v>6455</v>
      </c>
      <c r="V183" s="2"/>
      <c r="W183" s="2">
        <v>6837</v>
      </c>
      <c r="X183" s="2"/>
      <c r="Y183" s="2">
        <v>7423</v>
      </c>
      <c r="Z183" s="2"/>
      <c r="AA183" s="2">
        <v>7879</v>
      </c>
      <c r="AB183" s="2"/>
      <c r="AC183" s="2">
        <f>Post2020_Derivation!G229</f>
        <v>7518</v>
      </c>
      <c r="AD183" s="2" t="e">
        <f ca="1">IF(Post2020_Derivation!H229="","",Post2020_Derivation!H229)</f>
        <v>#NAME?</v>
      </c>
      <c r="AE183" s="2">
        <f>Post2020_Derivation!M229</f>
        <v>7539</v>
      </c>
      <c r="AF183" s="2" t="e">
        <f ca="1">IF(Post2020_Derivation!N229="","",Post2020_Derivation!N229)</f>
        <v>#NAME?</v>
      </c>
      <c r="AG183" s="2">
        <f>Post2020_Derivation!S229</f>
        <v>7560</v>
      </c>
      <c r="AH183" s="2" t="e">
        <f ca="1">IF(Post2020_Derivation!T229="","",Post2020_Derivation!T229)</f>
        <v>#NAME?</v>
      </c>
    </row>
    <row r="184" spans="1:34">
      <c r="A184" t="s">
        <v>466</v>
      </c>
      <c r="B184" t="s">
        <v>467</v>
      </c>
      <c r="C184" s="2" t="s">
        <v>43</v>
      </c>
      <c r="D184" s="2"/>
      <c r="E184" s="2" t="s">
        <v>43</v>
      </c>
      <c r="F184" s="2"/>
      <c r="G184" s="2" t="s">
        <v>43</v>
      </c>
      <c r="H184" s="2"/>
      <c r="I184" s="2">
        <v>1334</v>
      </c>
      <c r="J184" s="2"/>
      <c r="K184" s="2">
        <v>1285</v>
      </c>
      <c r="L184" s="2"/>
      <c r="M184" s="2">
        <v>1238</v>
      </c>
      <c r="N184" s="2"/>
      <c r="O184" s="2">
        <v>1252</v>
      </c>
      <c r="P184" s="2"/>
      <c r="Q184" s="2">
        <v>710</v>
      </c>
      <c r="R184" s="2"/>
      <c r="S184" s="2">
        <v>714</v>
      </c>
      <c r="T184" s="2"/>
      <c r="U184" s="2">
        <v>1818</v>
      </c>
      <c r="V184" s="2"/>
      <c r="W184" s="2">
        <v>1573</v>
      </c>
      <c r="X184" s="2"/>
      <c r="Y184" s="2">
        <v>1681</v>
      </c>
      <c r="Z184" s="2"/>
      <c r="AA184" s="2">
        <v>1632</v>
      </c>
      <c r="AB184" s="2"/>
      <c r="AC184" s="2">
        <f>Post2020_Derivation!G230</f>
        <v>1534</v>
      </c>
      <c r="AD184" s="2" t="e">
        <f ca="1">IF(Post2020_Derivation!H230="","",Post2020_Derivation!H230)</f>
        <v>#NAME?</v>
      </c>
      <c r="AE184" s="2">
        <f>Post2020_Derivation!M230</f>
        <v>1512</v>
      </c>
      <c r="AF184" s="2" t="e">
        <f ca="1">IF(Post2020_Derivation!N230="","",Post2020_Derivation!N230)</f>
        <v>#NAME?</v>
      </c>
      <c r="AG184" s="2">
        <f>Post2020_Derivation!S230</f>
        <v>1512</v>
      </c>
      <c r="AH184" s="2" t="e">
        <f ca="1">IF(Post2020_Derivation!T230="","",Post2020_Derivation!T230)</f>
        <v>#NAME?</v>
      </c>
    </row>
    <row r="185" spans="1:34">
      <c r="A185" t="s">
        <v>468</v>
      </c>
      <c r="B185" t="s">
        <v>469</v>
      </c>
      <c r="C185" s="2" t="s">
        <v>43</v>
      </c>
      <c r="D185" s="2"/>
      <c r="E185" s="2" t="s">
        <v>43</v>
      </c>
      <c r="F185" s="2"/>
      <c r="G185" s="2" t="s">
        <v>43</v>
      </c>
      <c r="H185" s="2"/>
      <c r="I185" s="2">
        <v>16390</v>
      </c>
      <c r="J185" s="2"/>
      <c r="K185" s="2">
        <v>15334</v>
      </c>
      <c r="L185" s="2"/>
      <c r="M185" s="2">
        <v>14295</v>
      </c>
      <c r="N185" s="2"/>
      <c r="O185" s="2">
        <v>14899</v>
      </c>
      <c r="P185" s="2"/>
      <c r="Q185" s="2">
        <v>15977</v>
      </c>
      <c r="R185" s="2"/>
      <c r="S185" s="2">
        <v>16783</v>
      </c>
      <c r="T185" s="2"/>
      <c r="U185" s="2">
        <v>16315</v>
      </c>
      <c r="V185" s="2"/>
      <c r="W185" s="2">
        <v>17168</v>
      </c>
      <c r="X185" s="2"/>
      <c r="Y185" s="2">
        <v>17960</v>
      </c>
      <c r="Z185" s="2"/>
      <c r="AA185" s="2">
        <v>17842</v>
      </c>
      <c r="AB185" s="2"/>
      <c r="AC185" s="2">
        <f>Post2020_Derivation!G231</f>
        <v>18495</v>
      </c>
      <c r="AD185" s="2" t="e">
        <f ca="1">IF(Post2020_Derivation!H231="","",Post2020_Derivation!H231)</f>
        <v>#NAME?</v>
      </c>
      <c r="AE185" s="2">
        <f>Post2020_Derivation!M231</f>
        <v>18360</v>
      </c>
      <c r="AF185" s="2" t="e">
        <f ca="1">IF(Post2020_Derivation!N231="","",Post2020_Derivation!N231)</f>
        <v>#NAME?</v>
      </c>
      <c r="AG185" s="2">
        <f>Post2020_Derivation!S231</f>
        <v>18103</v>
      </c>
      <c r="AH185" s="2" t="e">
        <f ca="1">IF(Post2020_Derivation!T231="","",Post2020_Derivation!T231)</f>
        <v>#NAME?</v>
      </c>
    </row>
    <row r="186" spans="1:34">
      <c r="A186" t="s">
        <v>470</v>
      </c>
      <c r="B186" t="s">
        <v>471</v>
      </c>
      <c r="C186" s="2" t="s">
        <v>43</v>
      </c>
      <c r="D186" s="2"/>
      <c r="E186" s="2" t="s">
        <v>43</v>
      </c>
      <c r="F186" s="2"/>
      <c r="G186" s="2" t="s">
        <v>43</v>
      </c>
      <c r="H186" s="2"/>
      <c r="I186" s="2">
        <v>15442</v>
      </c>
      <c r="J186" s="2"/>
      <c r="K186" s="2">
        <v>15690</v>
      </c>
      <c r="L186" s="2"/>
      <c r="M186" s="2">
        <v>15249</v>
      </c>
      <c r="N186" s="2"/>
      <c r="O186" s="2">
        <v>14553</v>
      </c>
      <c r="P186" s="2"/>
      <c r="Q186" s="2">
        <v>13680</v>
      </c>
      <c r="R186" s="2"/>
      <c r="S186" s="2">
        <v>14849</v>
      </c>
      <c r="T186" s="2"/>
      <c r="U186" s="2">
        <v>14678</v>
      </c>
      <c r="V186" s="2"/>
      <c r="W186" s="2">
        <v>15105</v>
      </c>
      <c r="X186" s="2"/>
      <c r="Y186" s="2">
        <v>15127</v>
      </c>
      <c r="Z186" s="2"/>
      <c r="AA186" s="2">
        <v>14891</v>
      </c>
      <c r="AB186" s="2"/>
      <c r="AC186" s="2">
        <f>Post2020_Derivation!G232</f>
        <v>14796</v>
      </c>
      <c r="AD186" s="2" t="e">
        <f ca="1">IF(Post2020_Derivation!H232="","",Post2020_Derivation!H232)</f>
        <v>#NAME?</v>
      </c>
      <c r="AE186" s="2">
        <f>Post2020_Derivation!M232</f>
        <v>14724</v>
      </c>
      <c r="AF186" s="2" t="e">
        <f ca="1">IF(Post2020_Derivation!N232="","",Post2020_Derivation!N232)</f>
        <v>#NAME?</v>
      </c>
      <c r="AG186" s="2">
        <f>Post2020_Derivation!S232</f>
        <v>14688</v>
      </c>
      <c r="AH186" s="2" t="e">
        <f ca="1">IF(Post2020_Derivation!T232="","",Post2020_Derivation!T232)</f>
        <v>#NAME?</v>
      </c>
    </row>
    <row r="187" spans="1:34">
      <c r="A187" t="s">
        <v>472</v>
      </c>
      <c r="B187" t="s">
        <v>473</v>
      </c>
      <c r="C187" s="2" t="s">
        <v>43</v>
      </c>
      <c r="D187" s="2"/>
      <c r="E187" s="2" t="s">
        <v>43</v>
      </c>
      <c r="F187" s="2"/>
      <c r="G187" s="2" t="s">
        <v>43</v>
      </c>
      <c r="H187" s="2"/>
      <c r="I187" s="2">
        <v>5593</v>
      </c>
      <c r="J187" s="2"/>
      <c r="K187" s="2">
        <v>6313</v>
      </c>
      <c r="L187" s="2"/>
      <c r="M187" s="2">
        <v>5875</v>
      </c>
      <c r="N187" s="2"/>
      <c r="O187" s="2">
        <v>5746</v>
      </c>
      <c r="P187" s="2"/>
      <c r="Q187" s="2">
        <v>4573</v>
      </c>
      <c r="R187" s="2"/>
      <c r="S187" s="2">
        <v>4795</v>
      </c>
      <c r="T187" s="2"/>
      <c r="U187" s="2">
        <v>4956</v>
      </c>
      <c r="V187" s="2"/>
      <c r="W187" s="2">
        <v>5266</v>
      </c>
      <c r="X187" s="2"/>
      <c r="Y187" s="2">
        <v>5504</v>
      </c>
      <c r="Z187" s="2"/>
      <c r="AA187" s="2">
        <v>5398</v>
      </c>
      <c r="AB187" s="2"/>
      <c r="AC187" s="2">
        <f>Post2020_Derivation!G233</f>
        <v>5733</v>
      </c>
      <c r="AD187" s="2" t="e">
        <f ca="1">IF(Post2020_Derivation!H233="","",Post2020_Derivation!H233)</f>
        <v>#NAME?</v>
      </c>
      <c r="AE187" s="2">
        <f>Post2020_Derivation!M233</f>
        <v>5662</v>
      </c>
      <c r="AF187" s="2" t="e">
        <f ca="1">IF(Post2020_Derivation!N233="","",Post2020_Derivation!N233)</f>
        <v>#NAME?</v>
      </c>
      <c r="AG187" s="2">
        <f>Post2020_Derivation!S233</f>
        <v>5402</v>
      </c>
      <c r="AH187" s="2" t="e">
        <f ca="1">IF(Post2020_Derivation!T233="","",Post2020_Derivation!T233)</f>
        <v>#NAME?</v>
      </c>
    </row>
    <row r="188" spans="1:34">
      <c r="A188" t="s">
        <v>474</v>
      </c>
      <c r="B188" t="s">
        <v>475</v>
      </c>
      <c r="C188" s="2" t="s">
        <v>43</v>
      </c>
      <c r="D188" s="2"/>
      <c r="E188" s="2" t="s">
        <v>43</v>
      </c>
      <c r="F188" s="2"/>
      <c r="G188" s="2" t="s">
        <v>43</v>
      </c>
      <c r="H188" s="2"/>
      <c r="I188" s="2">
        <v>1231</v>
      </c>
      <c r="J188" s="2"/>
      <c r="K188" s="2">
        <v>908</v>
      </c>
      <c r="L188" s="2"/>
      <c r="M188" s="2">
        <v>1224</v>
      </c>
      <c r="N188" s="2"/>
      <c r="O188" s="2">
        <v>870</v>
      </c>
      <c r="P188" s="2"/>
      <c r="Q188" s="2">
        <v>842</v>
      </c>
      <c r="R188" s="2"/>
      <c r="S188" s="2">
        <v>1251</v>
      </c>
      <c r="T188" s="2"/>
      <c r="U188" s="2">
        <v>1083</v>
      </c>
      <c r="V188" s="2"/>
      <c r="W188" s="2">
        <v>1271</v>
      </c>
      <c r="X188" s="2"/>
      <c r="Y188" s="2">
        <v>1159</v>
      </c>
      <c r="Z188" s="2"/>
      <c r="AA188" s="2">
        <v>1201</v>
      </c>
      <c r="AB188" s="2"/>
      <c r="AC188" s="2">
        <f>Post2020_Derivation!G234</f>
        <v>1302</v>
      </c>
      <c r="AD188" s="2" t="e">
        <f ca="1">IF(Post2020_Derivation!H234="","",Post2020_Derivation!H234)</f>
        <v>#NAME?</v>
      </c>
      <c r="AE188" s="2">
        <f>Post2020_Derivation!M234</f>
        <v>1376</v>
      </c>
      <c r="AF188" s="2" t="e">
        <f ca="1">IF(Post2020_Derivation!N234="","",Post2020_Derivation!N234)</f>
        <v>#NAME?</v>
      </c>
      <c r="AG188" s="2">
        <f>Post2020_Derivation!S234</f>
        <v>1365</v>
      </c>
      <c r="AH188" s="2" t="e">
        <f ca="1">IF(Post2020_Derivation!T234="","",Post2020_Derivation!T234)</f>
        <v>#NAME?</v>
      </c>
    </row>
    <row r="189" spans="1:34">
      <c r="A189" t="s">
        <v>476</v>
      </c>
      <c r="B189" t="s">
        <v>477</v>
      </c>
      <c r="C189" s="2" t="s">
        <v>43</v>
      </c>
      <c r="D189" s="2"/>
      <c r="E189" s="2" t="s">
        <v>43</v>
      </c>
      <c r="F189" s="2"/>
      <c r="G189" s="2" t="s">
        <v>43</v>
      </c>
      <c r="H189" s="2"/>
      <c r="I189" s="2">
        <v>1397</v>
      </c>
      <c r="J189" s="2"/>
      <c r="K189" s="2">
        <v>1502</v>
      </c>
      <c r="L189" s="2"/>
      <c r="M189" s="2">
        <v>1336</v>
      </c>
      <c r="N189" s="2"/>
      <c r="O189" s="2">
        <v>1142</v>
      </c>
      <c r="P189" s="2"/>
      <c r="Q189" s="2">
        <v>1264</v>
      </c>
      <c r="R189" s="2"/>
      <c r="S189" s="2">
        <v>1615</v>
      </c>
      <c r="T189" s="2"/>
      <c r="U189" s="2">
        <v>1695</v>
      </c>
      <c r="V189" s="2"/>
      <c r="W189" s="2">
        <v>1592</v>
      </c>
      <c r="X189" s="2"/>
      <c r="Y189" s="2">
        <v>1672</v>
      </c>
      <c r="Z189" s="2"/>
      <c r="AA189" s="2">
        <v>1651</v>
      </c>
      <c r="AB189" s="2"/>
      <c r="AC189" s="2">
        <f>Post2020_Derivation!G235</f>
        <v>1725</v>
      </c>
      <c r="AD189" s="2" t="e">
        <f ca="1">IF(Post2020_Derivation!H235="","",Post2020_Derivation!H235)</f>
        <v>#NAME?</v>
      </c>
      <c r="AE189" s="2">
        <f>Post2020_Derivation!M235</f>
        <v>1776</v>
      </c>
      <c r="AF189" s="2" t="e">
        <f ca="1">IF(Post2020_Derivation!N235="","",Post2020_Derivation!N235)</f>
        <v>#NAME?</v>
      </c>
      <c r="AG189" s="2">
        <f>Post2020_Derivation!S235</f>
        <v>1909</v>
      </c>
      <c r="AH189" s="2" t="e">
        <f ca="1">IF(Post2020_Derivation!T235="","",Post2020_Derivation!T235)</f>
        <v>#NAME?</v>
      </c>
    </row>
    <row r="190" spans="1:34">
      <c r="A190" t="s">
        <v>478</v>
      </c>
      <c r="B190" t="s">
        <v>479</v>
      </c>
      <c r="C190" s="2" t="s">
        <v>43</v>
      </c>
      <c r="D190" s="2"/>
      <c r="E190" s="2" t="s">
        <v>43</v>
      </c>
      <c r="F190" s="2"/>
      <c r="G190" s="2" t="s">
        <v>43</v>
      </c>
      <c r="H190" s="2"/>
      <c r="I190" s="2">
        <v>7221</v>
      </c>
      <c r="J190" s="2"/>
      <c r="K190" s="2">
        <v>6967</v>
      </c>
      <c r="L190" s="2"/>
      <c r="M190" s="2">
        <v>6814</v>
      </c>
      <c r="N190" s="2"/>
      <c r="O190" s="2">
        <v>6795</v>
      </c>
      <c r="P190" s="2"/>
      <c r="Q190" s="2">
        <v>7001</v>
      </c>
      <c r="R190" s="2"/>
      <c r="S190" s="2">
        <v>7188</v>
      </c>
      <c r="T190" s="2"/>
      <c r="U190" s="2">
        <v>6944</v>
      </c>
      <c r="V190" s="2"/>
      <c r="W190" s="2">
        <v>6976</v>
      </c>
      <c r="X190" s="2"/>
      <c r="Y190" s="2">
        <v>6792</v>
      </c>
      <c r="Z190" s="2"/>
      <c r="AA190" s="2">
        <v>6641</v>
      </c>
      <c r="AB190" s="2"/>
      <c r="AC190" s="2">
        <f>Post2020_Derivation!G236</f>
        <v>6120</v>
      </c>
      <c r="AD190" s="2" t="e">
        <f ca="1">IF(Post2020_Derivation!H236="","",Post2020_Derivation!H236)</f>
        <v>#NAME?</v>
      </c>
      <c r="AE190" s="2">
        <f>Post2020_Derivation!M236</f>
        <v>5863</v>
      </c>
      <c r="AF190" s="2" t="e">
        <f ca="1">IF(Post2020_Derivation!N236="","",Post2020_Derivation!N236)</f>
        <v>#NAME?</v>
      </c>
      <c r="AG190" s="2">
        <f>Post2020_Derivation!S236</f>
        <v>5880</v>
      </c>
      <c r="AH190" s="2" t="e">
        <f ca="1">IF(Post2020_Derivation!T236="","",Post2020_Derivation!T236)</f>
        <v>#NAME?</v>
      </c>
    </row>
    <row r="191" spans="1:34">
      <c r="A191" t="s">
        <v>480</v>
      </c>
      <c r="B191" t="s">
        <v>481</v>
      </c>
      <c r="C191" s="2">
        <v>260</v>
      </c>
      <c r="D191" s="2"/>
      <c r="E191" s="2">
        <v>276</v>
      </c>
      <c r="F191" s="2"/>
      <c r="G191" s="2">
        <v>214</v>
      </c>
      <c r="H191" s="2"/>
      <c r="I191" s="2">
        <v>196</v>
      </c>
      <c r="J191" s="2"/>
      <c r="K191" s="2">
        <v>157</v>
      </c>
      <c r="L191" s="2"/>
      <c r="M191" s="2">
        <v>144</v>
      </c>
      <c r="N191" s="2"/>
      <c r="O191" s="2">
        <v>145</v>
      </c>
      <c r="P191" s="2"/>
      <c r="Q191" s="2">
        <v>148</v>
      </c>
      <c r="R191" s="2"/>
      <c r="S191" s="2">
        <v>162</v>
      </c>
      <c r="T191" s="2"/>
      <c r="U191" s="2">
        <v>162</v>
      </c>
      <c r="V191" s="2"/>
      <c r="W191" s="2">
        <v>181</v>
      </c>
      <c r="X191" s="2"/>
      <c r="Y191" s="2">
        <v>180</v>
      </c>
      <c r="Z191" s="2"/>
      <c r="AA191" s="2">
        <v>166</v>
      </c>
      <c r="AB191" s="2"/>
      <c r="AC191" s="2">
        <f>Post2020_Derivation!G237</f>
        <v>189</v>
      </c>
      <c r="AD191" s="2" t="e">
        <f ca="1">IF(Post2020_Derivation!H237="","",Post2020_Derivation!H237)</f>
        <v>#NAME?</v>
      </c>
      <c r="AE191" s="2">
        <f>Post2020_Derivation!M237</f>
        <v>183</v>
      </c>
      <c r="AF191" s="2" t="e">
        <f ca="1">IF(Post2020_Derivation!N237="","",Post2020_Derivation!N237)</f>
        <v>#NAME?</v>
      </c>
      <c r="AG191" s="2">
        <f>Post2020_Derivation!S237</f>
        <v>183</v>
      </c>
      <c r="AH191" s="2" t="e">
        <f ca="1">IF(Post2020_Derivation!T237="","",Post2020_Derivation!T237)</f>
        <v>#NAME?</v>
      </c>
    </row>
    <row r="192" spans="1:34">
      <c r="A192" t="s">
        <v>482</v>
      </c>
      <c r="B192" t="s">
        <v>483</v>
      </c>
      <c r="C192" s="2">
        <v>260</v>
      </c>
      <c r="D192" s="2"/>
      <c r="E192" s="2">
        <v>276</v>
      </c>
      <c r="F192" s="2"/>
      <c r="G192" s="2">
        <v>214</v>
      </c>
      <c r="H192" s="2"/>
      <c r="I192" s="2">
        <v>196</v>
      </c>
      <c r="J192" s="2"/>
      <c r="K192" s="2">
        <v>157</v>
      </c>
      <c r="L192" s="2"/>
      <c r="M192" s="2">
        <v>144</v>
      </c>
      <c r="N192" s="2"/>
      <c r="O192" s="2">
        <v>145</v>
      </c>
      <c r="P192" s="2"/>
      <c r="Q192" s="2">
        <v>148</v>
      </c>
      <c r="R192" s="2"/>
      <c r="S192" s="2">
        <v>162</v>
      </c>
      <c r="T192" s="2"/>
      <c r="U192" s="2">
        <v>162</v>
      </c>
      <c r="V192" s="2"/>
      <c r="W192" s="2">
        <v>181</v>
      </c>
      <c r="X192" s="2"/>
      <c r="Y192" s="2">
        <v>180</v>
      </c>
      <c r="Z192" s="2"/>
      <c r="AA192" s="2">
        <v>166</v>
      </c>
      <c r="AB192" s="2"/>
      <c r="AC192" s="2">
        <f>Post2020_Derivation!G238</f>
        <v>189</v>
      </c>
      <c r="AD192" s="2" t="e">
        <f ca="1">IF(Post2020_Derivation!H238="","",Post2020_Derivation!H238)</f>
        <v>#NAME?</v>
      </c>
      <c r="AE192" s="2">
        <f>Post2020_Derivation!M238</f>
        <v>183</v>
      </c>
      <c r="AF192" s="2" t="e">
        <f ca="1">IF(Post2020_Derivation!N238="","",Post2020_Derivation!N238)</f>
        <v>#NAME?</v>
      </c>
      <c r="AG192" s="2">
        <f>Post2020_Derivation!S238</f>
        <v>183</v>
      </c>
      <c r="AH192" s="2" t="e">
        <f ca="1">IF(Post2020_Derivation!T238="","",Post2020_Derivation!T238)</f>
        <v>#NAME?</v>
      </c>
    </row>
    <row r="193" spans="1:34">
      <c r="A193" t="s">
        <v>484</v>
      </c>
      <c r="B193" t="s">
        <v>483</v>
      </c>
      <c r="C193" s="2">
        <v>260</v>
      </c>
      <c r="D193" s="2"/>
      <c r="E193" s="2">
        <v>276</v>
      </c>
      <c r="F193" s="2"/>
      <c r="G193" s="2">
        <v>214</v>
      </c>
      <c r="H193" s="2"/>
      <c r="I193" s="2">
        <v>196</v>
      </c>
      <c r="J193" s="2"/>
      <c r="K193" s="2">
        <v>157</v>
      </c>
      <c r="L193" s="2"/>
      <c r="M193" s="2">
        <v>144</v>
      </c>
      <c r="N193" s="2"/>
      <c r="O193" s="2">
        <v>145</v>
      </c>
      <c r="P193" s="2"/>
      <c r="Q193" s="2">
        <v>148</v>
      </c>
      <c r="R193" s="2"/>
      <c r="S193" s="2">
        <v>162</v>
      </c>
      <c r="T193" s="2"/>
      <c r="U193" s="2">
        <v>162</v>
      </c>
      <c r="V193" s="2"/>
      <c r="W193" s="2">
        <v>181</v>
      </c>
      <c r="X193" s="2"/>
      <c r="Y193" s="2">
        <v>180</v>
      </c>
      <c r="Z193" s="2"/>
      <c r="AA193" s="2">
        <v>166</v>
      </c>
      <c r="AB193" s="2"/>
      <c r="AC193" s="2">
        <f>Post2020_Derivation!G239</f>
        <v>189</v>
      </c>
      <c r="AD193" s="2" t="e">
        <f ca="1">IF(Post2020_Derivation!H239="","",Post2020_Derivation!H239)</f>
        <v>#NAME?</v>
      </c>
      <c r="AE193" s="2">
        <f>Post2020_Derivation!M239</f>
        <v>183</v>
      </c>
      <c r="AF193" s="2" t="e">
        <f ca="1">IF(Post2020_Derivation!N239="","",Post2020_Derivation!N239)</f>
        <v>#NAME?</v>
      </c>
      <c r="AG193" s="2">
        <f>Post2020_Derivation!S239</f>
        <v>183</v>
      </c>
      <c r="AH193" s="2" t="e">
        <f ca="1">IF(Post2020_Derivation!T239="","",Post2020_Derivation!T239)</f>
        <v>#NAME?</v>
      </c>
    </row>
    <row r="194" spans="1:34">
      <c r="A194" t="s">
        <v>485</v>
      </c>
      <c r="B194" t="s">
        <v>486</v>
      </c>
      <c r="C194" s="2">
        <v>1437</v>
      </c>
      <c r="D194" s="2"/>
      <c r="E194" s="2">
        <v>898</v>
      </c>
      <c r="F194" s="2"/>
      <c r="G194" s="2">
        <v>989</v>
      </c>
      <c r="H194" s="2"/>
      <c r="I194" s="2">
        <v>1290</v>
      </c>
      <c r="J194" s="2"/>
      <c r="K194" s="2">
        <v>1489</v>
      </c>
      <c r="L194" s="2"/>
      <c r="M194" s="2">
        <v>1621</v>
      </c>
      <c r="N194" s="2"/>
      <c r="O194" s="2">
        <v>1702</v>
      </c>
      <c r="P194" s="2"/>
      <c r="Q194" s="2">
        <v>1843</v>
      </c>
      <c r="R194" s="2"/>
      <c r="S194" s="2">
        <v>1910</v>
      </c>
      <c r="T194" s="2"/>
      <c r="U194" s="2">
        <v>2087</v>
      </c>
      <c r="V194" s="2"/>
      <c r="W194" s="2">
        <v>2316</v>
      </c>
      <c r="X194" s="2"/>
      <c r="Y194" s="2">
        <v>2352</v>
      </c>
      <c r="Z194" s="2"/>
      <c r="AA194" s="2">
        <v>2123</v>
      </c>
      <c r="AB194" s="2"/>
      <c r="AC194" s="2">
        <f>Post2020_Derivation!G240</f>
        <v>2291</v>
      </c>
      <c r="AD194" s="2" t="e">
        <f ca="1">IF(Post2020_Derivation!H240="","",Post2020_Derivation!H240)</f>
        <v>#NAME?</v>
      </c>
      <c r="AE194" s="2">
        <f>Post2020_Derivation!M240</f>
        <v>2432</v>
      </c>
      <c r="AF194" s="2" t="e">
        <f ca="1">IF(Post2020_Derivation!N240="","",Post2020_Derivation!N240)</f>
        <v>#NAME?</v>
      </c>
      <c r="AG194" s="2">
        <f>Post2020_Derivation!S240</f>
        <v>2368</v>
      </c>
      <c r="AH194" s="2" t="e">
        <f ca="1">IF(Post2020_Derivation!T240="","",Post2020_Derivation!T240)</f>
        <v>#NAME?</v>
      </c>
    </row>
    <row r="195" spans="1:34">
      <c r="A195" t="s">
        <v>487</v>
      </c>
      <c r="B195" t="s">
        <v>488</v>
      </c>
      <c r="C195" s="2">
        <v>1437</v>
      </c>
      <c r="D195" s="2"/>
      <c r="E195" s="2">
        <v>898</v>
      </c>
      <c r="F195" s="2"/>
      <c r="G195" s="2">
        <v>989</v>
      </c>
      <c r="H195" s="2"/>
      <c r="I195" s="2">
        <v>1290</v>
      </c>
      <c r="J195" s="2"/>
      <c r="K195" s="2">
        <v>1489</v>
      </c>
      <c r="L195" s="2"/>
      <c r="M195" s="2">
        <v>1621</v>
      </c>
      <c r="N195" s="2"/>
      <c r="O195" s="2">
        <v>1702</v>
      </c>
      <c r="P195" s="2"/>
      <c r="Q195" s="2">
        <v>1843</v>
      </c>
      <c r="R195" s="2"/>
      <c r="S195" s="2">
        <v>1910</v>
      </c>
      <c r="T195" s="2"/>
      <c r="U195" s="2">
        <v>2087</v>
      </c>
      <c r="V195" s="2"/>
      <c r="W195" s="2">
        <v>2316</v>
      </c>
      <c r="X195" s="2"/>
      <c r="Y195" s="2">
        <v>2352</v>
      </c>
      <c r="Z195" s="2"/>
      <c r="AA195" s="2">
        <v>2123</v>
      </c>
      <c r="AB195" s="2"/>
      <c r="AC195" s="2">
        <f>Post2020_Derivation!G241</f>
        <v>2291</v>
      </c>
      <c r="AD195" s="2" t="e">
        <f ca="1">IF(Post2020_Derivation!H241="","",Post2020_Derivation!H241)</f>
        <v>#NAME?</v>
      </c>
      <c r="AE195" s="2">
        <f>Post2020_Derivation!M241</f>
        <v>2432</v>
      </c>
      <c r="AF195" s="2" t="e">
        <f ca="1">IF(Post2020_Derivation!N241="","",Post2020_Derivation!N241)</f>
        <v>#NAME?</v>
      </c>
      <c r="AG195" s="2" t="str">
        <f>Post2020_Derivation!S241</f>
        <v/>
      </c>
      <c r="AH195" s="2" t="e">
        <f ca="1">IF(Post2020_Derivation!T241="","",Post2020_Derivation!T241)</f>
        <v>#NAME?</v>
      </c>
    </row>
    <row r="196" spans="1:34">
      <c r="A196" t="s">
        <v>489</v>
      </c>
      <c r="B196" t="s">
        <v>488</v>
      </c>
      <c r="C196" s="2">
        <v>1437</v>
      </c>
      <c r="D196" s="2"/>
      <c r="E196" s="2">
        <v>898</v>
      </c>
      <c r="F196" s="2"/>
      <c r="G196" s="2">
        <v>989</v>
      </c>
      <c r="H196" s="2"/>
      <c r="I196" s="2">
        <v>1290</v>
      </c>
      <c r="J196" s="2"/>
      <c r="K196" s="2">
        <v>1489</v>
      </c>
      <c r="L196" s="2"/>
      <c r="M196" s="2">
        <v>1621</v>
      </c>
      <c r="N196" s="2"/>
      <c r="O196" s="2">
        <v>1702</v>
      </c>
      <c r="P196" s="2"/>
      <c r="Q196" s="2">
        <v>1843</v>
      </c>
      <c r="R196" s="2"/>
      <c r="S196" s="2">
        <v>1910</v>
      </c>
      <c r="T196" s="2"/>
      <c r="U196" s="2">
        <v>2087</v>
      </c>
      <c r="V196" s="2"/>
      <c r="W196" s="2">
        <v>2316</v>
      </c>
      <c r="X196" s="2"/>
      <c r="Y196" s="2">
        <v>2352</v>
      </c>
      <c r="Z196" s="2"/>
      <c r="AA196" s="2">
        <v>2123</v>
      </c>
      <c r="AB196" s="2"/>
      <c r="AC196" s="2">
        <f>Post2020_Derivation!G242</f>
        <v>2291</v>
      </c>
      <c r="AD196" s="2" t="e">
        <f ca="1">IF(Post2020_Derivation!H242="","",Post2020_Derivation!H242)</f>
        <v>#NAME?</v>
      </c>
      <c r="AE196" s="2">
        <f>Post2020_Derivation!M242</f>
        <v>2432</v>
      </c>
      <c r="AF196" s="2" t="e">
        <f ca="1">IF(Post2020_Derivation!N242="","",Post2020_Derivation!N242)</f>
        <v>#NAME?</v>
      </c>
      <c r="AG196" s="2" t="str">
        <f>Post2020_Derivation!S242</f>
        <v/>
      </c>
      <c r="AH196" s="2" t="e">
        <f ca="1">IF(Post2020_Derivation!T242="","",Post2020_Derivation!T242)</f>
        <v>#NAME?</v>
      </c>
    </row>
    <row r="197" spans="1:34">
      <c r="A197" t="s">
        <v>990</v>
      </c>
      <c r="B197" t="s">
        <v>68</v>
      </c>
      <c r="C197" s="2" t="s">
        <v>43</v>
      </c>
      <c r="D197" s="2"/>
      <c r="E197" s="2">
        <v>0</v>
      </c>
      <c r="F197" s="2"/>
      <c r="G197" s="2">
        <v>0</v>
      </c>
      <c r="H197" s="2"/>
      <c r="I197" s="2">
        <v>0</v>
      </c>
      <c r="J197" s="2"/>
      <c r="K197" s="2" t="s">
        <v>43</v>
      </c>
      <c r="L197" s="2"/>
      <c r="M197" s="2" t="s">
        <v>43</v>
      </c>
      <c r="N197" s="2"/>
      <c r="O197" s="2" t="s">
        <v>43</v>
      </c>
      <c r="P197" s="2"/>
      <c r="Q197" s="2" t="s">
        <v>43</v>
      </c>
      <c r="R197" s="2"/>
      <c r="S197" s="2">
        <v>0</v>
      </c>
      <c r="T197" s="2"/>
      <c r="U197" s="2" t="s">
        <v>43</v>
      </c>
      <c r="V197" s="2"/>
      <c r="W197" s="2">
        <v>0</v>
      </c>
      <c r="X197" s="2"/>
      <c r="Y197" s="2" t="s">
        <v>43</v>
      </c>
      <c r="Z197" s="2"/>
      <c r="AA197" s="2" t="s">
        <v>43</v>
      </c>
      <c r="AB197" s="2"/>
      <c r="AC197" s="2" t="str">
        <f>""</f>
        <v/>
      </c>
      <c r="AD197" s="2" t="str">
        <f>""</f>
        <v/>
      </c>
      <c r="AE197" s="2" t="str">
        <f>""</f>
        <v/>
      </c>
      <c r="AF197" s="2" t="str">
        <f>""</f>
        <v/>
      </c>
      <c r="AG197" s="2" t="str">
        <f>""</f>
        <v/>
      </c>
      <c r="AH197" s="2" t="str">
        <f>""</f>
        <v/>
      </c>
    </row>
    <row r="198" spans="1:34">
      <c r="A198" t="s">
        <v>991</v>
      </c>
      <c r="B198" t="s">
        <v>70</v>
      </c>
      <c r="C198" s="2" t="s">
        <v>43</v>
      </c>
      <c r="D198" s="2"/>
      <c r="E198" s="2">
        <v>0</v>
      </c>
      <c r="F198" s="2"/>
      <c r="G198" s="2">
        <v>0</v>
      </c>
      <c r="H198" s="2"/>
      <c r="I198" s="2">
        <v>0</v>
      </c>
      <c r="J198" s="2"/>
      <c r="K198" s="2" t="s">
        <v>43</v>
      </c>
      <c r="L198" s="2"/>
      <c r="M198" s="2" t="s">
        <v>43</v>
      </c>
      <c r="N198" s="2"/>
      <c r="O198" s="2" t="s">
        <v>43</v>
      </c>
      <c r="P198" s="2"/>
      <c r="Q198" s="2" t="s">
        <v>43</v>
      </c>
      <c r="R198" s="2"/>
      <c r="S198" s="2">
        <v>0</v>
      </c>
      <c r="T198" s="2"/>
      <c r="U198" s="2" t="s">
        <v>43</v>
      </c>
      <c r="V198" s="2"/>
      <c r="W198" s="2">
        <v>0</v>
      </c>
      <c r="X198" s="2"/>
      <c r="Y198" s="2" t="s">
        <v>43</v>
      </c>
      <c r="Z198" s="2"/>
      <c r="AA198" s="2" t="s">
        <v>43</v>
      </c>
      <c r="AB198" s="2"/>
      <c r="AC198" s="2" t="str">
        <f>""</f>
        <v/>
      </c>
      <c r="AD198" s="2" t="str">
        <f>""</f>
        <v/>
      </c>
      <c r="AE198" s="2" t="str">
        <f>""</f>
        <v/>
      </c>
      <c r="AF198" s="2" t="str">
        <f>""</f>
        <v/>
      </c>
      <c r="AG198" s="2" t="str">
        <f>""</f>
        <v/>
      </c>
      <c r="AH198" s="2" t="str">
        <f>""</f>
        <v/>
      </c>
    </row>
    <row r="199" spans="1:34">
      <c r="A199" t="s">
        <v>490</v>
      </c>
      <c r="B199" t="s">
        <v>491</v>
      </c>
      <c r="C199" s="2">
        <v>2919</v>
      </c>
      <c r="D199" s="2"/>
      <c r="E199" s="2">
        <v>1754</v>
      </c>
      <c r="F199" s="2"/>
      <c r="G199" s="2">
        <v>1295</v>
      </c>
      <c r="H199" s="2"/>
      <c r="I199" s="2">
        <v>1599</v>
      </c>
      <c r="J199" s="2"/>
      <c r="K199" s="2">
        <v>1657</v>
      </c>
      <c r="L199" s="2"/>
      <c r="M199" s="2">
        <v>2042</v>
      </c>
      <c r="N199" s="2"/>
      <c r="O199" s="2">
        <v>3824</v>
      </c>
      <c r="P199" s="2"/>
      <c r="Q199" s="2">
        <v>4511</v>
      </c>
      <c r="R199" s="2"/>
      <c r="S199" s="2">
        <v>4959</v>
      </c>
      <c r="T199" s="2"/>
      <c r="U199" s="2">
        <v>5378</v>
      </c>
      <c r="V199" s="2"/>
      <c r="W199" s="2">
        <v>6216</v>
      </c>
      <c r="X199" s="2" t="s">
        <v>334</v>
      </c>
      <c r="Y199" s="2">
        <v>6164</v>
      </c>
      <c r="Z199" s="2"/>
      <c r="AA199" s="2">
        <v>5653</v>
      </c>
      <c r="AB199" s="2"/>
      <c r="AC199" s="2">
        <f>Post2020_Derivation!G243</f>
        <v>5609</v>
      </c>
      <c r="AD199" s="2" t="e">
        <f ca="1">IF(Post2020_Derivation!H243="","",Post2020_Derivation!H243)</f>
        <v>#NAME?</v>
      </c>
      <c r="AE199" s="2">
        <f>Post2020_Derivation!M243</f>
        <v>6440</v>
      </c>
      <c r="AF199" s="2" t="e">
        <f ca="1">IF(Post2020_Derivation!N243="","",Post2020_Derivation!N243)</f>
        <v>#NAME?</v>
      </c>
      <c r="AG199" s="2">
        <f>Post2020_Derivation!S243</f>
        <v>7107</v>
      </c>
      <c r="AH199" s="2" t="e">
        <f ca="1">IF(Post2020_Derivation!T243="","",Post2020_Derivation!T243)</f>
        <v>#NAME?</v>
      </c>
    </row>
    <row r="200" spans="1:34">
      <c r="A200" t="s">
        <v>492</v>
      </c>
      <c r="B200" t="s">
        <v>493</v>
      </c>
      <c r="C200" s="2">
        <v>2919</v>
      </c>
      <c r="D200" s="2"/>
      <c r="E200" s="2">
        <v>1754</v>
      </c>
      <c r="F200" s="2"/>
      <c r="G200" s="2">
        <v>1295</v>
      </c>
      <c r="H200" s="2"/>
      <c r="I200" s="2">
        <v>1599</v>
      </c>
      <c r="J200" s="2"/>
      <c r="K200" s="2">
        <v>1657</v>
      </c>
      <c r="L200" s="2"/>
      <c r="M200" s="2">
        <v>2042</v>
      </c>
      <c r="N200" s="2"/>
      <c r="O200" s="2">
        <v>3824</v>
      </c>
      <c r="P200" s="2"/>
      <c r="Q200" s="2">
        <v>4511</v>
      </c>
      <c r="R200" s="2"/>
      <c r="S200" s="2">
        <v>4959</v>
      </c>
      <c r="T200" s="2"/>
      <c r="U200" s="2">
        <v>5378</v>
      </c>
      <c r="V200" s="2"/>
      <c r="W200" s="2">
        <v>6216</v>
      </c>
      <c r="X200" s="2" t="s">
        <v>334</v>
      </c>
      <c r="Y200" s="2">
        <v>6164</v>
      </c>
      <c r="Z200" s="2"/>
      <c r="AA200" s="2">
        <v>5653</v>
      </c>
      <c r="AB200" s="2"/>
      <c r="AC200" s="2">
        <f>Post2020_Derivation!G244</f>
        <v>5609</v>
      </c>
      <c r="AD200" s="2" t="e">
        <f ca="1">IF(Post2020_Derivation!H244="","",Post2020_Derivation!H244)</f>
        <v>#NAME?</v>
      </c>
      <c r="AE200" s="2">
        <f>Post2020_Derivation!M244</f>
        <v>6440</v>
      </c>
      <c r="AF200" s="2" t="e">
        <f ca="1">IF(Post2020_Derivation!N244="","",Post2020_Derivation!N244)</f>
        <v>#NAME?</v>
      </c>
      <c r="AG200" s="2">
        <f>Post2020_Derivation!S244</f>
        <v>7107</v>
      </c>
      <c r="AH200" s="2" t="e">
        <f ca="1">IF(Post2020_Derivation!T244="","",Post2020_Derivation!T244)</f>
        <v>#NAME?</v>
      </c>
    </row>
    <row r="201" spans="1:34">
      <c r="A201" t="s">
        <v>494</v>
      </c>
      <c r="B201" t="s">
        <v>495</v>
      </c>
      <c r="C201" s="2" t="s">
        <v>43</v>
      </c>
      <c r="D201" s="2"/>
      <c r="E201" s="2" t="s">
        <v>43</v>
      </c>
      <c r="F201" s="2"/>
      <c r="G201" s="2" t="s">
        <v>43</v>
      </c>
      <c r="H201" s="2"/>
      <c r="I201" s="2" t="s">
        <v>43</v>
      </c>
      <c r="J201" s="2"/>
      <c r="K201" s="2" t="s">
        <v>43</v>
      </c>
      <c r="L201" s="2"/>
      <c r="M201" s="2" t="s">
        <v>43</v>
      </c>
      <c r="N201" s="2"/>
      <c r="O201" s="2" t="s">
        <v>43</v>
      </c>
      <c r="P201" s="2"/>
      <c r="Q201" s="2" t="s">
        <v>43</v>
      </c>
      <c r="R201" s="2"/>
      <c r="S201" s="2">
        <v>461</v>
      </c>
      <c r="T201" s="2"/>
      <c r="U201" s="2">
        <v>431</v>
      </c>
      <c r="V201" s="2"/>
      <c r="W201" s="2">
        <v>532</v>
      </c>
      <c r="X201" s="2" t="s">
        <v>334</v>
      </c>
      <c r="Y201" s="2">
        <v>472</v>
      </c>
      <c r="Z201" s="2"/>
      <c r="AA201" s="2">
        <v>447</v>
      </c>
      <c r="AB201" s="2"/>
      <c r="AC201" s="2">
        <f>Post2020_Derivation!G245</f>
        <v>425</v>
      </c>
      <c r="AD201" s="2" t="e">
        <f ca="1">IF(Post2020_Derivation!H245="","",Post2020_Derivation!H245)</f>
        <v>#NAME?</v>
      </c>
      <c r="AE201" s="2">
        <f>Post2020_Derivation!M245</f>
        <v>450</v>
      </c>
      <c r="AF201" s="2" t="e">
        <f ca="1">IF(Post2020_Derivation!N245="","",Post2020_Derivation!N245)</f>
        <v>#NAME?</v>
      </c>
      <c r="AG201" s="2">
        <f>Post2020_Derivation!S245</f>
        <v>476</v>
      </c>
      <c r="AH201" s="2" t="e">
        <f ca="1">IF(Post2020_Derivation!T245="","",Post2020_Derivation!T245)</f>
        <v>#NAME?</v>
      </c>
    </row>
    <row r="202" spans="1:34">
      <c r="A202" t="s">
        <v>496</v>
      </c>
      <c r="B202" t="s">
        <v>497</v>
      </c>
      <c r="C202" s="2" t="s">
        <v>43</v>
      </c>
      <c r="D202" s="2"/>
      <c r="E202" s="2" t="s">
        <v>43</v>
      </c>
      <c r="F202" s="2"/>
      <c r="G202" s="2" t="s">
        <v>43</v>
      </c>
      <c r="H202" s="2"/>
      <c r="I202" s="2" t="s">
        <v>43</v>
      </c>
      <c r="J202" s="2"/>
      <c r="K202" s="2" t="s">
        <v>43</v>
      </c>
      <c r="L202" s="2"/>
      <c r="M202" s="2" t="s">
        <v>43</v>
      </c>
      <c r="N202" s="2"/>
      <c r="O202" s="2" t="s">
        <v>43</v>
      </c>
      <c r="P202" s="2"/>
      <c r="Q202" s="2" t="s">
        <v>43</v>
      </c>
      <c r="R202" s="2"/>
      <c r="S202" s="2">
        <v>4498</v>
      </c>
      <c r="T202" s="2"/>
      <c r="U202" s="2">
        <v>4947</v>
      </c>
      <c r="V202" s="2"/>
      <c r="W202" s="2">
        <v>5684</v>
      </c>
      <c r="X202" s="2" t="s">
        <v>334</v>
      </c>
      <c r="Y202" s="2">
        <v>5692</v>
      </c>
      <c r="Z202" s="2"/>
      <c r="AA202" s="2">
        <v>5206</v>
      </c>
      <c r="AB202" s="2"/>
      <c r="AC202" s="2">
        <f>Post2020_Derivation!G246</f>
        <v>5184</v>
      </c>
      <c r="AD202" s="2" t="e">
        <f ca="1">IF(Post2020_Derivation!H246="","",Post2020_Derivation!H246)</f>
        <v>#NAME?</v>
      </c>
      <c r="AE202" s="2">
        <f>Post2020_Derivation!M246</f>
        <v>5980</v>
      </c>
      <c r="AF202" s="2" t="e">
        <f ca="1">IF(Post2020_Derivation!N246="","",Post2020_Derivation!N246)</f>
        <v>#NAME?</v>
      </c>
      <c r="AG202" s="2">
        <f>Post2020_Derivation!S246</f>
        <v>6604</v>
      </c>
      <c r="AH202" s="2" t="e">
        <f ca="1">IF(Post2020_Derivation!T246="","",Post2020_Derivation!T246)</f>
        <v>#NAME?</v>
      </c>
    </row>
    <row r="203" spans="1:34">
      <c r="A203" t="s">
        <v>992</v>
      </c>
      <c r="B203" t="s">
        <v>993</v>
      </c>
      <c r="C203" s="2">
        <v>2919</v>
      </c>
      <c r="D203" s="2"/>
      <c r="E203" s="2">
        <v>1754</v>
      </c>
      <c r="F203" s="2"/>
      <c r="G203" s="2">
        <v>1295</v>
      </c>
      <c r="H203" s="2"/>
      <c r="I203" s="2">
        <v>1599</v>
      </c>
      <c r="J203" s="2"/>
      <c r="K203" s="2">
        <v>1657</v>
      </c>
      <c r="L203" s="2"/>
      <c r="M203" s="2">
        <v>2042</v>
      </c>
      <c r="N203" s="2"/>
      <c r="O203" s="2">
        <v>3824</v>
      </c>
      <c r="P203" s="2"/>
      <c r="Q203" s="2">
        <v>4511</v>
      </c>
      <c r="R203" s="2"/>
      <c r="S203" s="2" t="s">
        <v>43</v>
      </c>
      <c r="T203" s="2"/>
      <c r="U203" s="2" t="s">
        <v>43</v>
      </c>
      <c r="V203" s="2"/>
      <c r="W203" s="2" t="s">
        <v>43</v>
      </c>
      <c r="X203" s="2"/>
      <c r="Y203" s="2" t="s">
        <v>43</v>
      </c>
      <c r="Z203" s="2"/>
      <c r="AA203" s="2" t="s">
        <v>43</v>
      </c>
      <c r="AB203" s="2"/>
      <c r="AC203" s="2" t="str">
        <f>""</f>
        <v/>
      </c>
      <c r="AD203" s="2" t="str">
        <f>""</f>
        <v/>
      </c>
      <c r="AE203" s="2" t="str">
        <f>""</f>
        <v/>
      </c>
      <c r="AF203" s="2" t="str">
        <f>""</f>
        <v/>
      </c>
      <c r="AG203" s="2" t="str">
        <f>""</f>
        <v/>
      </c>
      <c r="AH203" s="2" t="str">
        <f>""</f>
        <v/>
      </c>
    </row>
    <row r="204" spans="1:34">
      <c r="A204" t="s">
        <v>498</v>
      </c>
      <c r="B204" t="s">
        <v>499</v>
      </c>
      <c r="C204" s="2" t="s">
        <v>43</v>
      </c>
      <c r="D204" s="2"/>
      <c r="E204" s="2" t="s">
        <v>43</v>
      </c>
      <c r="F204" s="2" t="s">
        <v>44</v>
      </c>
      <c r="G204" s="2" t="s">
        <v>43</v>
      </c>
      <c r="H204" s="2" t="s">
        <v>44</v>
      </c>
      <c r="I204" s="2" t="s">
        <v>43</v>
      </c>
      <c r="J204" s="2" t="s">
        <v>44</v>
      </c>
      <c r="K204" s="2" t="s">
        <v>43</v>
      </c>
      <c r="L204" s="2" t="s">
        <v>44</v>
      </c>
      <c r="M204" s="2" t="s">
        <v>43</v>
      </c>
      <c r="N204" s="2" t="s">
        <v>44</v>
      </c>
      <c r="O204" s="2" t="s">
        <v>43</v>
      </c>
      <c r="P204" s="2" t="s">
        <v>44</v>
      </c>
      <c r="Q204" s="2" t="s">
        <v>43</v>
      </c>
      <c r="R204" s="2" t="s">
        <v>44</v>
      </c>
      <c r="S204" s="2" t="s">
        <v>43</v>
      </c>
      <c r="T204" s="2" t="s">
        <v>44</v>
      </c>
      <c r="U204" s="2" t="s">
        <v>43</v>
      </c>
      <c r="V204" s="2" t="s">
        <v>44</v>
      </c>
      <c r="W204" s="2" t="s">
        <v>43</v>
      </c>
      <c r="X204" s="2" t="s">
        <v>44</v>
      </c>
      <c r="Y204" s="2" t="s">
        <v>43</v>
      </c>
      <c r="Z204" s="2" t="s">
        <v>44</v>
      </c>
      <c r="AA204" s="2" t="s">
        <v>43</v>
      </c>
      <c r="AB204" s="2" t="s">
        <v>44</v>
      </c>
      <c r="AC204" s="2" t="str">
        <f>Post2020_Derivation!G247</f>
        <v/>
      </c>
      <c r="AD204" s="2" t="e">
        <f ca="1">IF(Post2020_Derivation!H247="","",Post2020_Derivation!H247)</f>
        <v>#NAME?</v>
      </c>
      <c r="AE204" s="2" t="str">
        <f>Post2020_Derivation!M247</f>
        <v/>
      </c>
      <c r="AF204" s="2" t="e">
        <f ca="1">IF(Post2020_Derivation!N247="","",Post2020_Derivation!N247)</f>
        <v>#NAME?</v>
      </c>
      <c r="AG204" s="2" t="str">
        <f>Post2020_Derivation!S247</f>
        <v/>
      </c>
      <c r="AH204" s="2" t="e">
        <f ca="1">IF(Post2020_Derivation!T247="","",Post2020_Derivation!T247)</f>
        <v>#NAME?</v>
      </c>
    </row>
    <row r="205" spans="1:34">
      <c r="A205" t="s">
        <v>500</v>
      </c>
      <c r="B205" t="s">
        <v>499</v>
      </c>
      <c r="C205" s="2" t="s">
        <v>43</v>
      </c>
      <c r="D205" s="2"/>
      <c r="E205" s="2" t="s">
        <v>43</v>
      </c>
      <c r="F205" s="2" t="s">
        <v>44</v>
      </c>
      <c r="G205" s="2" t="s">
        <v>43</v>
      </c>
      <c r="H205" s="2" t="s">
        <v>44</v>
      </c>
      <c r="I205" s="2" t="s">
        <v>43</v>
      </c>
      <c r="J205" s="2" t="s">
        <v>44</v>
      </c>
      <c r="K205" s="2" t="s">
        <v>43</v>
      </c>
      <c r="L205" s="2" t="s">
        <v>44</v>
      </c>
      <c r="M205" s="2" t="s">
        <v>43</v>
      </c>
      <c r="N205" s="2" t="s">
        <v>44</v>
      </c>
      <c r="O205" s="2" t="s">
        <v>43</v>
      </c>
      <c r="P205" s="2" t="s">
        <v>44</v>
      </c>
      <c r="Q205" s="2" t="s">
        <v>43</v>
      </c>
      <c r="R205" s="2" t="s">
        <v>44</v>
      </c>
      <c r="S205" s="2" t="s">
        <v>43</v>
      </c>
      <c r="T205" s="2" t="s">
        <v>44</v>
      </c>
      <c r="U205" s="2" t="s">
        <v>43</v>
      </c>
      <c r="V205" s="2" t="s">
        <v>44</v>
      </c>
      <c r="W205" s="2" t="s">
        <v>43</v>
      </c>
      <c r="X205" s="2" t="s">
        <v>44</v>
      </c>
      <c r="Y205" s="2" t="s">
        <v>43</v>
      </c>
      <c r="Z205" s="2" t="s">
        <v>44</v>
      </c>
      <c r="AA205" s="2" t="s">
        <v>43</v>
      </c>
      <c r="AB205" s="2" t="s">
        <v>44</v>
      </c>
      <c r="AC205" s="2" t="str">
        <f>Post2020_Derivation!G248</f>
        <v/>
      </c>
      <c r="AD205" s="2" t="e">
        <f ca="1">IF(Post2020_Derivation!H248="","",Post2020_Derivation!H248)</f>
        <v>#NAME?</v>
      </c>
      <c r="AE205" s="2" t="str">
        <f>Post2020_Derivation!M248</f>
        <v/>
      </c>
      <c r="AF205" s="2" t="e">
        <f ca="1">IF(Post2020_Derivation!N248="","",Post2020_Derivation!N248)</f>
        <v>#NAME?</v>
      </c>
      <c r="AG205" s="2" t="str">
        <f>Post2020_Derivation!S248</f>
        <v/>
      </c>
      <c r="AH205" s="2" t="e">
        <f ca="1">IF(Post2020_Derivation!T248="","",Post2020_Derivation!T248)</f>
        <v>#NAME?</v>
      </c>
    </row>
    <row r="206" spans="1:34">
      <c r="A206" t="s">
        <v>501</v>
      </c>
      <c r="B206" t="s">
        <v>499</v>
      </c>
      <c r="C206" s="2" t="s">
        <v>43</v>
      </c>
      <c r="D206" s="2"/>
      <c r="E206" s="2" t="s">
        <v>43</v>
      </c>
      <c r="F206" s="2" t="s">
        <v>44</v>
      </c>
      <c r="G206" s="2" t="s">
        <v>43</v>
      </c>
      <c r="H206" s="2" t="s">
        <v>44</v>
      </c>
      <c r="I206" s="2" t="s">
        <v>43</v>
      </c>
      <c r="J206" s="2" t="s">
        <v>44</v>
      </c>
      <c r="K206" s="2" t="s">
        <v>43</v>
      </c>
      <c r="L206" s="2" t="s">
        <v>44</v>
      </c>
      <c r="M206" s="2" t="s">
        <v>43</v>
      </c>
      <c r="N206" s="2" t="s">
        <v>44</v>
      </c>
      <c r="O206" s="2" t="s">
        <v>43</v>
      </c>
      <c r="P206" s="2" t="s">
        <v>44</v>
      </c>
      <c r="Q206" s="2" t="s">
        <v>43</v>
      </c>
      <c r="R206" s="2" t="s">
        <v>44</v>
      </c>
      <c r="S206" s="2" t="s">
        <v>43</v>
      </c>
      <c r="T206" s="2" t="s">
        <v>44</v>
      </c>
      <c r="U206" s="2" t="s">
        <v>43</v>
      </c>
      <c r="V206" s="2" t="s">
        <v>44</v>
      </c>
      <c r="W206" s="2" t="s">
        <v>43</v>
      </c>
      <c r="X206" s="2" t="s">
        <v>44</v>
      </c>
      <c r="Y206" s="2" t="s">
        <v>43</v>
      </c>
      <c r="Z206" s="2" t="s">
        <v>44</v>
      </c>
      <c r="AA206" s="2" t="s">
        <v>43</v>
      </c>
      <c r="AB206" s="2" t="s">
        <v>44</v>
      </c>
      <c r="AC206" s="2" t="str">
        <f>Post2020_Derivation!G249</f>
        <v/>
      </c>
      <c r="AD206" s="2" t="e">
        <f ca="1">IF(Post2020_Derivation!H249="","",Post2020_Derivation!H249)</f>
        <v>#NAME?</v>
      </c>
      <c r="AE206" s="2" t="str">
        <f>Post2020_Derivation!M249</f>
        <v/>
      </c>
      <c r="AF206" s="2" t="e">
        <f ca="1">IF(Post2020_Derivation!N249="","",Post2020_Derivation!N249)</f>
        <v>#NAME?</v>
      </c>
      <c r="AG206" s="2" t="str">
        <f>Post2020_Derivation!S249</f>
        <v/>
      </c>
      <c r="AH206" s="2" t="e">
        <f ca="1">IF(Post2020_Derivation!T249="","",Post2020_Derivation!T249)</f>
        <v>#NAME?</v>
      </c>
    </row>
    <row r="207" spans="1:34">
      <c r="A207" t="s">
        <v>502</v>
      </c>
      <c r="B207" t="s">
        <v>503</v>
      </c>
      <c r="C207" s="2">
        <v>77228</v>
      </c>
      <c r="D207" s="2"/>
      <c r="E207" s="2">
        <v>63854</v>
      </c>
      <c r="F207" s="2"/>
      <c r="G207" s="2">
        <v>65119</v>
      </c>
      <c r="H207" s="2"/>
      <c r="I207" s="2">
        <v>66384</v>
      </c>
      <c r="J207" s="2"/>
      <c r="K207" s="2">
        <v>69229</v>
      </c>
      <c r="L207" s="2"/>
      <c r="M207" s="2">
        <v>74326</v>
      </c>
      <c r="N207" s="2"/>
      <c r="O207" s="2">
        <v>82625</v>
      </c>
      <c r="P207" s="2"/>
      <c r="Q207" s="2">
        <v>88571</v>
      </c>
      <c r="R207" s="2"/>
      <c r="S207" s="2">
        <v>92869</v>
      </c>
      <c r="T207" s="2"/>
      <c r="U207" s="2">
        <v>97689</v>
      </c>
      <c r="V207" s="2"/>
      <c r="W207" s="2">
        <v>101888</v>
      </c>
      <c r="X207" s="2" t="s">
        <v>334</v>
      </c>
      <c r="Y207" s="2">
        <v>103671</v>
      </c>
      <c r="Z207" s="2"/>
      <c r="AA207" s="2">
        <v>99315</v>
      </c>
      <c r="AB207" s="2"/>
      <c r="AC207" s="2">
        <f>Post2020_Derivation!G250</f>
        <v>97012</v>
      </c>
      <c r="AD207" s="2" t="e">
        <f ca="1">IF(Post2020_Derivation!H250="","",Post2020_Derivation!H250)</f>
        <v>#NAME?</v>
      </c>
      <c r="AE207" s="2">
        <f>Post2020_Derivation!M250</f>
        <v>96255</v>
      </c>
      <c r="AF207" s="2" t="e">
        <f ca="1">IF(Post2020_Derivation!N250="","",Post2020_Derivation!N250)</f>
        <v>#NAME?</v>
      </c>
      <c r="AG207" s="2">
        <f>Post2020_Derivation!S250</f>
        <v>103518</v>
      </c>
      <c r="AH207" s="2" t="e">
        <f ca="1">IF(Post2020_Derivation!T250="","",Post2020_Derivation!T250)</f>
        <v>#NAME?</v>
      </c>
    </row>
    <row r="208" spans="1:34">
      <c r="A208" t="s">
        <v>504</v>
      </c>
      <c r="B208" t="s">
        <v>505</v>
      </c>
      <c r="C208" s="2">
        <v>8597</v>
      </c>
      <c r="D208" s="2"/>
      <c r="E208" s="2">
        <v>6722</v>
      </c>
      <c r="F208" s="2"/>
      <c r="G208" s="2">
        <v>6845</v>
      </c>
      <c r="H208" s="2"/>
      <c r="I208" s="2">
        <v>6620</v>
      </c>
      <c r="J208" s="2"/>
      <c r="K208" s="2">
        <v>6288</v>
      </c>
      <c r="L208" s="2"/>
      <c r="M208" s="2">
        <v>6552</v>
      </c>
      <c r="N208" s="2"/>
      <c r="O208" s="2">
        <v>7021</v>
      </c>
      <c r="P208" s="2"/>
      <c r="Q208" s="2">
        <v>7026</v>
      </c>
      <c r="R208" s="2"/>
      <c r="S208" s="2">
        <v>7734</v>
      </c>
      <c r="T208" s="2"/>
      <c r="U208" s="2">
        <v>8077</v>
      </c>
      <c r="V208" s="2"/>
      <c r="W208" s="2">
        <v>9051</v>
      </c>
      <c r="X208" s="2" t="s">
        <v>334</v>
      </c>
      <c r="Y208" s="2">
        <v>11447</v>
      </c>
      <c r="Z208" s="2"/>
      <c r="AA208" s="2">
        <v>12543</v>
      </c>
      <c r="AB208" s="2"/>
      <c r="AC208" s="2">
        <f>Post2020_Derivation!G251</f>
        <v>11648</v>
      </c>
      <c r="AD208" s="2" t="e">
        <f ca="1">IF(Post2020_Derivation!H251="","",Post2020_Derivation!H251)</f>
        <v>#NAME?</v>
      </c>
      <c r="AE208" s="2">
        <f>Post2020_Derivation!M251</f>
        <v>11946</v>
      </c>
      <c r="AF208" s="2" t="e">
        <f ca="1">IF(Post2020_Derivation!N251="","",Post2020_Derivation!N251)</f>
        <v>#NAME?</v>
      </c>
      <c r="AG208" s="2">
        <f>Post2020_Derivation!S251</f>
        <v>10561</v>
      </c>
      <c r="AH208" s="2" t="e">
        <f ca="1">IF(Post2020_Derivation!T251="","",Post2020_Derivation!T251)</f>
        <v>#NAME?</v>
      </c>
    </row>
    <row r="209" spans="1:34">
      <c r="A209" t="s">
        <v>506</v>
      </c>
      <c r="B209" t="s">
        <v>507</v>
      </c>
      <c r="C209" s="2" t="s">
        <v>43</v>
      </c>
      <c r="D209" s="2"/>
      <c r="E209" s="2" t="s">
        <v>43</v>
      </c>
      <c r="F209" s="2"/>
      <c r="G209" s="2" t="s">
        <v>43</v>
      </c>
      <c r="H209" s="2"/>
      <c r="I209" s="2" t="s">
        <v>43</v>
      </c>
      <c r="J209" s="2"/>
      <c r="K209" s="2" t="s">
        <v>43</v>
      </c>
      <c r="L209" s="2"/>
      <c r="M209" s="2" t="s">
        <v>43</v>
      </c>
      <c r="N209" s="2"/>
      <c r="O209" s="2" t="s">
        <v>43</v>
      </c>
      <c r="P209" s="2"/>
      <c r="Q209" s="2" t="s">
        <v>43</v>
      </c>
      <c r="R209" s="2"/>
      <c r="S209" s="2">
        <v>2969</v>
      </c>
      <c r="T209" s="2"/>
      <c r="U209" s="2">
        <v>3226</v>
      </c>
      <c r="V209" s="2"/>
      <c r="W209" s="2">
        <v>3336</v>
      </c>
      <c r="X209" s="2" t="s">
        <v>334</v>
      </c>
      <c r="Y209" s="2">
        <v>3800</v>
      </c>
      <c r="Z209" s="2"/>
      <c r="AA209" s="2">
        <v>3652</v>
      </c>
      <c r="AB209" s="2"/>
      <c r="AC209" s="2">
        <f>Post2020_Derivation!G252</f>
        <v>4270</v>
      </c>
      <c r="AD209" s="2" t="e">
        <f ca="1">IF(Post2020_Derivation!H252="","",Post2020_Derivation!H252)</f>
        <v>#NAME?</v>
      </c>
      <c r="AE209" s="2">
        <f>Post2020_Derivation!M252</f>
        <v>4550</v>
      </c>
      <c r="AF209" s="2" t="e">
        <f ca="1">IF(Post2020_Derivation!N252="","",Post2020_Derivation!N252)</f>
        <v>#NAME?</v>
      </c>
      <c r="AG209" s="2">
        <f>Post2020_Derivation!S252</f>
        <v>5412</v>
      </c>
      <c r="AH209" s="2" t="e">
        <f ca="1">IF(Post2020_Derivation!T252="","",Post2020_Derivation!T252)</f>
        <v>#NAME?</v>
      </c>
    </row>
    <row r="210" spans="1:34">
      <c r="A210" t="s">
        <v>508</v>
      </c>
      <c r="B210" t="s">
        <v>509</v>
      </c>
      <c r="C210" s="2" t="s">
        <v>43</v>
      </c>
      <c r="D210" s="2"/>
      <c r="E210" s="2" t="s">
        <v>43</v>
      </c>
      <c r="F210" s="2"/>
      <c r="G210" s="2" t="s">
        <v>43</v>
      </c>
      <c r="H210" s="2"/>
      <c r="I210" s="2" t="s">
        <v>43</v>
      </c>
      <c r="J210" s="2"/>
      <c r="K210" s="2" t="s">
        <v>43</v>
      </c>
      <c r="L210" s="2"/>
      <c r="M210" s="2" t="s">
        <v>43</v>
      </c>
      <c r="N210" s="2"/>
      <c r="O210" s="2" t="s">
        <v>43</v>
      </c>
      <c r="P210" s="2"/>
      <c r="Q210" s="2" t="s">
        <v>43</v>
      </c>
      <c r="R210" s="2"/>
      <c r="S210" s="2">
        <v>4765</v>
      </c>
      <c r="T210" s="2"/>
      <c r="U210" s="2">
        <v>4851</v>
      </c>
      <c r="V210" s="2"/>
      <c r="W210" s="2">
        <v>5715</v>
      </c>
      <c r="X210" s="2" t="s">
        <v>334</v>
      </c>
      <c r="Y210" s="2">
        <v>7647</v>
      </c>
      <c r="Z210" s="2"/>
      <c r="AA210" s="2">
        <v>8891</v>
      </c>
      <c r="AB210" s="2"/>
      <c r="AC210" s="2">
        <f>Post2020_Derivation!G253</f>
        <v>7504</v>
      </c>
      <c r="AD210" s="2" t="e">
        <f ca="1">IF(Post2020_Derivation!H253="","",Post2020_Derivation!H253)</f>
        <v>#NAME?</v>
      </c>
      <c r="AE210" s="2">
        <f>Post2020_Derivation!M253</f>
        <v>7326</v>
      </c>
      <c r="AF210" s="2" t="e">
        <f ca="1">IF(Post2020_Derivation!N253="","",Post2020_Derivation!N253)</f>
        <v>#NAME?</v>
      </c>
      <c r="AG210" s="2">
        <f>Post2020_Derivation!S253</f>
        <v>5198</v>
      </c>
      <c r="AH210" s="2" t="e">
        <f ca="1">IF(Post2020_Derivation!T253="","",Post2020_Derivation!T253)</f>
        <v>#NAME?</v>
      </c>
    </row>
    <row r="211" spans="1:34">
      <c r="A211" t="s">
        <v>994</v>
      </c>
      <c r="B211" t="s">
        <v>995</v>
      </c>
      <c r="C211" s="2">
        <v>8597</v>
      </c>
      <c r="D211" s="2"/>
      <c r="E211" s="2">
        <v>6722</v>
      </c>
      <c r="F211" s="2"/>
      <c r="G211" s="2">
        <v>6845</v>
      </c>
      <c r="H211" s="2"/>
      <c r="I211" s="2">
        <v>6620</v>
      </c>
      <c r="J211" s="2"/>
      <c r="K211" s="2">
        <v>6288</v>
      </c>
      <c r="L211" s="2"/>
      <c r="M211" s="2">
        <v>6552</v>
      </c>
      <c r="N211" s="2"/>
      <c r="O211" s="2">
        <v>7021</v>
      </c>
      <c r="P211" s="2"/>
      <c r="Q211" s="2">
        <v>7026</v>
      </c>
      <c r="R211" s="2"/>
      <c r="S211" s="2" t="s">
        <v>43</v>
      </c>
      <c r="T211" s="2"/>
      <c r="U211" s="2" t="s">
        <v>43</v>
      </c>
      <c r="V211" s="2"/>
      <c r="W211" s="2" t="s">
        <v>43</v>
      </c>
      <c r="X211" s="2"/>
      <c r="Y211" s="2" t="s">
        <v>43</v>
      </c>
      <c r="Z211" s="2"/>
      <c r="AA211" s="2" t="s">
        <v>43</v>
      </c>
      <c r="AB211" s="2"/>
      <c r="AC211" s="2" t="str">
        <f>""</f>
        <v/>
      </c>
      <c r="AD211" s="2" t="str">
        <f>""</f>
        <v/>
      </c>
      <c r="AE211" s="2" t="str">
        <f>""</f>
        <v/>
      </c>
      <c r="AF211" s="2" t="str">
        <f>""</f>
        <v/>
      </c>
      <c r="AG211" s="2" t="str">
        <f>""</f>
        <v/>
      </c>
      <c r="AH211" s="2" t="str">
        <f>""</f>
        <v/>
      </c>
    </row>
    <row r="212" spans="1:34">
      <c r="A212" t="s">
        <v>510</v>
      </c>
      <c r="B212" t="s">
        <v>511</v>
      </c>
      <c r="C212" s="2">
        <v>49161</v>
      </c>
      <c r="D212" s="2"/>
      <c r="E212" s="2">
        <v>41726</v>
      </c>
      <c r="F212" s="2"/>
      <c r="G212" s="2">
        <v>43785</v>
      </c>
      <c r="H212" s="2"/>
      <c r="I212" s="2">
        <v>44675</v>
      </c>
      <c r="J212" s="2"/>
      <c r="K212" s="2">
        <v>46428</v>
      </c>
      <c r="L212" s="2"/>
      <c r="M212" s="2">
        <v>50206</v>
      </c>
      <c r="N212" s="2"/>
      <c r="O212" s="2">
        <v>56435</v>
      </c>
      <c r="P212" s="2"/>
      <c r="Q212" s="2">
        <v>60781</v>
      </c>
      <c r="R212" s="2"/>
      <c r="S212" s="2">
        <v>63062</v>
      </c>
      <c r="T212" s="2"/>
      <c r="U212" s="2">
        <v>65062</v>
      </c>
      <c r="V212" s="2"/>
      <c r="W212" s="2">
        <v>65477</v>
      </c>
      <c r="X212" s="2" t="s">
        <v>334</v>
      </c>
      <c r="Y212" s="2">
        <v>64741</v>
      </c>
      <c r="Z212" s="2"/>
      <c r="AA212" s="2">
        <v>63237</v>
      </c>
      <c r="AB212" s="2"/>
      <c r="AC212" s="2">
        <f>Post2020_Derivation!G254</f>
        <v>60456</v>
      </c>
      <c r="AD212" s="2" t="e">
        <f ca="1">IF(Post2020_Derivation!H254="","",Post2020_Derivation!H254)</f>
        <v>#NAME?</v>
      </c>
      <c r="AE212" s="2">
        <f>Post2020_Derivation!M254</f>
        <v>60112</v>
      </c>
      <c r="AF212" s="2" t="e">
        <f ca="1">IF(Post2020_Derivation!N254="","",Post2020_Derivation!N254)</f>
        <v>#NAME?</v>
      </c>
      <c r="AG212" s="2">
        <f>Post2020_Derivation!S254</f>
        <v>67452</v>
      </c>
      <c r="AH212" s="2" t="e">
        <f ca="1">IF(Post2020_Derivation!T254="","",Post2020_Derivation!T254)</f>
        <v>#NAME?</v>
      </c>
    </row>
    <row r="213" spans="1:34">
      <c r="A213" t="s">
        <v>512</v>
      </c>
      <c r="B213" t="s">
        <v>513</v>
      </c>
      <c r="C213" s="2">
        <v>25865</v>
      </c>
      <c r="D213" s="2"/>
      <c r="E213" s="2">
        <v>21978</v>
      </c>
      <c r="F213" s="2"/>
      <c r="G213" s="2">
        <v>21988</v>
      </c>
      <c r="H213" s="2"/>
      <c r="I213" s="2">
        <v>20783</v>
      </c>
      <c r="J213" s="2"/>
      <c r="K213" s="2">
        <v>20252</v>
      </c>
      <c r="L213" s="2"/>
      <c r="M213" s="2">
        <v>20494</v>
      </c>
      <c r="N213" s="2"/>
      <c r="O213" s="2">
        <v>23607</v>
      </c>
      <c r="P213" s="2"/>
      <c r="Q213" s="2">
        <v>25188</v>
      </c>
      <c r="R213" s="2"/>
      <c r="S213" s="2">
        <v>27239</v>
      </c>
      <c r="T213" s="2"/>
      <c r="U213" s="2">
        <v>28590</v>
      </c>
      <c r="V213" s="2"/>
      <c r="W213" s="2">
        <v>27956</v>
      </c>
      <c r="X213" s="2" t="s">
        <v>334</v>
      </c>
      <c r="Y213" s="2">
        <v>27358</v>
      </c>
      <c r="Z213" s="2"/>
      <c r="AA213" s="2">
        <v>27135</v>
      </c>
      <c r="AB213" s="2"/>
      <c r="AC213" s="2">
        <f>Post2020_Derivation!G255</f>
        <v>25620</v>
      </c>
      <c r="AD213" s="2" t="e">
        <f ca="1">IF(Post2020_Derivation!H255="","",Post2020_Derivation!H255)</f>
        <v>#NAME?</v>
      </c>
      <c r="AE213" s="2">
        <f>Post2020_Derivation!M255</f>
        <v>25830</v>
      </c>
      <c r="AF213" s="2" t="e">
        <f ca="1">IF(Post2020_Derivation!N255="","",Post2020_Derivation!N255)</f>
        <v>#NAME?</v>
      </c>
      <c r="AG213" s="2">
        <f>Post2020_Derivation!S255</f>
        <v>31724</v>
      </c>
      <c r="AH213" s="2" t="e">
        <f ca="1">IF(Post2020_Derivation!T255="","",Post2020_Derivation!T255)</f>
        <v>#NAME?</v>
      </c>
    </row>
    <row r="214" spans="1:34">
      <c r="A214" t="s">
        <v>514</v>
      </c>
      <c r="B214" t="s">
        <v>515</v>
      </c>
      <c r="C214" s="2">
        <v>21416</v>
      </c>
      <c r="D214" s="2"/>
      <c r="E214" s="2">
        <v>18079</v>
      </c>
      <c r="F214" s="2"/>
      <c r="G214" s="2">
        <v>19892</v>
      </c>
      <c r="H214" s="2"/>
      <c r="I214" s="2">
        <v>21880</v>
      </c>
      <c r="J214" s="2"/>
      <c r="K214" s="2">
        <v>23961</v>
      </c>
      <c r="L214" s="2"/>
      <c r="M214" s="2">
        <v>27409</v>
      </c>
      <c r="N214" s="2"/>
      <c r="O214" s="2">
        <v>30174</v>
      </c>
      <c r="P214" s="2"/>
      <c r="Q214" s="2">
        <v>32659</v>
      </c>
      <c r="R214" s="2"/>
      <c r="S214" s="2">
        <v>32831</v>
      </c>
      <c r="T214" s="2"/>
      <c r="U214" s="2">
        <v>33421</v>
      </c>
      <c r="V214" s="2"/>
      <c r="W214" s="2">
        <v>34370</v>
      </c>
      <c r="X214" s="2" t="s">
        <v>334</v>
      </c>
      <c r="Y214" s="2">
        <v>34159</v>
      </c>
      <c r="Z214" s="2"/>
      <c r="AA214" s="2">
        <v>33970</v>
      </c>
      <c r="AB214" s="2"/>
      <c r="AC214" s="2">
        <f>Post2020_Derivation!G256</f>
        <v>32384</v>
      </c>
      <c r="AD214" s="2" t="e">
        <f ca="1">IF(Post2020_Derivation!H256="","",Post2020_Derivation!H256)</f>
        <v>#NAME?</v>
      </c>
      <c r="AE214" s="2">
        <f>Post2020_Derivation!M256</f>
        <v>32000</v>
      </c>
      <c r="AF214" s="2" t="e">
        <f ca="1">IF(Post2020_Derivation!N256="","",Post2020_Derivation!N256)</f>
        <v>#NAME?</v>
      </c>
      <c r="AG214" s="2">
        <f>Post2020_Derivation!S256</f>
        <v>32485</v>
      </c>
      <c r="AH214" s="2" t="e">
        <f ca="1">IF(Post2020_Derivation!T256="","",Post2020_Derivation!T256)</f>
        <v>#NAME?</v>
      </c>
    </row>
    <row r="215" spans="1:34">
      <c r="A215" t="s">
        <v>516</v>
      </c>
      <c r="B215" t="s">
        <v>517</v>
      </c>
      <c r="C215" s="2">
        <v>1880</v>
      </c>
      <c r="D215" s="2"/>
      <c r="E215" s="2">
        <v>1669</v>
      </c>
      <c r="F215" s="2"/>
      <c r="G215" s="2">
        <v>1905</v>
      </c>
      <c r="H215" s="2"/>
      <c r="I215" s="2">
        <v>2012</v>
      </c>
      <c r="J215" s="2"/>
      <c r="K215" s="2">
        <v>2215</v>
      </c>
      <c r="L215" s="2"/>
      <c r="M215" s="2">
        <v>2303</v>
      </c>
      <c r="N215" s="2"/>
      <c r="O215" s="2">
        <v>2654</v>
      </c>
      <c r="P215" s="2"/>
      <c r="Q215" s="2">
        <v>2934</v>
      </c>
      <c r="R215" s="2"/>
      <c r="S215" s="2">
        <v>2992</v>
      </c>
      <c r="T215" s="2"/>
      <c r="U215" s="2">
        <v>3051</v>
      </c>
      <c r="V215" s="2"/>
      <c r="W215" s="2">
        <v>3151</v>
      </c>
      <c r="X215" s="2" t="s">
        <v>334</v>
      </c>
      <c r="Y215" s="2">
        <v>3224</v>
      </c>
      <c r="Z215" s="2"/>
      <c r="AA215" s="2">
        <v>2132</v>
      </c>
      <c r="AB215" s="2"/>
      <c r="AC215" s="2">
        <f>Post2020_Derivation!G257</f>
        <v>2550</v>
      </c>
      <c r="AD215" s="2" t="e">
        <f ca="1">IF(Post2020_Derivation!H257="","",Post2020_Derivation!H257)</f>
        <v>#NAME?</v>
      </c>
      <c r="AE215" s="2">
        <f>Post2020_Derivation!M257</f>
        <v>2352</v>
      </c>
      <c r="AF215" s="2" t="e">
        <f ca="1">IF(Post2020_Derivation!N257="","",Post2020_Derivation!N257)</f>
        <v>#NAME?</v>
      </c>
      <c r="AG215" s="2">
        <f>Post2020_Derivation!S257</f>
        <v>3283</v>
      </c>
      <c r="AH215" s="2" t="e">
        <f ca="1">IF(Post2020_Derivation!T257="","",Post2020_Derivation!T257)</f>
        <v>#NAME?</v>
      </c>
    </row>
    <row r="216" spans="1:34">
      <c r="A216" t="s">
        <v>518</v>
      </c>
      <c r="B216" t="s">
        <v>519</v>
      </c>
      <c r="C216" s="2">
        <v>19470</v>
      </c>
      <c r="D216" s="2"/>
      <c r="E216" s="2">
        <v>15406</v>
      </c>
      <c r="F216" s="2"/>
      <c r="G216" s="2">
        <v>14489</v>
      </c>
      <c r="H216" s="2"/>
      <c r="I216" s="2">
        <v>15089</v>
      </c>
      <c r="J216" s="2"/>
      <c r="K216" s="2">
        <v>16513</v>
      </c>
      <c r="L216" s="2"/>
      <c r="M216" s="2">
        <v>17568</v>
      </c>
      <c r="N216" s="2"/>
      <c r="O216" s="2">
        <v>19169</v>
      </c>
      <c r="P216" s="2"/>
      <c r="Q216" s="2">
        <v>20764</v>
      </c>
      <c r="R216" s="2"/>
      <c r="S216" s="2">
        <v>22073</v>
      </c>
      <c r="T216" s="2"/>
      <c r="U216" s="2">
        <v>24550</v>
      </c>
      <c r="V216" s="2"/>
      <c r="W216" s="2">
        <v>27360</v>
      </c>
      <c r="X216" s="2" t="s">
        <v>334</v>
      </c>
      <c r="Y216" s="2">
        <v>27483</v>
      </c>
      <c r="Z216" s="2"/>
      <c r="AA216" s="2">
        <v>23535</v>
      </c>
      <c r="AB216" s="2"/>
      <c r="AC216" s="2">
        <f>Post2020_Derivation!G258</f>
        <v>24528</v>
      </c>
      <c r="AD216" s="2" t="e">
        <f ca="1">IF(Post2020_Derivation!H258="","",Post2020_Derivation!H258)</f>
        <v>#NAME?</v>
      </c>
      <c r="AE216" s="2">
        <f>Post2020_Derivation!M258</f>
        <v>24024</v>
      </c>
      <c r="AF216" s="2" t="e">
        <f ca="1">IF(Post2020_Derivation!N258="","",Post2020_Derivation!N258)</f>
        <v>#NAME?</v>
      </c>
      <c r="AG216" s="2">
        <f>Post2020_Derivation!S258</f>
        <v>25536</v>
      </c>
      <c r="AH216" s="2" t="e">
        <f ca="1">IF(Post2020_Derivation!T258="","",Post2020_Derivation!T258)</f>
        <v>#NAME?</v>
      </c>
    </row>
    <row r="217" spans="1:34">
      <c r="A217" t="s">
        <v>520</v>
      </c>
      <c r="B217" t="s">
        <v>521</v>
      </c>
      <c r="C217" s="2">
        <v>11582</v>
      </c>
      <c r="D217" s="2"/>
      <c r="E217" s="2">
        <v>9117</v>
      </c>
      <c r="F217" s="2"/>
      <c r="G217" s="2">
        <v>8003</v>
      </c>
      <c r="H217" s="2"/>
      <c r="I217" s="2">
        <v>9265</v>
      </c>
      <c r="J217" s="2"/>
      <c r="K217" s="2">
        <v>9301</v>
      </c>
      <c r="L217" s="2"/>
      <c r="M217" s="2">
        <v>9669</v>
      </c>
      <c r="N217" s="2"/>
      <c r="O217" s="2">
        <v>10362</v>
      </c>
      <c r="P217" s="2"/>
      <c r="Q217" s="2">
        <v>11353</v>
      </c>
      <c r="R217" s="2"/>
      <c r="S217" s="2">
        <v>12359</v>
      </c>
      <c r="T217" s="2"/>
      <c r="U217" s="2">
        <v>13795</v>
      </c>
      <c r="V217" s="2"/>
      <c r="W217" s="2">
        <v>14908</v>
      </c>
      <c r="X217" s="2" t="s">
        <v>334</v>
      </c>
      <c r="Y217" s="2">
        <v>13893</v>
      </c>
      <c r="Z217" s="2"/>
      <c r="AA217" s="2">
        <v>12384</v>
      </c>
      <c r="AB217" s="2"/>
      <c r="AC217" s="2">
        <f>Post2020_Derivation!G259</f>
        <v>10710</v>
      </c>
      <c r="AD217" s="2" t="e">
        <f ca="1">IF(Post2020_Derivation!H259="","",Post2020_Derivation!H259)</f>
        <v>#NAME?</v>
      </c>
      <c r="AE217" s="2">
        <f>Post2020_Derivation!M259</f>
        <v>9804</v>
      </c>
      <c r="AF217" s="2" t="e">
        <f ca="1">IF(Post2020_Derivation!N259="","",Post2020_Derivation!N259)</f>
        <v>#NAME?</v>
      </c>
      <c r="AG217" s="2">
        <f>Post2020_Derivation!S259</f>
        <v>10260</v>
      </c>
      <c r="AH217" s="2" t="e">
        <f ca="1">IF(Post2020_Derivation!T259="","",Post2020_Derivation!T259)</f>
        <v>#NAME?</v>
      </c>
    </row>
    <row r="218" spans="1:34">
      <c r="A218" t="s">
        <v>522</v>
      </c>
      <c r="B218" t="s">
        <v>523</v>
      </c>
      <c r="C218" s="2">
        <v>3196</v>
      </c>
      <c r="D218" s="2"/>
      <c r="E218" s="2">
        <v>2441</v>
      </c>
      <c r="F218" s="2"/>
      <c r="G218" s="2">
        <v>2402</v>
      </c>
      <c r="H218" s="2"/>
      <c r="I218" s="2">
        <v>2239</v>
      </c>
      <c r="J218" s="2"/>
      <c r="K218" s="2">
        <v>1990</v>
      </c>
      <c r="L218" s="2"/>
      <c r="M218" s="2">
        <v>1903</v>
      </c>
      <c r="N218" s="2"/>
      <c r="O218" s="2">
        <v>1835</v>
      </c>
      <c r="P218" s="2"/>
      <c r="Q218" s="2">
        <v>1620</v>
      </c>
      <c r="R218" s="2"/>
      <c r="S218" s="2">
        <v>1686</v>
      </c>
      <c r="T218" s="2"/>
      <c r="U218" s="2">
        <v>2120</v>
      </c>
      <c r="V218" s="2"/>
      <c r="W218" s="2">
        <v>2511</v>
      </c>
      <c r="X218" s="2" t="s">
        <v>334</v>
      </c>
      <c r="Y218" s="2">
        <v>3239</v>
      </c>
      <c r="Z218" s="2"/>
      <c r="AA218" s="2">
        <v>2462</v>
      </c>
      <c r="AB218" s="2"/>
      <c r="AC218" s="2">
        <f>Post2020_Derivation!G260</f>
        <v>3910</v>
      </c>
      <c r="AD218" s="2" t="e">
        <f ca="1">IF(Post2020_Derivation!H260="","",Post2020_Derivation!H260)</f>
        <v>#NAME?</v>
      </c>
      <c r="AE218" s="2">
        <f>Post2020_Derivation!M260</f>
        <v>3969</v>
      </c>
      <c r="AF218" s="2" t="e">
        <f ca="1">IF(Post2020_Derivation!N260="","",Post2020_Derivation!N260)</f>
        <v>#NAME?</v>
      </c>
      <c r="AG218" s="2">
        <f>Post2020_Derivation!S260</f>
        <v>5049</v>
      </c>
      <c r="AH218" s="2" t="e">
        <f ca="1">IF(Post2020_Derivation!T260="","",Post2020_Derivation!T260)</f>
        <v>#NAME?</v>
      </c>
    </row>
    <row r="219" spans="1:34">
      <c r="A219" t="s">
        <v>524</v>
      </c>
      <c r="B219" t="s">
        <v>525</v>
      </c>
      <c r="C219" s="2">
        <v>4692</v>
      </c>
      <c r="D219" s="2"/>
      <c r="E219" s="2">
        <v>3848</v>
      </c>
      <c r="F219" s="2"/>
      <c r="G219" s="2">
        <v>4084</v>
      </c>
      <c r="H219" s="2"/>
      <c r="I219" s="2">
        <v>3585</v>
      </c>
      <c r="J219" s="2"/>
      <c r="K219" s="2">
        <v>5222</v>
      </c>
      <c r="L219" s="2"/>
      <c r="M219" s="2">
        <v>5996</v>
      </c>
      <c r="N219" s="2"/>
      <c r="O219" s="2">
        <v>6972</v>
      </c>
      <c r="P219" s="2"/>
      <c r="Q219" s="2">
        <v>7791</v>
      </c>
      <c r="R219" s="2"/>
      <c r="S219" s="2">
        <v>8028</v>
      </c>
      <c r="T219" s="2"/>
      <c r="U219" s="2">
        <v>8635</v>
      </c>
      <c r="V219" s="2"/>
      <c r="W219" s="2">
        <v>9941</v>
      </c>
      <c r="X219" s="2" t="s">
        <v>334</v>
      </c>
      <c r="Y219" s="2">
        <v>10351</v>
      </c>
      <c r="Z219" s="2"/>
      <c r="AA219" s="2">
        <v>8689</v>
      </c>
      <c r="AB219" s="2"/>
      <c r="AC219" s="2">
        <f>Post2020_Derivation!G261</f>
        <v>9933</v>
      </c>
      <c r="AD219" s="2" t="e">
        <f ca="1">IF(Post2020_Derivation!H261="","",Post2020_Derivation!H261)</f>
        <v>#NAME?</v>
      </c>
      <c r="AE219" s="2">
        <f>Post2020_Derivation!M261</f>
        <v>10184</v>
      </c>
      <c r="AF219" s="2" t="e">
        <f ca="1">IF(Post2020_Derivation!N261="","",Post2020_Derivation!N261)</f>
        <v>#NAME?</v>
      </c>
      <c r="AG219" s="2">
        <f>Post2020_Derivation!S261</f>
        <v>10152</v>
      </c>
      <c r="AH219" s="2" t="e">
        <f ca="1">IF(Post2020_Derivation!T261="","",Post2020_Derivation!T261)</f>
        <v>#NAME?</v>
      </c>
    </row>
    <row r="220" spans="1:34">
      <c r="A220" t="s">
        <v>526</v>
      </c>
      <c r="B220" t="s">
        <v>527</v>
      </c>
      <c r="C220" s="2" t="s">
        <v>43</v>
      </c>
      <c r="D220" s="2" t="s">
        <v>44</v>
      </c>
      <c r="E220" s="2" t="s">
        <v>43</v>
      </c>
      <c r="F220" s="2" t="s">
        <v>44</v>
      </c>
      <c r="G220" s="2" t="s">
        <v>43</v>
      </c>
      <c r="H220" s="2" t="s">
        <v>44</v>
      </c>
      <c r="I220" s="2" t="s">
        <v>43</v>
      </c>
      <c r="J220" s="2" t="s">
        <v>44</v>
      </c>
      <c r="K220" s="2" t="s">
        <v>43</v>
      </c>
      <c r="L220" s="2" t="s">
        <v>44</v>
      </c>
      <c r="M220" s="2" t="s">
        <v>43</v>
      </c>
      <c r="N220" s="2" t="s">
        <v>44</v>
      </c>
      <c r="O220" s="2" t="s">
        <v>43</v>
      </c>
      <c r="P220" s="2" t="s">
        <v>44</v>
      </c>
      <c r="Q220" s="2" t="s">
        <v>43</v>
      </c>
      <c r="R220" s="2" t="s">
        <v>44</v>
      </c>
      <c r="S220" s="2" t="s">
        <v>43</v>
      </c>
      <c r="T220" s="2" t="s">
        <v>44</v>
      </c>
      <c r="U220" s="2" t="s">
        <v>43</v>
      </c>
      <c r="V220" s="2" t="s">
        <v>44</v>
      </c>
      <c r="W220" s="2" t="s">
        <v>43</v>
      </c>
      <c r="X220" s="2" t="s">
        <v>44</v>
      </c>
      <c r="Y220" s="2" t="s">
        <v>43</v>
      </c>
      <c r="Z220" s="2" t="s">
        <v>44</v>
      </c>
      <c r="AA220" s="2" t="s">
        <v>43</v>
      </c>
      <c r="AB220" s="2" t="s">
        <v>44</v>
      </c>
      <c r="AC220" s="2" t="str">
        <f>Post2020_Derivation!G262</f>
        <v/>
      </c>
      <c r="AD220" s="2" t="e">
        <f ca="1">IF(Post2020_Derivation!H262="","",Post2020_Derivation!H262)</f>
        <v>#NAME?</v>
      </c>
      <c r="AE220" s="2">
        <f>Post2020_Derivation!M262</f>
        <v>1130</v>
      </c>
      <c r="AF220" s="2" t="e">
        <f ca="1">IF(Post2020_Derivation!N262="","",Post2020_Derivation!N262)</f>
        <v>#NAME?</v>
      </c>
      <c r="AG220" s="2">
        <f>Post2020_Derivation!S262</f>
        <v>1190</v>
      </c>
      <c r="AH220" s="2" t="e">
        <f ca="1">IF(Post2020_Derivation!T262="","",Post2020_Derivation!T262)</f>
        <v>#NAME?</v>
      </c>
    </row>
    <row r="221" spans="1:34">
      <c r="A221" t="s">
        <v>528</v>
      </c>
      <c r="B221" t="s">
        <v>527</v>
      </c>
      <c r="C221" s="2" t="s">
        <v>43</v>
      </c>
      <c r="D221" s="2" t="s">
        <v>44</v>
      </c>
      <c r="E221" s="2" t="s">
        <v>43</v>
      </c>
      <c r="F221" s="2" t="s">
        <v>44</v>
      </c>
      <c r="G221" s="2" t="s">
        <v>43</v>
      </c>
      <c r="H221" s="2" t="s">
        <v>44</v>
      </c>
      <c r="I221" s="2" t="s">
        <v>43</v>
      </c>
      <c r="J221" s="2" t="s">
        <v>44</v>
      </c>
      <c r="K221" s="2" t="s">
        <v>43</v>
      </c>
      <c r="L221" s="2" t="s">
        <v>44</v>
      </c>
      <c r="M221" s="2" t="s">
        <v>43</v>
      </c>
      <c r="N221" s="2" t="s">
        <v>44</v>
      </c>
      <c r="O221" s="2" t="s">
        <v>43</v>
      </c>
      <c r="P221" s="2" t="s">
        <v>44</v>
      </c>
      <c r="Q221" s="2" t="s">
        <v>43</v>
      </c>
      <c r="R221" s="2" t="s">
        <v>44</v>
      </c>
      <c r="S221" s="2" t="s">
        <v>43</v>
      </c>
      <c r="T221" s="2" t="s">
        <v>44</v>
      </c>
      <c r="U221" s="2" t="s">
        <v>43</v>
      </c>
      <c r="V221" s="2" t="s">
        <v>44</v>
      </c>
      <c r="W221" s="2" t="s">
        <v>43</v>
      </c>
      <c r="X221" s="2" t="s">
        <v>44</v>
      </c>
      <c r="Y221" s="2" t="s">
        <v>43</v>
      </c>
      <c r="Z221" s="2" t="s">
        <v>44</v>
      </c>
      <c r="AA221" s="2" t="s">
        <v>43</v>
      </c>
      <c r="AB221" s="2" t="s">
        <v>44</v>
      </c>
      <c r="AC221" s="2" t="str">
        <f>Post2020_Derivation!G263</f>
        <v/>
      </c>
      <c r="AD221" s="2" t="e">
        <f ca="1">IF(Post2020_Derivation!H263="","",Post2020_Derivation!H263)</f>
        <v>#NAME?</v>
      </c>
      <c r="AE221" s="2">
        <f>Post2020_Derivation!M263</f>
        <v>1130</v>
      </c>
      <c r="AF221" s="2" t="e">
        <f ca="1">IF(Post2020_Derivation!N263="","",Post2020_Derivation!N263)</f>
        <v>#NAME?</v>
      </c>
      <c r="AG221" s="2">
        <f>Post2020_Derivation!S263</f>
        <v>1190</v>
      </c>
      <c r="AH221" s="2" t="e">
        <f ca="1">IF(Post2020_Derivation!T263="","",Post2020_Derivation!T263)</f>
        <v>#NAME?</v>
      </c>
    </row>
    <row r="222" spans="1:34">
      <c r="A222" t="s">
        <v>529</v>
      </c>
      <c r="B222" t="s">
        <v>527</v>
      </c>
      <c r="C222" s="2" t="s">
        <v>43</v>
      </c>
      <c r="D222" s="2" t="s">
        <v>44</v>
      </c>
      <c r="E222" s="2" t="s">
        <v>43</v>
      </c>
      <c r="F222" s="2" t="s">
        <v>44</v>
      </c>
      <c r="G222" s="2" t="s">
        <v>43</v>
      </c>
      <c r="H222" s="2" t="s">
        <v>44</v>
      </c>
      <c r="I222" s="2" t="s">
        <v>43</v>
      </c>
      <c r="J222" s="2" t="s">
        <v>44</v>
      </c>
      <c r="K222" s="2" t="s">
        <v>43</v>
      </c>
      <c r="L222" s="2" t="s">
        <v>44</v>
      </c>
      <c r="M222" s="2" t="s">
        <v>43</v>
      </c>
      <c r="N222" s="2" t="s">
        <v>44</v>
      </c>
      <c r="O222" s="2" t="s">
        <v>43</v>
      </c>
      <c r="P222" s="2" t="s">
        <v>44</v>
      </c>
      <c r="Q222" s="2" t="s">
        <v>43</v>
      </c>
      <c r="R222" s="2" t="s">
        <v>44</v>
      </c>
      <c r="S222" s="2" t="s">
        <v>43</v>
      </c>
      <c r="T222" s="2" t="s">
        <v>44</v>
      </c>
      <c r="U222" s="2" t="s">
        <v>43</v>
      </c>
      <c r="V222" s="2" t="s">
        <v>44</v>
      </c>
      <c r="W222" s="2" t="s">
        <v>43</v>
      </c>
      <c r="X222" s="2" t="s">
        <v>44</v>
      </c>
      <c r="Y222" s="2" t="s">
        <v>43</v>
      </c>
      <c r="Z222" s="2" t="s">
        <v>44</v>
      </c>
      <c r="AA222" s="2" t="s">
        <v>43</v>
      </c>
      <c r="AB222" s="2" t="s">
        <v>44</v>
      </c>
      <c r="AC222" s="2" t="str">
        <f>Post2020_Derivation!G264</f>
        <v/>
      </c>
      <c r="AD222" s="2" t="e">
        <f ca="1">IF(Post2020_Derivation!H264="","",Post2020_Derivation!H264)</f>
        <v>#NAME?</v>
      </c>
      <c r="AE222" s="2">
        <f>Post2020_Derivation!M264</f>
        <v>1130</v>
      </c>
      <c r="AF222" s="2" t="e">
        <f ca="1">IF(Post2020_Derivation!N264="","",Post2020_Derivation!N264)</f>
        <v>#NAME?</v>
      </c>
      <c r="AG222" s="2">
        <f>Post2020_Derivation!S264</f>
        <v>1190</v>
      </c>
      <c r="AH222" s="2" t="e">
        <f ca="1">IF(Post2020_Derivation!T264="","",Post2020_Derivation!T264)</f>
        <v>#NAME?</v>
      </c>
    </row>
    <row r="223" spans="1:34">
      <c r="A223" t="s">
        <v>530</v>
      </c>
      <c r="B223" t="s">
        <v>531</v>
      </c>
      <c r="C223" s="2">
        <v>23843</v>
      </c>
      <c r="D223" s="2"/>
      <c r="E223" s="2">
        <v>22074</v>
      </c>
      <c r="F223" s="2"/>
      <c r="G223" s="2">
        <v>19972</v>
      </c>
      <c r="H223" s="2"/>
      <c r="I223" s="2">
        <v>19864</v>
      </c>
      <c r="J223" s="2"/>
      <c r="K223" s="2">
        <v>19528</v>
      </c>
      <c r="L223" s="2"/>
      <c r="M223" s="2">
        <v>18792</v>
      </c>
      <c r="N223" s="2"/>
      <c r="O223" s="2">
        <v>18678</v>
      </c>
      <c r="P223" s="2"/>
      <c r="Q223" s="2">
        <v>20295</v>
      </c>
      <c r="R223" s="2"/>
      <c r="S223" s="2">
        <v>21060</v>
      </c>
      <c r="T223" s="2"/>
      <c r="U223" s="2">
        <v>22682</v>
      </c>
      <c r="V223" s="2"/>
      <c r="W223" s="2">
        <v>25163</v>
      </c>
      <c r="X223" s="2"/>
      <c r="Y223" s="2">
        <v>26181</v>
      </c>
      <c r="Z223" s="2"/>
      <c r="AA223" s="2">
        <v>25191</v>
      </c>
      <c r="AB223" s="2"/>
      <c r="AC223" s="2">
        <f>Post2020_Derivation!G265</f>
        <v>22800</v>
      </c>
      <c r="AD223" s="2" t="e">
        <f ca="1">IF(Post2020_Derivation!H265="","",Post2020_Derivation!H265)</f>
        <v>#NAME?</v>
      </c>
      <c r="AE223" s="2">
        <f>Post2020_Derivation!M265</f>
        <v>23069</v>
      </c>
      <c r="AF223" s="2" t="e">
        <f ca="1">IF(Post2020_Derivation!N265="","",Post2020_Derivation!N265)</f>
        <v>#NAME?</v>
      </c>
      <c r="AG223" s="2">
        <f>Post2020_Derivation!S265</f>
        <v>22931</v>
      </c>
      <c r="AH223" s="2" t="e">
        <f ca="1">IF(Post2020_Derivation!T265="","",Post2020_Derivation!T265)</f>
        <v>#NAME?</v>
      </c>
    </row>
    <row r="224" spans="1:34">
      <c r="A224" t="s">
        <v>532</v>
      </c>
      <c r="B224" t="s">
        <v>533</v>
      </c>
      <c r="C224" s="2" t="s">
        <v>43</v>
      </c>
      <c r="D224" s="2" t="s">
        <v>44</v>
      </c>
      <c r="E224" s="2">
        <v>2750</v>
      </c>
      <c r="F224" s="2"/>
      <c r="G224" s="2">
        <v>1401</v>
      </c>
      <c r="H224" s="2"/>
      <c r="I224" s="2">
        <v>1432</v>
      </c>
      <c r="J224" s="2"/>
      <c r="K224" s="2">
        <v>1330</v>
      </c>
      <c r="L224" s="2"/>
      <c r="M224" s="2">
        <v>1303</v>
      </c>
      <c r="N224" s="2"/>
      <c r="O224" s="2">
        <v>1293</v>
      </c>
      <c r="P224" s="2"/>
      <c r="Q224" s="2">
        <v>1135</v>
      </c>
      <c r="R224" s="2"/>
      <c r="S224" s="2">
        <v>1002</v>
      </c>
      <c r="T224" s="2"/>
      <c r="U224" s="2">
        <v>953</v>
      </c>
      <c r="V224" s="2"/>
      <c r="W224" s="2">
        <v>1124</v>
      </c>
      <c r="X224" s="2"/>
      <c r="Y224" s="2">
        <v>1195</v>
      </c>
      <c r="Z224" s="2"/>
      <c r="AA224" s="2">
        <v>1109</v>
      </c>
      <c r="AB224" s="2"/>
      <c r="AC224" s="2">
        <f>Post2020_Derivation!G266</f>
        <v>1045</v>
      </c>
      <c r="AD224" s="2" t="e">
        <f ca="1">IF(Post2020_Derivation!H266="","",Post2020_Derivation!H266)</f>
        <v>#NAME?</v>
      </c>
      <c r="AE224" s="2">
        <f>Post2020_Derivation!M266</f>
        <v>1155</v>
      </c>
      <c r="AF224" s="2" t="e">
        <f ca="1">IF(Post2020_Derivation!N266="","",Post2020_Derivation!N266)</f>
        <v>#NAME?</v>
      </c>
      <c r="AG224" s="2">
        <f>Post2020_Derivation!S266</f>
        <v>1122</v>
      </c>
      <c r="AH224" s="2" t="e">
        <f ca="1">IF(Post2020_Derivation!T266="","",Post2020_Derivation!T266)</f>
        <v>#NAME?</v>
      </c>
    </row>
    <row r="225" spans="1:34">
      <c r="A225" t="s">
        <v>534</v>
      </c>
      <c r="B225" t="s">
        <v>535</v>
      </c>
      <c r="C225" s="2" t="s">
        <v>43</v>
      </c>
      <c r="D225" s="2" t="s">
        <v>44</v>
      </c>
      <c r="E225" s="2">
        <v>278</v>
      </c>
      <c r="F225" s="2"/>
      <c r="G225" s="2">
        <v>222</v>
      </c>
      <c r="H225" s="2"/>
      <c r="I225" s="2">
        <v>228</v>
      </c>
      <c r="J225" s="2"/>
      <c r="K225" s="2">
        <v>210</v>
      </c>
      <c r="L225" s="2"/>
      <c r="M225" s="2">
        <v>214</v>
      </c>
      <c r="N225" s="2"/>
      <c r="O225" s="2">
        <v>216</v>
      </c>
      <c r="P225" s="2"/>
      <c r="Q225" s="2">
        <v>216</v>
      </c>
      <c r="R225" s="2"/>
      <c r="S225" s="2">
        <v>216</v>
      </c>
      <c r="T225" s="2"/>
      <c r="U225" s="2">
        <v>201</v>
      </c>
      <c r="V225" s="2"/>
      <c r="W225" s="2">
        <v>218</v>
      </c>
      <c r="X225" s="2"/>
      <c r="Y225" s="2">
        <v>254</v>
      </c>
      <c r="Z225" s="2"/>
      <c r="AA225" s="2">
        <v>203</v>
      </c>
      <c r="AB225" s="2"/>
      <c r="AC225" s="2">
        <f>Post2020_Derivation!G267</f>
        <v>200</v>
      </c>
      <c r="AD225" s="2" t="e">
        <f ca="1">IF(Post2020_Derivation!H267="","",Post2020_Derivation!H267)</f>
        <v>#NAME?</v>
      </c>
      <c r="AE225" s="2">
        <f>Post2020_Derivation!M267</f>
        <v>270</v>
      </c>
      <c r="AF225" s="2" t="e">
        <f ca="1">IF(Post2020_Derivation!N267="","",Post2020_Derivation!N267)</f>
        <v>#NAME?</v>
      </c>
      <c r="AG225" s="2">
        <f>Post2020_Derivation!S267</f>
        <v>243</v>
      </c>
      <c r="AH225" s="2" t="e">
        <f ca="1">IF(Post2020_Derivation!T267="","",Post2020_Derivation!T267)</f>
        <v>#NAME?</v>
      </c>
    </row>
    <row r="226" spans="1:34">
      <c r="A226" t="s">
        <v>536</v>
      </c>
      <c r="B226" t="s">
        <v>537</v>
      </c>
      <c r="C226" s="2">
        <v>685</v>
      </c>
      <c r="D226" s="2"/>
      <c r="E226" s="2">
        <v>592</v>
      </c>
      <c r="F226" s="2"/>
      <c r="G226" s="2">
        <v>560</v>
      </c>
      <c r="H226" s="2"/>
      <c r="I226" s="2">
        <v>541</v>
      </c>
      <c r="J226" s="2"/>
      <c r="K226" s="2">
        <v>516</v>
      </c>
      <c r="L226" s="2"/>
      <c r="M226" s="2">
        <v>534</v>
      </c>
      <c r="N226" s="2"/>
      <c r="O226" s="2">
        <v>503</v>
      </c>
      <c r="P226" s="2"/>
      <c r="Q226" s="2">
        <v>514</v>
      </c>
      <c r="R226" s="2"/>
      <c r="S226" s="2">
        <v>528</v>
      </c>
      <c r="T226" s="2"/>
      <c r="U226" s="2">
        <v>523</v>
      </c>
      <c r="V226" s="2"/>
      <c r="W226" s="2">
        <v>674</v>
      </c>
      <c r="X226" s="2"/>
      <c r="Y226" s="2">
        <v>700</v>
      </c>
      <c r="Z226" s="2"/>
      <c r="AA226" s="2">
        <v>710</v>
      </c>
      <c r="AB226" s="2"/>
      <c r="AC226" s="2">
        <f>Post2020_Derivation!G268</f>
        <v>672</v>
      </c>
      <c r="AD226" s="2" t="e">
        <f ca="1">IF(Post2020_Derivation!H268="","",Post2020_Derivation!H268)</f>
        <v>#NAME?</v>
      </c>
      <c r="AE226" s="2">
        <f>Post2020_Derivation!M268</f>
        <v>645</v>
      </c>
      <c r="AF226" s="2" t="e">
        <f ca="1">IF(Post2020_Derivation!N268="","",Post2020_Derivation!N268)</f>
        <v>#NAME?</v>
      </c>
      <c r="AG226" s="2">
        <f>Post2020_Derivation!S268</f>
        <v>640</v>
      </c>
      <c r="AH226" s="2" t="e">
        <f ca="1">IF(Post2020_Derivation!T268="","",Post2020_Derivation!T268)</f>
        <v>#NAME?</v>
      </c>
    </row>
    <row r="227" spans="1:34">
      <c r="A227" t="s">
        <v>538</v>
      </c>
      <c r="B227" t="s">
        <v>539</v>
      </c>
      <c r="C227" s="2">
        <v>770</v>
      </c>
      <c r="D227" s="2"/>
      <c r="E227" s="2">
        <v>1881</v>
      </c>
      <c r="F227" s="2"/>
      <c r="G227" s="2">
        <v>619</v>
      </c>
      <c r="H227" s="2"/>
      <c r="I227" s="2">
        <v>663</v>
      </c>
      <c r="J227" s="2"/>
      <c r="K227" s="2">
        <v>603</v>
      </c>
      <c r="L227" s="2"/>
      <c r="M227" s="2">
        <v>555</v>
      </c>
      <c r="N227" s="2"/>
      <c r="O227" s="2">
        <v>574</v>
      </c>
      <c r="P227" s="2"/>
      <c r="Q227" s="2">
        <v>405</v>
      </c>
      <c r="R227" s="2"/>
      <c r="S227" s="2">
        <v>259</v>
      </c>
      <c r="T227" s="2"/>
      <c r="U227" s="2">
        <v>230</v>
      </c>
      <c r="V227" s="2"/>
      <c r="W227" s="2">
        <v>232</v>
      </c>
      <c r="X227" s="2"/>
      <c r="Y227" s="2">
        <v>241</v>
      </c>
      <c r="Z227" s="2"/>
      <c r="AA227" s="2">
        <v>196</v>
      </c>
      <c r="AB227" s="2"/>
      <c r="AC227" s="2">
        <f>Post2020_Derivation!G269</f>
        <v>196</v>
      </c>
      <c r="AD227" s="2" t="e">
        <f ca="1">IF(Post2020_Derivation!H269="","",Post2020_Derivation!H269)</f>
        <v>#NAME?</v>
      </c>
      <c r="AE227" s="2">
        <f>Post2020_Derivation!M269</f>
        <v>224</v>
      </c>
      <c r="AF227" s="2" t="e">
        <f ca="1">IF(Post2020_Derivation!N269="","",Post2020_Derivation!N269)</f>
        <v>#NAME?</v>
      </c>
      <c r="AG227" s="2">
        <f>Post2020_Derivation!S269</f>
        <v>245</v>
      </c>
      <c r="AH227" s="2" t="e">
        <f ca="1">IF(Post2020_Derivation!T269="","",Post2020_Derivation!T269)</f>
        <v>#NAME?</v>
      </c>
    </row>
    <row r="228" spans="1:34">
      <c r="A228" t="s">
        <v>540</v>
      </c>
      <c r="B228" t="s">
        <v>541</v>
      </c>
      <c r="C228" s="2" t="s">
        <v>43</v>
      </c>
      <c r="D228" s="2" t="s">
        <v>44</v>
      </c>
      <c r="E228" s="2">
        <v>3708</v>
      </c>
      <c r="F228" s="2"/>
      <c r="G228" s="2">
        <v>4166</v>
      </c>
      <c r="H228" s="2"/>
      <c r="I228" s="2">
        <v>3890</v>
      </c>
      <c r="J228" s="2"/>
      <c r="K228" s="2">
        <v>3922</v>
      </c>
      <c r="L228" s="2"/>
      <c r="M228" s="2">
        <v>4022</v>
      </c>
      <c r="N228" s="2"/>
      <c r="O228" s="2">
        <v>3914</v>
      </c>
      <c r="P228" s="2"/>
      <c r="Q228" s="2">
        <v>4421</v>
      </c>
      <c r="R228" s="2"/>
      <c r="S228" s="2">
        <v>4612</v>
      </c>
      <c r="T228" s="2"/>
      <c r="U228" s="2">
        <v>4925</v>
      </c>
      <c r="V228" s="2"/>
      <c r="W228" s="2">
        <v>5405</v>
      </c>
      <c r="X228" s="2"/>
      <c r="Y228" s="2">
        <v>5604</v>
      </c>
      <c r="Z228" s="2"/>
      <c r="AA228" s="2">
        <v>5433</v>
      </c>
      <c r="AB228" s="2"/>
      <c r="AC228" s="2">
        <f>Post2020_Derivation!G270</f>
        <v>5380</v>
      </c>
      <c r="AD228" s="2" t="e">
        <f ca="1">IF(Post2020_Derivation!H270="","",Post2020_Derivation!H270)</f>
        <v>#NAME?</v>
      </c>
      <c r="AE228" s="2">
        <f>Post2020_Derivation!M270</f>
        <v>5760</v>
      </c>
      <c r="AF228" s="2" t="e">
        <f ca="1">IF(Post2020_Derivation!N270="","",Post2020_Derivation!N270)</f>
        <v>#NAME?</v>
      </c>
      <c r="AG228" s="2">
        <f>Post2020_Derivation!S270</f>
        <v>5660</v>
      </c>
      <c r="AH228" s="2" t="e">
        <f ca="1">IF(Post2020_Derivation!T270="","",Post2020_Derivation!T270)</f>
        <v>#NAME?</v>
      </c>
    </row>
    <row r="229" spans="1:34">
      <c r="A229" t="s">
        <v>542</v>
      </c>
      <c r="B229" t="s">
        <v>543</v>
      </c>
      <c r="C229" s="2">
        <v>2530</v>
      </c>
      <c r="D229" s="2"/>
      <c r="E229" s="2">
        <v>1247</v>
      </c>
      <c r="F229" s="2"/>
      <c r="G229" s="2">
        <v>2078</v>
      </c>
      <c r="H229" s="2"/>
      <c r="I229" s="2">
        <v>2000</v>
      </c>
      <c r="J229" s="2"/>
      <c r="K229" s="2">
        <v>2143</v>
      </c>
      <c r="L229" s="2"/>
      <c r="M229" s="2">
        <v>2286</v>
      </c>
      <c r="N229" s="2"/>
      <c r="O229" s="2">
        <v>2153</v>
      </c>
      <c r="P229" s="2"/>
      <c r="Q229" s="2">
        <v>2569</v>
      </c>
      <c r="R229" s="2"/>
      <c r="S229" s="2">
        <v>2702</v>
      </c>
      <c r="T229" s="2"/>
      <c r="U229" s="2">
        <v>2833</v>
      </c>
      <c r="V229" s="2"/>
      <c r="W229" s="2">
        <v>2886</v>
      </c>
      <c r="X229" s="2"/>
      <c r="Y229" s="2">
        <v>3045</v>
      </c>
      <c r="Z229" s="2"/>
      <c r="AA229" s="2">
        <v>2910</v>
      </c>
      <c r="AB229" s="2"/>
      <c r="AC229" s="2">
        <f>Post2020_Derivation!G271</f>
        <v>2870</v>
      </c>
      <c r="AD229" s="2" t="e">
        <f ca="1">IF(Post2020_Derivation!H271="","",Post2020_Derivation!H271)</f>
        <v>#NAME?</v>
      </c>
      <c r="AE229" s="2">
        <f>Post2020_Derivation!M271</f>
        <v>3080</v>
      </c>
      <c r="AF229" s="2" t="e">
        <f ca="1">IF(Post2020_Derivation!N271="","",Post2020_Derivation!N271)</f>
        <v>#NAME?</v>
      </c>
      <c r="AG229" s="2">
        <f>Post2020_Derivation!S271</f>
        <v>3204</v>
      </c>
      <c r="AH229" s="2" t="e">
        <f ca="1">IF(Post2020_Derivation!T271="","",Post2020_Derivation!T271)</f>
        <v>#NAME?</v>
      </c>
    </row>
    <row r="230" spans="1:34">
      <c r="A230" t="s">
        <v>544</v>
      </c>
      <c r="B230" t="s">
        <v>545</v>
      </c>
      <c r="C230" s="2">
        <v>2238</v>
      </c>
      <c r="D230" s="2"/>
      <c r="E230" s="2">
        <v>1929</v>
      </c>
      <c r="F230" s="2"/>
      <c r="G230" s="2">
        <v>1582</v>
      </c>
      <c r="H230" s="2"/>
      <c r="I230" s="2">
        <v>1436</v>
      </c>
      <c r="J230" s="2"/>
      <c r="K230" s="2">
        <v>1370</v>
      </c>
      <c r="L230" s="2"/>
      <c r="M230" s="2">
        <v>1299</v>
      </c>
      <c r="N230" s="2"/>
      <c r="O230" s="2">
        <v>1345</v>
      </c>
      <c r="P230" s="2"/>
      <c r="Q230" s="2">
        <v>1420</v>
      </c>
      <c r="R230" s="2"/>
      <c r="S230" s="2">
        <v>1482</v>
      </c>
      <c r="T230" s="2"/>
      <c r="U230" s="2">
        <v>1646</v>
      </c>
      <c r="V230" s="2"/>
      <c r="W230" s="2">
        <v>1704</v>
      </c>
      <c r="X230" s="2"/>
      <c r="Y230" s="2">
        <v>1678</v>
      </c>
      <c r="Z230" s="2"/>
      <c r="AA230" s="2">
        <v>1646</v>
      </c>
      <c r="AB230" s="2"/>
      <c r="AC230" s="2">
        <f>Post2020_Derivation!G272</f>
        <v>1660</v>
      </c>
      <c r="AD230" s="2" t="e">
        <f ca="1">IF(Post2020_Derivation!H272="","",Post2020_Derivation!H272)</f>
        <v>#NAME?</v>
      </c>
      <c r="AE230" s="2">
        <f>Post2020_Derivation!M272</f>
        <v>1810</v>
      </c>
      <c r="AF230" s="2" t="e">
        <f ca="1">IF(Post2020_Derivation!N272="","",Post2020_Derivation!N272)</f>
        <v>#NAME?</v>
      </c>
      <c r="AG230" s="2">
        <f>Post2020_Derivation!S272</f>
        <v>1780</v>
      </c>
      <c r="AH230" s="2" t="e">
        <f ca="1">IF(Post2020_Derivation!T272="","",Post2020_Derivation!T272)</f>
        <v>#NAME?</v>
      </c>
    </row>
    <row r="231" spans="1:34">
      <c r="A231" t="s">
        <v>546</v>
      </c>
      <c r="B231" t="s">
        <v>547</v>
      </c>
      <c r="C231" s="2" t="s">
        <v>43</v>
      </c>
      <c r="D231" s="2" t="s">
        <v>44</v>
      </c>
      <c r="E231" s="2">
        <v>533</v>
      </c>
      <c r="F231" s="2"/>
      <c r="G231" s="2">
        <v>506</v>
      </c>
      <c r="H231" s="2"/>
      <c r="I231" s="2">
        <v>455</v>
      </c>
      <c r="J231" s="2"/>
      <c r="K231" s="2">
        <v>410</v>
      </c>
      <c r="L231" s="2"/>
      <c r="M231" s="2">
        <v>437</v>
      </c>
      <c r="N231" s="2"/>
      <c r="O231" s="2">
        <v>416</v>
      </c>
      <c r="P231" s="2"/>
      <c r="Q231" s="2">
        <v>431</v>
      </c>
      <c r="R231" s="2"/>
      <c r="S231" s="2">
        <v>429</v>
      </c>
      <c r="T231" s="2"/>
      <c r="U231" s="2">
        <v>446</v>
      </c>
      <c r="V231" s="2"/>
      <c r="W231" s="2">
        <v>815</v>
      </c>
      <c r="X231" s="2"/>
      <c r="Y231" s="2">
        <v>881</v>
      </c>
      <c r="Z231" s="2"/>
      <c r="AA231" s="2">
        <v>877</v>
      </c>
      <c r="AB231" s="2"/>
      <c r="AC231" s="2">
        <f>Post2020_Derivation!G273</f>
        <v>840</v>
      </c>
      <c r="AD231" s="2" t="e">
        <f ca="1">IF(Post2020_Derivation!H273="","",Post2020_Derivation!H273)</f>
        <v>#NAME?</v>
      </c>
      <c r="AE231" s="2">
        <f>Post2020_Derivation!M273</f>
        <v>798</v>
      </c>
      <c r="AF231" s="2" t="e">
        <f ca="1">IF(Post2020_Derivation!N273="","",Post2020_Derivation!N273)</f>
        <v>#NAME?</v>
      </c>
      <c r="AG231" s="2">
        <f>Post2020_Derivation!S273</f>
        <v>720</v>
      </c>
      <c r="AH231" s="2" t="e">
        <f ca="1">IF(Post2020_Derivation!T273="","",Post2020_Derivation!T273)</f>
        <v>#NAME?</v>
      </c>
    </row>
    <row r="232" spans="1:34">
      <c r="A232" t="s">
        <v>548</v>
      </c>
      <c r="B232" t="s">
        <v>549</v>
      </c>
      <c r="C232" s="2">
        <v>4132</v>
      </c>
      <c r="D232" s="2"/>
      <c r="E232" s="2">
        <v>3909</v>
      </c>
      <c r="F232" s="2"/>
      <c r="G232" s="2">
        <v>3424</v>
      </c>
      <c r="H232" s="2"/>
      <c r="I232" s="2">
        <v>3265</v>
      </c>
      <c r="J232" s="2"/>
      <c r="K232" s="2">
        <v>3050</v>
      </c>
      <c r="L232" s="2"/>
      <c r="M232" s="2">
        <v>2849</v>
      </c>
      <c r="N232" s="2"/>
      <c r="O232" s="2">
        <v>2747</v>
      </c>
      <c r="P232" s="2"/>
      <c r="Q232" s="2">
        <v>3380</v>
      </c>
      <c r="R232" s="2"/>
      <c r="S232" s="2">
        <v>3678</v>
      </c>
      <c r="T232" s="2"/>
      <c r="U232" s="2">
        <v>3887</v>
      </c>
      <c r="V232" s="2"/>
      <c r="W232" s="2">
        <v>4324</v>
      </c>
      <c r="X232" s="2"/>
      <c r="Y232" s="2">
        <v>4667</v>
      </c>
      <c r="Z232" s="2"/>
      <c r="AA232" s="2">
        <v>4611</v>
      </c>
      <c r="AB232" s="2"/>
      <c r="AC232" s="2">
        <f>Post2020_Derivation!G274</f>
        <v>3344</v>
      </c>
      <c r="AD232" s="2" t="e">
        <f ca="1">IF(Post2020_Derivation!H274="","",Post2020_Derivation!H274)</f>
        <v>#NAME?</v>
      </c>
      <c r="AE232" s="2">
        <f>Post2020_Derivation!M274</f>
        <v>3520</v>
      </c>
      <c r="AF232" s="2" t="e">
        <f ca="1">IF(Post2020_Derivation!N274="","",Post2020_Derivation!N274)</f>
        <v>#NAME?</v>
      </c>
      <c r="AG232" s="2">
        <f>Post2020_Derivation!S274</f>
        <v>3310</v>
      </c>
      <c r="AH232" s="2" t="e">
        <f ca="1">IF(Post2020_Derivation!T274="","",Post2020_Derivation!T274)</f>
        <v>#NAME?</v>
      </c>
    </row>
    <row r="233" spans="1:34">
      <c r="A233" t="s">
        <v>550</v>
      </c>
      <c r="B233" t="s">
        <v>551</v>
      </c>
      <c r="C233" s="2">
        <v>1065</v>
      </c>
      <c r="D233" s="2"/>
      <c r="E233" s="2">
        <v>1103</v>
      </c>
      <c r="F233" s="2"/>
      <c r="G233" s="2">
        <v>897</v>
      </c>
      <c r="H233" s="2"/>
      <c r="I233" s="2">
        <v>808</v>
      </c>
      <c r="J233" s="2"/>
      <c r="K233" s="2">
        <v>656</v>
      </c>
      <c r="L233" s="2"/>
      <c r="M233" s="2">
        <v>635</v>
      </c>
      <c r="N233" s="2"/>
      <c r="O233" s="2">
        <v>639</v>
      </c>
      <c r="P233" s="2"/>
      <c r="Q233" s="2">
        <v>675</v>
      </c>
      <c r="R233" s="2"/>
      <c r="S233" s="2">
        <v>635</v>
      </c>
      <c r="T233" s="2"/>
      <c r="U233" s="2">
        <v>580</v>
      </c>
      <c r="V233" s="2"/>
      <c r="W233" s="2">
        <v>586</v>
      </c>
      <c r="X233" s="2"/>
      <c r="Y233" s="2">
        <v>586</v>
      </c>
      <c r="Z233" s="2"/>
      <c r="AA233" s="2">
        <v>521</v>
      </c>
      <c r="AB233" s="2"/>
      <c r="AC233" s="2">
        <f>Post2020_Derivation!G275</f>
        <v>568</v>
      </c>
      <c r="AD233" s="2" t="e">
        <f ca="1">IF(Post2020_Derivation!H275="","",Post2020_Derivation!H275)</f>
        <v>#NAME?</v>
      </c>
      <c r="AE233" s="2" t="str">
        <f>Post2020_Derivation!M275</f>
        <v/>
      </c>
      <c r="AF233" s="2" t="e">
        <f ca="1">IF(Post2020_Derivation!N275="","",Post2020_Derivation!N275)</f>
        <v>#NAME?</v>
      </c>
      <c r="AG233" s="2" t="str">
        <f>Post2020_Derivation!S275</f>
        <v/>
      </c>
      <c r="AH233" s="2" t="e">
        <f ca="1">IF(Post2020_Derivation!T275="","",Post2020_Derivation!T275)</f>
        <v>#NAME?</v>
      </c>
    </row>
    <row r="234" spans="1:34">
      <c r="A234" t="s">
        <v>552</v>
      </c>
      <c r="B234" t="s">
        <v>553</v>
      </c>
      <c r="C234" s="2">
        <v>571</v>
      </c>
      <c r="D234" s="2"/>
      <c r="E234" s="2" t="s">
        <v>43</v>
      </c>
      <c r="F234" s="2" t="s">
        <v>44</v>
      </c>
      <c r="G234" s="2">
        <v>765</v>
      </c>
      <c r="H234" s="2"/>
      <c r="I234" s="2">
        <v>717</v>
      </c>
      <c r="J234" s="2"/>
      <c r="K234" s="2">
        <v>613</v>
      </c>
      <c r="L234" s="2"/>
      <c r="M234" s="2">
        <v>589</v>
      </c>
      <c r="N234" s="2"/>
      <c r="O234" s="2">
        <v>547</v>
      </c>
      <c r="P234" s="2"/>
      <c r="Q234" s="2">
        <v>1086</v>
      </c>
      <c r="R234" s="2"/>
      <c r="S234" s="2">
        <v>1351</v>
      </c>
      <c r="T234" s="2"/>
      <c r="U234" s="2">
        <v>1521</v>
      </c>
      <c r="V234" s="2"/>
      <c r="W234" s="2">
        <v>1756</v>
      </c>
      <c r="X234" s="2"/>
      <c r="Y234" s="2">
        <v>2016</v>
      </c>
      <c r="Z234" s="2"/>
      <c r="AA234" s="2">
        <v>2122</v>
      </c>
      <c r="AB234" s="2"/>
      <c r="AC234" s="2">
        <f>Post2020_Derivation!G276</f>
        <v>728</v>
      </c>
      <c r="AD234" s="2" t="e">
        <f ca="1">IF(Post2020_Derivation!H276="","",Post2020_Derivation!H276)</f>
        <v>#NAME?</v>
      </c>
      <c r="AE234" s="2">
        <f>Post2020_Derivation!M276</f>
        <v>744</v>
      </c>
      <c r="AF234" s="2" t="e">
        <f ca="1">IF(Post2020_Derivation!N276="","",Post2020_Derivation!N276)</f>
        <v>#NAME?</v>
      </c>
      <c r="AG234" s="2">
        <f>Post2020_Derivation!S276</f>
        <v>686</v>
      </c>
      <c r="AH234" s="2" t="e">
        <f ca="1">IF(Post2020_Derivation!T276="","",Post2020_Derivation!T276)</f>
        <v>#NAME?</v>
      </c>
    </row>
    <row r="235" spans="1:34">
      <c r="A235" t="s">
        <v>554</v>
      </c>
      <c r="B235" t="s">
        <v>555</v>
      </c>
      <c r="C235" s="2">
        <v>2356</v>
      </c>
      <c r="D235" s="2"/>
      <c r="E235" s="2">
        <v>2017</v>
      </c>
      <c r="F235" s="2"/>
      <c r="G235" s="2">
        <v>1641</v>
      </c>
      <c r="H235" s="2"/>
      <c r="I235" s="2">
        <v>1588</v>
      </c>
      <c r="J235" s="2"/>
      <c r="K235" s="2">
        <v>1625</v>
      </c>
      <c r="L235" s="2"/>
      <c r="M235" s="2">
        <v>1468</v>
      </c>
      <c r="N235" s="2"/>
      <c r="O235" s="2">
        <v>1420</v>
      </c>
      <c r="P235" s="2"/>
      <c r="Q235" s="2">
        <v>1455</v>
      </c>
      <c r="R235" s="2"/>
      <c r="S235" s="2">
        <v>1490</v>
      </c>
      <c r="T235" s="2"/>
      <c r="U235" s="2">
        <v>1565</v>
      </c>
      <c r="V235" s="2"/>
      <c r="W235" s="2">
        <v>1744</v>
      </c>
      <c r="X235" s="2"/>
      <c r="Y235" s="2">
        <v>1816</v>
      </c>
      <c r="Z235" s="2"/>
      <c r="AA235" s="2">
        <v>1719</v>
      </c>
      <c r="AB235" s="2"/>
      <c r="AC235" s="2">
        <f>Post2020_Derivation!G277</f>
        <v>1755</v>
      </c>
      <c r="AD235" s="2" t="e">
        <f ca="1">IF(Post2020_Derivation!H277="","",Post2020_Derivation!H277)</f>
        <v>#NAME?</v>
      </c>
      <c r="AE235" s="2" t="str">
        <f>Post2020_Derivation!M277</f>
        <v/>
      </c>
      <c r="AF235" s="2" t="e">
        <f ca="1">IF(Post2020_Derivation!N277="","",Post2020_Derivation!N277)</f>
        <v>#NAME?</v>
      </c>
      <c r="AG235" s="2" t="str">
        <f>Post2020_Derivation!S277</f>
        <v/>
      </c>
      <c r="AH235" s="2" t="e">
        <f ca="1">IF(Post2020_Derivation!T277="","",Post2020_Derivation!T277)</f>
        <v>#NAME?</v>
      </c>
    </row>
    <row r="236" spans="1:34">
      <c r="A236" t="s">
        <v>556</v>
      </c>
      <c r="B236" t="s">
        <v>557</v>
      </c>
      <c r="C236" s="2">
        <v>141</v>
      </c>
      <c r="D236" s="2"/>
      <c r="E236" s="2" t="s">
        <v>43</v>
      </c>
      <c r="F236" s="2" t="s">
        <v>44</v>
      </c>
      <c r="G236" s="2">
        <v>121</v>
      </c>
      <c r="H236" s="2"/>
      <c r="I236" s="2">
        <v>152</v>
      </c>
      <c r="J236" s="2"/>
      <c r="K236" s="2">
        <v>157</v>
      </c>
      <c r="L236" s="2"/>
      <c r="M236" s="2">
        <v>157</v>
      </c>
      <c r="N236" s="2"/>
      <c r="O236" s="2">
        <v>141</v>
      </c>
      <c r="P236" s="2"/>
      <c r="Q236" s="2">
        <v>164</v>
      </c>
      <c r="R236" s="2"/>
      <c r="S236" s="2">
        <v>201</v>
      </c>
      <c r="T236" s="2"/>
      <c r="U236" s="2">
        <v>220</v>
      </c>
      <c r="V236" s="2"/>
      <c r="W236" s="2">
        <v>237</v>
      </c>
      <c r="X236" s="2"/>
      <c r="Y236" s="2">
        <v>250</v>
      </c>
      <c r="Z236" s="2"/>
      <c r="AA236" s="2">
        <v>249</v>
      </c>
      <c r="AB236" s="2"/>
      <c r="AC236" s="2">
        <f>Post2020_Derivation!G278</f>
        <v>250</v>
      </c>
      <c r="AD236" s="2" t="e">
        <f ca="1">IF(Post2020_Derivation!H278="","",Post2020_Derivation!H278)</f>
        <v>#NAME?</v>
      </c>
      <c r="AE236" s="2">
        <f>Post2020_Derivation!M278</f>
        <v>275</v>
      </c>
      <c r="AF236" s="2" t="e">
        <f ca="1">IF(Post2020_Derivation!N278="","",Post2020_Derivation!N278)</f>
        <v>#NAME?</v>
      </c>
      <c r="AG236" s="2">
        <f>Post2020_Derivation!S278</f>
        <v>250</v>
      </c>
      <c r="AH236" s="2" t="e">
        <f ca="1">IF(Post2020_Derivation!T278="","",Post2020_Derivation!T278)</f>
        <v>#NAME?</v>
      </c>
    </row>
    <row r="237" spans="1:34">
      <c r="A237" t="s">
        <v>562</v>
      </c>
      <c r="B237" t="s">
        <v>563</v>
      </c>
      <c r="C237" s="2">
        <v>12695</v>
      </c>
      <c r="D237" s="2"/>
      <c r="E237" s="2">
        <v>11661</v>
      </c>
      <c r="F237" s="2"/>
      <c r="G237" s="2">
        <v>10979</v>
      </c>
      <c r="H237" s="2"/>
      <c r="I237" s="2">
        <v>11270</v>
      </c>
      <c r="J237" s="2"/>
      <c r="K237" s="2">
        <v>11225</v>
      </c>
      <c r="L237" s="2"/>
      <c r="M237" s="2">
        <v>10576</v>
      </c>
      <c r="N237" s="2"/>
      <c r="O237" s="2">
        <v>10690</v>
      </c>
      <c r="P237" s="2"/>
      <c r="Q237" s="2">
        <v>11324</v>
      </c>
      <c r="R237" s="2"/>
      <c r="S237" s="2">
        <v>11731</v>
      </c>
      <c r="T237" s="2"/>
      <c r="U237" s="2">
        <v>12877</v>
      </c>
      <c r="V237" s="2"/>
      <c r="W237" s="2">
        <v>14289</v>
      </c>
      <c r="X237" s="2"/>
      <c r="Y237" s="2">
        <v>14690</v>
      </c>
      <c r="Z237" s="2"/>
      <c r="AA237" s="2">
        <v>13980</v>
      </c>
      <c r="AB237" s="2"/>
      <c r="AC237" s="2">
        <f>Post2020_Derivation!G281</f>
        <v>13311</v>
      </c>
      <c r="AD237" s="2" t="e">
        <f ca="1">IF(Post2020_Derivation!H281="","",Post2020_Derivation!H281)</f>
        <v>#NAME?</v>
      </c>
      <c r="AE237" s="2">
        <f>Post2020_Derivation!M281</f>
        <v>13056</v>
      </c>
      <c r="AF237" s="2" t="e">
        <f ca="1">IF(Post2020_Derivation!N281="","",Post2020_Derivation!N281)</f>
        <v>#NAME?</v>
      </c>
      <c r="AG237" s="2">
        <f>Post2020_Derivation!S281</f>
        <v>13132</v>
      </c>
      <c r="AH237" s="2" t="e">
        <f ca="1">IF(Post2020_Derivation!T281="","",Post2020_Derivation!T281)</f>
        <v>#NAME?</v>
      </c>
    </row>
    <row r="238" spans="1:34">
      <c r="A238" t="s">
        <v>564</v>
      </c>
      <c r="B238" t="s">
        <v>565</v>
      </c>
      <c r="C238" s="2">
        <v>9124</v>
      </c>
      <c r="D238" s="2"/>
      <c r="E238" s="2">
        <v>8413</v>
      </c>
      <c r="F238" s="2"/>
      <c r="G238" s="2">
        <v>7903</v>
      </c>
      <c r="H238" s="2"/>
      <c r="I238" s="2">
        <v>8165</v>
      </c>
      <c r="J238" s="2"/>
      <c r="K238" s="2">
        <v>8110</v>
      </c>
      <c r="L238" s="2"/>
      <c r="M238" s="2">
        <v>8200</v>
      </c>
      <c r="N238" s="2"/>
      <c r="O238" s="2">
        <v>7492</v>
      </c>
      <c r="P238" s="2"/>
      <c r="Q238" s="2">
        <v>7673</v>
      </c>
      <c r="R238" s="2"/>
      <c r="S238" s="2">
        <v>7880</v>
      </c>
      <c r="T238" s="2"/>
      <c r="U238" s="2">
        <v>8367</v>
      </c>
      <c r="V238" s="2"/>
      <c r="W238" s="2">
        <v>8581</v>
      </c>
      <c r="X238" s="2"/>
      <c r="Y238" s="2">
        <v>9091</v>
      </c>
      <c r="Z238" s="2"/>
      <c r="AA238" s="2">
        <v>8821</v>
      </c>
      <c r="AB238" s="2"/>
      <c r="AC238" s="2" t="str">
        <f>Post2020_Derivation!G282</f>
        <v/>
      </c>
      <c r="AD238" s="2" t="e">
        <f ca="1">IF(Post2020_Derivation!H282="","",Post2020_Derivation!H282)</f>
        <v>#NAME?</v>
      </c>
      <c r="AE238" s="2">
        <f>Post2020_Derivation!M282</f>
        <v>8880</v>
      </c>
      <c r="AF238" s="2" t="e">
        <f ca="1">IF(Post2020_Derivation!N282="","",Post2020_Derivation!N282)</f>
        <v>#NAME?</v>
      </c>
      <c r="AG238" s="2">
        <f>Post2020_Derivation!S282</f>
        <v>9030</v>
      </c>
      <c r="AH238" s="2" t="e">
        <f ca="1">IF(Post2020_Derivation!T282="","",Post2020_Derivation!T282)</f>
        <v>#NAME?</v>
      </c>
    </row>
    <row r="239" spans="1:34">
      <c r="A239" t="s">
        <v>566</v>
      </c>
      <c r="B239" t="s">
        <v>567</v>
      </c>
      <c r="C239" s="2">
        <v>3571</v>
      </c>
      <c r="D239" s="2"/>
      <c r="E239" s="2">
        <v>3248</v>
      </c>
      <c r="F239" s="2"/>
      <c r="G239" s="2">
        <v>3076</v>
      </c>
      <c r="H239" s="2"/>
      <c r="I239" s="2">
        <v>3106</v>
      </c>
      <c r="J239" s="2"/>
      <c r="K239" s="2">
        <v>3116</v>
      </c>
      <c r="L239" s="2"/>
      <c r="M239" s="2">
        <v>2376</v>
      </c>
      <c r="N239" s="2"/>
      <c r="O239" s="2">
        <v>3199</v>
      </c>
      <c r="P239" s="2"/>
      <c r="Q239" s="2">
        <v>3651</v>
      </c>
      <c r="R239" s="2"/>
      <c r="S239" s="2">
        <v>3851</v>
      </c>
      <c r="T239" s="2"/>
      <c r="U239" s="2">
        <v>4510</v>
      </c>
      <c r="V239" s="2"/>
      <c r="W239" s="2">
        <v>5708</v>
      </c>
      <c r="X239" s="2"/>
      <c r="Y239" s="2">
        <v>5599</v>
      </c>
      <c r="Z239" s="2"/>
      <c r="AA239" s="2">
        <v>5159</v>
      </c>
      <c r="AB239" s="2"/>
      <c r="AC239" s="2" t="str">
        <f>Post2020_Derivation!G283</f>
        <v/>
      </c>
      <c r="AD239" s="2" t="e">
        <f ca="1">IF(Post2020_Derivation!H283="","",Post2020_Derivation!H283)</f>
        <v>#NAME?</v>
      </c>
      <c r="AE239" s="2">
        <f>Post2020_Derivation!M283</f>
        <v>4250</v>
      </c>
      <c r="AF239" s="2" t="e">
        <f ca="1">IF(Post2020_Derivation!N283="","",Post2020_Derivation!N283)</f>
        <v>#NAME?</v>
      </c>
      <c r="AG239" s="2">
        <f>Post2020_Derivation!S283</f>
        <v>4060</v>
      </c>
      <c r="AH239" s="2" t="e">
        <f ca="1">IF(Post2020_Derivation!T283="","",Post2020_Derivation!T283)</f>
        <v>#NAME?</v>
      </c>
    </row>
    <row r="240" spans="1:34">
      <c r="A240" t="s">
        <v>570</v>
      </c>
      <c r="B240" t="s">
        <v>571</v>
      </c>
      <c r="C240" s="2">
        <v>33553</v>
      </c>
      <c r="D240" s="2"/>
      <c r="E240" s="2">
        <v>30337</v>
      </c>
      <c r="F240" s="2"/>
      <c r="G240" s="2">
        <v>29158</v>
      </c>
      <c r="H240" s="2"/>
      <c r="I240" s="2">
        <v>30572</v>
      </c>
      <c r="J240" s="2"/>
      <c r="K240" s="2">
        <v>31675</v>
      </c>
      <c r="L240" s="2"/>
      <c r="M240" s="2">
        <v>30226</v>
      </c>
      <c r="N240" s="2"/>
      <c r="O240" s="2">
        <v>30633</v>
      </c>
      <c r="P240" s="2"/>
      <c r="Q240" s="2">
        <v>30738</v>
      </c>
      <c r="R240" s="2"/>
      <c r="S240" s="2">
        <v>31813</v>
      </c>
      <c r="T240" s="2"/>
      <c r="U240" s="2">
        <v>33001</v>
      </c>
      <c r="V240" s="2"/>
      <c r="W240" s="2">
        <v>38182</v>
      </c>
      <c r="X240" s="2" t="s">
        <v>334</v>
      </c>
      <c r="Y240" s="2">
        <v>39071</v>
      </c>
      <c r="Z240" s="2"/>
      <c r="AA240" s="2">
        <v>37471</v>
      </c>
      <c r="AB240" s="2"/>
      <c r="AC240" s="2">
        <f>Post2020_Derivation!G286</f>
        <v>34335</v>
      </c>
      <c r="AD240" s="2" t="e">
        <f ca="1">IF(Post2020_Derivation!H286="","",Post2020_Derivation!H286)</f>
        <v>#NAME?</v>
      </c>
      <c r="AE240" s="2">
        <f>Post2020_Derivation!M286</f>
        <v>35530</v>
      </c>
      <c r="AF240" s="2" t="e">
        <f ca="1">IF(Post2020_Derivation!N286="","",Post2020_Derivation!N286)</f>
        <v>#NAME?</v>
      </c>
      <c r="AG240" s="2">
        <f>Post2020_Derivation!S286</f>
        <v>36064</v>
      </c>
      <c r="AH240" s="2" t="e">
        <f ca="1">IF(Post2020_Derivation!T286="","",Post2020_Derivation!T286)</f>
        <v>#NAME?</v>
      </c>
    </row>
    <row r="241" spans="1:34">
      <c r="A241" t="s">
        <v>572</v>
      </c>
      <c r="B241" t="s">
        <v>573</v>
      </c>
      <c r="C241" s="2">
        <v>5830</v>
      </c>
      <c r="D241" s="2"/>
      <c r="E241" s="2">
        <v>5488</v>
      </c>
      <c r="F241" s="2"/>
      <c r="G241" s="2">
        <v>5508</v>
      </c>
      <c r="H241" s="2"/>
      <c r="I241" s="2">
        <v>5500</v>
      </c>
      <c r="J241" s="2"/>
      <c r="K241" s="2">
        <v>5636</v>
      </c>
      <c r="L241" s="2"/>
      <c r="M241" s="2">
        <v>6119</v>
      </c>
      <c r="N241" s="2"/>
      <c r="O241" s="2">
        <v>6044</v>
      </c>
      <c r="P241" s="2"/>
      <c r="Q241" s="2">
        <v>6778</v>
      </c>
      <c r="R241" s="2"/>
      <c r="S241" s="2">
        <v>7120</v>
      </c>
      <c r="T241" s="2"/>
      <c r="U241" s="2">
        <v>7374</v>
      </c>
      <c r="V241" s="2"/>
      <c r="W241" s="2">
        <v>7601</v>
      </c>
      <c r="X241" s="2" t="s">
        <v>334</v>
      </c>
      <c r="Y241" s="2">
        <v>7637</v>
      </c>
      <c r="Z241" s="2"/>
      <c r="AA241" s="2">
        <v>7305</v>
      </c>
      <c r="AB241" s="2"/>
      <c r="AC241" s="2">
        <f>Post2020_Derivation!G287</f>
        <v>5808</v>
      </c>
      <c r="AD241" s="2" t="e">
        <f ca="1">IF(Post2020_Derivation!H287="","",Post2020_Derivation!H287)</f>
        <v>#NAME?</v>
      </c>
      <c r="AE241" s="2">
        <f>Post2020_Derivation!M287</f>
        <v>5848</v>
      </c>
      <c r="AF241" s="2" t="e">
        <f ca="1">IF(Post2020_Derivation!N287="","",Post2020_Derivation!N287)</f>
        <v>#NAME?</v>
      </c>
      <c r="AG241" s="2">
        <f>Post2020_Derivation!S287</f>
        <v>5964</v>
      </c>
      <c r="AH241" s="2" t="e">
        <f ca="1">IF(Post2020_Derivation!T287="","",Post2020_Derivation!T287)</f>
        <v>#NAME?</v>
      </c>
    </row>
    <row r="242" spans="1:34">
      <c r="A242" t="s">
        <v>574</v>
      </c>
      <c r="B242" t="s">
        <v>575</v>
      </c>
      <c r="C242" s="2">
        <v>628</v>
      </c>
      <c r="D242" s="2"/>
      <c r="E242" s="2">
        <v>549</v>
      </c>
      <c r="F242" s="2"/>
      <c r="G242" s="2">
        <v>500</v>
      </c>
      <c r="H242" s="2"/>
      <c r="I242" s="2">
        <v>446</v>
      </c>
      <c r="J242" s="2"/>
      <c r="K242" s="2">
        <v>430</v>
      </c>
      <c r="L242" s="2"/>
      <c r="M242" s="2">
        <v>425</v>
      </c>
      <c r="N242" s="2"/>
      <c r="O242" s="2">
        <v>451</v>
      </c>
      <c r="P242" s="2"/>
      <c r="Q242" s="2">
        <v>496</v>
      </c>
      <c r="R242" s="2"/>
      <c r="S242" s="2">
        <v>523</v>
      </c>
      <c r="T242" s="2"/>
      <c r="U242" s="2">
        <v>558</v>
      </c>
      <c r="V242" s="2"/>
      <c r="W242" s="2">
        <v>571</v>
      </c>
      <c r="X242" s="2" t="s">
        <v>334</v>
      </c>
      <c r="Y242" s="2">
        <v>608</v>
      </c>
      <c r="Z242" s="2"/>
      <c r="AA242" s="2">
        <v>660</v>
      </c>
      <c r="AB242" s="2"/>
      <c r="AC242" s="2">
        <f>Post2020_Derivation!G288</f>
        <v>660</v>
      </c>
      <c r="AD242" s="2" t="e">
        <f ca="1">IF(Post2020_Derivation!H288="","",Post2020_Derivation!H288)</f>
        <v>#NAME?</v>
      </c>
      <c r="AE242" s="2">
        <f>Post2020_Derivation!M288</f>
        <v>664</v>
      </c>
      <c r="AF242" s="2" t="e">
        <f ca="1">IF(Post2020_Derivation!N288="","",Post2020_Derivation!N288)</f>
        <v>#NAME?</v>
      </c>
      <c r="AG242" s="2">
        <f>Post2020_Derivation!S288</f>
        <v>688</v>
      </c>
      <c r="AH242" s="2" t="e">
        <f ca="1">IF(Post2020_Derivation!T288="","",Post2020_Derivation!T288)</f>
        <v>#NAME?</v>
      </c>
    </row>
    <row r="243" spans="1:34">
      <c r="A243" t="s">
        <v>576</v>
      </c>
      <c r="B243" t="s">
        <v>577</v>
      </c>
      <c r="C243" s="2">
        <v>2375</v>
      </c>
      <c r="D243" s="2"/>
      <c r="E243" s="2">
        <v>2186</v>
      </c>
      <c r="F243" s="2"/>
      <c r="G243" s="2">
        <v>2339</v>
      </c>
      <c r="H243" s="2"/>
      <c r="I243" s="2">
        <v>2579</v>
      </c>
      <c r="J243" s="2"/>
      <c r="K243" s="2">
        <v>2427</v>
      </c>
      <c r="L243" s="2"/>
      <c r="M243" s="2">
        <v>3025</v>
      </c>
      <c r="N243" s="2"/>
      <c r="O243" s="2">
        <v>3080</v>
      </c>
      <c r="P243" s="2"/>
      <c r="Q243" s="2">
        <v>3106</v>
      </c>
      <c r="R243" s="2"/>
      <c r="S243" s="2">
        <v>3320</v>
      </c>
      <c r="T243" s="2"/>
      <c r="U243" s="2">
        <v>3487</v>
      </c>
      <c r="V243" s="2"/>
      <c r="W243" s="2">
        <v>3696</v>
      </c>
      <c r="X243" s="2" t="s">
        <v>334</v>
      </c>
      <c r="Y243" s="2">
        <v>3807</v>
      </c>
      <c r="Z243" s="2"/>
      <c r="AA243" s="2">
        <v>3703</v>
      </c>
      <c r="AB243" s="2"/>
      <c r="AC243" s="2">
        <f>Post2020_Derivation!G289</f>
        <v>3024</v>
      </c>
      <c r="AD243" s="2" t="e">
        <f ca="1">IF(Post2020_Derivation!H289="","",Post2020_Derivation!H289)</f>
        <v>#NAME?</v>
      </c>
      <c r="AE243" s="2">
        <f>Post2020_Derivation!M289</f>
        <v>3127</v>
      </c>
      <c r="AF243" s="2" t="e">
        <f ca="1">IF(Post2020_Derivation!N289="","",Post2020_Derivation!N289)</f>
        <v>#NAME?</v>
      </c>
      <c r="AG243" s="2">
        <f>Post2020_Derivation!S289</f>
        <v>3186</v>
      </c>
      <c r="AH243" s="2" t="e">
        <f ca="1">IF(Post2020_Derivation!T289="","",Post2020_Derivation!T289)</f>
        <v>#NAME?</v>
      </c>
    </row>
    <row r="244" spans="1:34">
      <c r="A244" t="s">
        <v>578</v>
      </c>
      <c r="B244" t="s">
        <v>579</v>
      </c>
      <c r="C244" s="2">
        <v>2827</v>
      </c>
      <c r="D244" s="2"/>
      <c r="E244" s="2">
        <v>2753</v>
      </c>
      <c r="F244" s="2"/>
      <c r="G244" s="2">
        <v>2669</v>
      </c>
      <c r="H244" s="2"/>
      <c r="I244" s="2">
        <v>2475</v>
      </c>
      <c r="J244" s="2"/>
      <c r="K244" s="2">
        <v>2779</v>
      </c>
      <c r="L244" s="2"/>
      <c r="M244" s="2">
        <v>2669</v>
      </c>
      <c r="N244" s="2"/>
      <c r="O244" s="2">
        <v>2513</v>
      </c>
      <c r="P244" s="2"/>
      <c r="Q244" s="2">
        <v>3176</v>
      </c>
      <c r="R244" s="2"/>
      <c r="S244" s="2">
        <v>3277</v>
      </c>
      <c r="T244" s="2"/>
      <c r="U244" s="2">
        <v>3329</v>
      </c>
      <c r="V244" s="2"/>
      <c r="W244" s="2">
        <v>3334</v>
      </c>
      <c r="X244" s="2" t="s">
        <v>334</v>
      </c>
      <c r="Y244" s="2">
        <v>3222</v>
      </c>
      <c r="Z244" s="2"/>
      <c r="AA244" s="2">
        <v>2942</v>
      </c>
      <c r="AB244" s="2"/>
      <c r="AC244" s="2">
        <f>Post2020_Derivation!G290</f>
        <v>2120</v>
      </c>
      <c r="AD244" s="2" t="e">
        <f ca="1">IF(Post2020_Derivation!H290="","",Post2020_Derivation!H290)</f>
        <v>#NAME?</v>
      </c>
      <c r="AE244" s="2">
        <f>Post2020_Derivation!M290</f>
        <v>2052</v>
      </c>
      <c r="AF244" s="2" t="e">
        <f ca="1">IF(Post2020_Derivation!N290="","",Post2020_Derivation!N290)</f>
        <v>#NAME?</v>
      </c>
      <c r="AG244" s="2">
        <f>Post2020_Derivation!S290</f>
        <v>2091</v>
      </c>
      <c r="AH244" s="2" t="e">
        <f ca="1">IF(Post2020_Derivation!T290="","",Post2020_Derivation!T290)</f>
        <v>#NAME?</v>
      </c>
    </row>
    <row r="245" spans="1:34">
      <c r="A245" t="s">
        <v>580</v>
      </c>
      <c r="B245" t="s">
        <v>581</v>
      </c>
      <c r="C245" s="2">
        <v>11565</v>
      </c>
      <c r="D245" s="2"/>
      <c r="E245" s="2">
        <v>10119</v>
      </c>
      <c r="F245" s="2"/>
      <c r="G245" s="2">
        <v>9499</v>
      </c>
      <c r="H245" s="2"/>
      <c r="I245" s="2">
        <v>10015</v>
      </c>
      <c r="J245" s="2"/>
      <c r="K245" s="2">
        <v>10569</v>
      </c>
      <c r="L245" s="2"/>
      <c r="M245" s="2">
        <v>9110</v>
      </c>
      <c r="N245" s="2"/>
      <c r="O245" s="2">
        <v>9429</v>
      </c>
      <c r="P245" s="2"/>
      <c r="Q245" s="2">
        <v>9913</v>
      </c>
      <c r="R245" s="2"/>
      <c r="S245" s="2">
        <v>10296</v>
      </c>
      <c r="T245" s="2"/>
      <c r="U245" s="2">
        <v>11235</v>
      </c>
      <c r="V245" s="2"/>
      <c r="W245" s="2">
        <v>15434</v>
      </c>
      <c r="X245" s="2" t="s">
        <v>334</v>
      </c>
      <c r="Y245" s="2">
        <v>15661</v>
      </c>
      <c r="Z245" s="2"/>
      <c r="AA245" s="2">
        <v>14617</v>
      </c>
      <c r="AB245" s="2"/>
      <c r="AC245" s="2">
        <f>Post2020_Derivation!G291</f>
        <v>14454</v>
      </c>
      <c r="AD245" s="2" t="e">
        <f ca="1">IF(Post2020_Derivation!H291="","",Post2020_Derivation!H291)</f>
        <v>#NAME?</v>
      </c>
      <c r="AE245" s="2">
        <f>Post2020_Derivation!M291</f>
        <v>14421</v>
      </c>
      <c r="AF245" s="2" t="e">
        <f ca="1">IF(Post2020_Derivation!N291="","",Post2020_Derivation!N291)</f>
        <v>#NAME?</v>
      </c>
      <c r="AG245" s="2">
        <f>Post2020_Derivation!S291</f>
        <v>14673</v>
      </c>
      <c r="AH245" s="2" t="e">
        <f ca="1">IF(Post2020_Derivation!T291="","",Post2020_Derivation!T291)</f>
        <v>#NAME?</v>
      </c>
    </row>
    <row r="246" spans="1:34">
      <c r="A246" t="s">
        <v>582</v>
      </c>
      <c r="B246" t="s">
        <v>583</v>
      </c>
      <c r="C246" s="2">
        <v>242</v>
      </c>
      <c r="D246" s="2"/>
      <c r="E246" s="2">
        <v>222</v>
      </c>
      <c r="F246" s="2"/>
      <c r="G246" s="2">
        <v>257</v>
      </c>
      <c r="H246" s="2"/>
      <c r="I246" s="2">
        <v>333</v>
      </c>
      <c r="J246" s="2"/>
      <c r="K246" s="2">
        <v>286</v>
      </c>
      <c r="L246" s="2"/>
      <c r="M246" s="2">
        <v>368</v>
      </c>
      <c r="N246" s="2"/>
      <c r="O246" s="2">
        <v>425</v>
      </c>
      <c r="P246" s="2"/>
      <c r="Q246" s="2">
        <v>667</v>
      </c>
      <c r="R246" s="2"/>
      <c r="S246" s="2">
        <v>993</v>
      </c>
      <c r="T246" s="2"/>
      <c r="U246" s="2">
        <v>913</v>
      </c>
      <c r="V246" s="2"/>
      <c r="W246" s="2" t="s">
        <v>43</v>
      </c>
      <c r="X246" s="2" t="s">
        <v>403</v>
      </c>
      <c r="Y246" s="2" t="s">
        <v>43</v>
      </c>
      <c r="Z246" s="2" t="s">
        <v>44</v>
      </c>
      <c r="AA246" s="2" t="s">
        <v>43</v>
      </c>
      <c r="AB246" s="2" t="s">
        <v>44</v>
      </c>
      <c r="AC246" s="2">
        <f>Post2020_Derivation!G292</f>
        <v>234</v>
      </c>
      <c r="AD246" s="2" t="e">
        <f ca="1">IF(Post2020_Derivation!H292="","",Post2020_Derivation!H292)</f>
        <v>#NAME?</v>
      </c>
      <c r="AE246" s="2">
        <f>Post2020_Derivation!M292</f>
        <v>221</v>
      </c>
      <c r="AF246" s="2" t="e">
        <f ca="1">IF(Post2020_Derivation!N292="","",Post2020_Derivation!N292)</f>
        <v>#NAME?</v>
      </c>
      <c r="AG246" s="2">
        <f>Post2020_Derivation!S292</f>
        <v>225</v>
      </c>
      <c r="AH246" s="2" t="e">
        <f ca="1">IF(Post2020_Derivation!T292="","",Post2020_Derivation!T292)</f>
        <v>#NAME?</v>
      </c>
    </row>
    <row r="247" spans="1:34">
      <c r="A247" t="s">
        <v>584</v>
      </c>
      <c r="B247" t="s">
        <v>585</v>
      </c>
      <c r="C247" s="2">
        <v>11323</v>
      </c>
      <c r="D247" s="2"/>
      <c r="E247" s="2">
        <v>9897</v>
      </c>
      <c r="F247" s="2"/>
      <c r="G247" s="2">
        <v>9242</v>
      </c>
      <c r="H247" s="2"/>
      <c r="I247" s="2">
        <v>9682</v>
      </c>
      <c r="J247" s="2"/>
      <c r="K247" s="2">
        <v>10283</v>
      </c>
      <c r="L247" s="2"/>
      <c r="M247" s="2">
        <v>8742</v>
      </c>
      <c r="N247" s="2"/>
      <c r="O247" s="2">
        <v>9004</v>
      </c>
      <c r="P247" s="2"/>
      <c r="Q247" s="2">
        <v>9246</v>
      </c>
      <c r="R247" s="2"/>
      <c r="S247" s="2">
        <v>9303</v>
      </c>
      <c r="T247" s="2"/>
      <c r="U247" s="2">
        <v>10322</v>
      </c>
      <c r="V247" s="2"/>
      <c r="W247" s="2" t="s">
        <v>43</v>
      </c>
      <c r="X247" s="2" t="s">
        <v>403</v>
      </c>
      <c r="Y247" s="2" t="s">
        <v>43</v>
      </c>
      <c r="Z247" s="2" t="s">
        <v>44</v>
      </c>
      <c r="AA247" s="2" t="s">
        <v>43</v>
      </c>
      <c r="AB247" s="2" t="s">
        <v>44</v>
      </c>
      <c r="AC247" s="2">
        <f>Post2020_Derivation!G293</f>
        <v>14204</v>
      </c>
      <c r="AD247" s="2" t="e">
        <f ca="1">IF(Post2020_Derivation!H293="","",Post2020_Derivation!H293)</f>
        <v>#NAME?</v>
      </c>
      <c r="AE247" s="2">
        <f>Post2020_Derivation!M293</f>
        <v>14168</v>
      </c>
      <c r="AF247" s="2" t="e">
        <f ca="1">IF(Post2020_Derivation!N293="","",Post2020_Derivation!N293)</f>
        <v>#NAME?</v>
      </c>
      <c r="AG247" s="2">
        <f>Post2020_Derivation!S293</f>
        <v>14500</v>
      </c>
      <c r="AH247" s="2" t="e">
        <f ca="1">IF(Post2020_Derivation!T293="","",Post2020_Derivation!T293)</f>
        <v>#NAME?</v>
      </c>
    </row>
    <row r="248" spans="1:34">
      <c r="A248" t="s">
        <v>586</v>
      </c>
      <c r="B248" t="s">
        <v>587</v>
      </c>
      <c r="C248" s="2">
        <v>16158</v>
      </c>
      <c r="D248" s="2"/>
      <c r="E248" s="2">
        <v>14730</v>
      </c>
      <c r="F248" s="2"/>
      <c r="G248" s="2">
        <v>14151</v>
      </c>
      <c r="H248" s="2"/>
      <c r="I248" s="2">
        <v>15057</v>
      </c>
      <c r="J248" s="2"/>
      <c r="K248" s="2">
        <v>15470</v>
      </c>
      <c r="L248" s="2"/>
      <c r="M248" s="2">
        <v>14997</v>
      </c>
      <c r="N248" s="2"/>
      <c r="O248" s="2">
        <v>15160</v>
      </c>
      <c r="P248" s="2"/>
      <c r="Q248" s="2">
        <v>14047</v>
      </c>
      <c r="R248" s="2"/>
      <c r="S248" s="2">
        <v>14397</v>
      </c>
      <c r="T248" s="2"/>
      <c r="U248" s="2">
        <v>14392</v>
      </c>
      <c r="V248" s="2"/>
      <c r="W248" s="2">
        <v>15147</v>
      </c>
      <c r="X248" s="2" t="s">
        <v>334</v>
      </c>
      <c r="Y248" s="2">
        <v>15773</v>
      </c>
      <c r="Z248" s="2"/>
      <c r="AA248" s="2">
        <v>15549</v>
      </c>
      <c r="AB248" s="2"/>
      <c r="AC248" s="2">
        <f>Post2020_Derivation!G294</f>
        <v>14168</v>
      </c>
      <c r="AD248" s="2" t="e">
        <f ca="1">IF(Post2020_Derivation!H294="","",Post2020_Derivation!H294)</f>
        <v>#NAME?</v>
      </c>
      <c r="AE248" s="2">
        <f>Post2020_Derivation!M294</f>
        <v>15288</v>
      </c>
      <c r="AF248" s="2" t="e">
        <f ca="1">IF(Post2020_Derivation!N294="","",Post2020_Derivation!N294)</f>
        <v>#NAME?</v>
      </c>
      <c r="AG248" s="2">
        <f>Post2020_Derivation!S294</f>
        <v>15345</v>
      </c>
      <c r="AH248" s="2" t="e">
        <f ca="1">IF(Post2020_Derivation!T294="","",Post2020_Derivation!T294)</f>
        <v>#NAME?</v>
      </c>
    </row>
    <row r="249" spans="1:34">
      <c r="A249" t="s">
        <v>588</v>
      </c>
      <c r="B249" t="s">
        <v>589</v>
      </c>
      <c r="C249" s="2">
        <v>11330</v>
      </c>
      <c r="D249" s="2"/>
      <c r="E249" s="2">
        <v>10740</v>
      </c>
      <c r="F249" s="2"/>
      <c r="G249" s="2">
        <v>10120</v>
      </c>
      <c r="H249" s="2"/>
      <c r="I249" s="2">
        <v>10601</v>
      </c>
      <c r="J249" s="2"/>
      <c r="K249" s="2">
        <v>10917</v>
      </c>
      <c r="L249" s="2"/>
      <c r="M249" s="2">
        <v>11014</v>
      </c>
      <c r="N249" s="2"/>
      <c r="O249" s="2">
        <v>11281</v>
      </c>
      <c r="P249" s="2"/>
      <c r="Q249" s="2">
        <v>10573</v>
      </c>
      <c r="R249" s="2"/>
      <c r="S249" s="2">
        <v>10589</v>
      </c>
      <c r="T249" s="2"/>
      <c r="U249" s="2">
        <v>10760</v>
      </c>
      <c r="V249" s="2"/>
      <c r="W249" s="2">
        <v>11153</v>
      </c>
      <c r="X249" s="2" t="s">
        <v>334</v>
      </c>
      <c r="Y249" s="2">
        <v>11652</v>
      </c>
      <c r="Z249" s="2"/>
      <c r="AA249" s="2">
        <v>11552</v>
      </c>
      <c r="AB249" s="2"/>
      <c r="AC249" s="2">
        <f>Post2020_Derivation!G295</f>
        <v>10296</v>
      </c>
      <c r="AD249" s="2" t="e">
        <f ca="1">IF(Post2020_Derivation!H295="","",Post2020_Derivation!H295)</f>
        <v>#NAME?</v>
      </c>
      <c r="AE249" s="2">
        <f>Post2020_Derivation!M295</f>
        <v>11310</v>
      </c>
      <c r="AF249" s="2" t="e">
        <f ca="1">IF(Post2020_Derivation!N295="","",Post2020_Derivation!N295)</f>
        <v>#NAME?</v>
      </c>
      <c r="AG249" s="2">
        <f>Post2020_Derivation!S295</f>
        <v>11242</v>
      </c>
      <c r="AH249" s="2" t="e">
        <f ca="1">IF(Post2020_Derivation!T295="","",Post2020_Derivation!T295)</f>
        <v>#NAME?</v>
      </c>
    </row>
    <row r="250" spans="1:34">
      <c r="A250" t="s">
        <v>590</v>
      </c>
      <c r="B250" t="s">
        <v>591</v>
      </c>
      <c r="C250" s="2">
        <v>2395</v>
      </c>
      <c r="D250" s="2"/>
      <c r="E250" s="2">
        <v>1744</v>
      </c>
      <c r="F250" s="2"/>
      <c r="G250" s="2">
        <v>1617</v>
      </c>
      <c r="H250" s="2"/>
      <c r="I250" s="2">
        <v>1751</v>
      </c>
      <c r="J250" s="2"/>
      <c r="K250" s="2">
        <v>1743</v>
      </c>
      <c r="L250" s="2"/>
      <c r="M250" s="2">
        <v>1272</v>
      </c>
      <c r="N250" s="2"/>
      <c r="O250" s="2">
        <v>1201</v>
      </c>
      <c r="P250" s="2"/>
      <c r="Q250" s="2">
        <v>1222</v>
      </c>
      <c r="R250" s="2"/>
      <c r="S250" s="2">
        <v>1447</v>
      </c>
      <c r="T250" s="2"/>
      <c r="U250" s="2">
        <v>1380</v>
      </c>
      <c r="V250" s="2"/>
      <c r="W250" s="2">
        <v>1464</v>
      </c>
      <c r="X250" s="2" t="s">
        <v>334</v>
      </c>
      <c r="Y250" s="2">
        <v>1450</v>
      </c>
      <c r="Z250" s="2"/>
      <c r="AA250" s="2">
        <v>1312</v>
      </c>
      <c r="AB250" s="2"/>
      <c r="AC250" s="2">
        <f>Post2020_Derivation!G296</f>
        <v>1292</v>
      </c>
      <c r="AD250" s="2" t="e">
        <f ca="1">IF(Post2020_Derivation!H296="","",Post2020_Derivation!H296)</f>
        <v>#NAME?</v>
      </c>
      <c r="AE250" s="2">
        <f>Post2020_Derivation!M296</f>
        <v>1258</v>
      </c>
      <c r="AF250" s="2" t="e">
        <f ca="1">IF(Post2020_Derivation!N296="","",Post2020_Derivation!N296)</f>
        <v>#NAME?</v>
      </c>
      <c r="AG250" s="2">
        <f>Post2020_Derivation!S296</f>
        <v>1280</v>
      </c>
      <c r="AH250" s="2" t="e">
        <f ca="1">IF(Post2020_Derivation!T296="","",Post2020_Derivation!T296)</f>
        <v>#NAME?</v>
      </c>
    </row>
    <row r="251" spans="1:34">
      <c r="A251" t="s">
        <v>592</v>
      </c>
      <c r="B251" t="s">
        <v>593</v>
      </c>
      <c r="C251" s="2">
        <v>1099</v>
      </c>
      <c r="D251" s="2"/>
      <c r="E251" s="2">
        <v>1043</v>
      </c>
      <c r="F251" s="2"/>
      <c r="G251" s="2">
        <v>1167</v>
      </c>
      <c r="H251" s="2"/>
      <c r="I251" s="2">
        <v>1299</v>
      </c>
      <c r="J251" s="2"/>
      <c r="K251" s="2">
        <v>1312</v>
      </c>
      <c r="L251" s="2"/>
      <c r="M251" s="2">
        <v>1200</v>
      </c>
      <c r="N251" s="2"/>
      <c r="O251" s="2">
        <v>1196</v>
      </c>
      <c r="P251" s="2"/>
      <c r="Q251" s="2">
        <v>709</v>
      </c>
      <c r="R251" s="2"/>
      <c r="S251" s="2">
        <v>772</v>
      </c>
      <c r="T251" s="2"/>
      <c r="U251" s="2">
        <v>612</v>
      </c>
      <c r="V251" s="2"/>
      <c r="W251" s="2">
        <v>778</v>
      </c>
      <c r="X251" s="2" t="s">
        <v>334</v>
      </c>
      <c r="Y251" s="2">
        <v>799</v>
      </c>
      <c r="Z251" s="2"/>
      <c r="AA251" s="2">
        <v>874</v>
      </c>
      <c r="AB251" s="2"/>
      <c r="AC251" s="2">
        <f>Post2020_Derivation!G297</f>
        <v>744</v>
      </c>
      <c r="AD251" s="2" t="e">
        <f ca="1">IF(Post2020_Derivation!H297="","",Post2020_Derivation!H297)</f>
        <v>#NAME?</v>
      </c>
      <c r="AE251" s="2">
        <f>Post2020_Derivation!M297</f>
        <v>900</v>
      </c>
      <c r="AF251" s="2" t="e">
        <f ca="1">IF(Post2020_Derivation!N297="","",Post2020_Derivation!N297)</f>
        <v>#NAME?</v>
      </c>
      <c r="AG251" s="2">
        <f>Post2020_Derivation!S297</f>
        <v>899</v>
      </c>
      <c r="AH251" s="2" t="e">
        <f ca="1">IF(Post2020_Derivation!T297="","",Post2020_Derivation!T297)</f>
        <v>#NAME?</v>
      </c>
    </row>
    <row r="252" spans="1:34">
      <c r="A252" t="s">
        <v>594</v>
      </c>
      <c r="B252" t="s">
        <v>595</v>
      </c>
      <c r="C252" s="2">
        <v>1334</v>
      </c>
      <c r="D252" s="2"/>
      <c r="E252" s="2">
        <v>1203</v>
      </c>
      <c r="F252" s="2"/>
      <c r="G252" s="2">
        <v>1247</v>
      </c>
      <c r="H252" s="2"/>
      <c r="I252" s="2">
        <v>1406</v>
      </c>
      <c r="J252" s="2"/>
      <c r="K252" s="2">
        <v>1498</v>
      </c>
      <c r="L252" s="2"/>
      <c r="M252" s="2">
        <v>1511</v>
      </c>
      <c r="N252" s="2"/>
      <c r="O252" s="2">
        <v>1482</v>
      </c>
      <c r="P252" s="2"/>
      <c r="Q252" s="2">
        <v>1543</v>
      </c>
      <c r="R252" s="2"/>
      <c r="S252" s="2">
        <v>1589</v>
      </c>
      <c r="T252" s="2"/>
      <c r="U252" s="2">
        <v>1640</v>
      </c>
      <c r="V252" s="2"/>
      <c r="W252" s="2">
        <v>1752</v>
      </c>
      <c r="X252" s="2" t="s">
        <v>334</v>
      </c>
      <c r="Y252" s="2">
        <v>1872</v>
      </c>
      <c r="Z252" s="2"/>
      <c r="AA252" s="2">
        <v>1811</v>
      </c>
      <c r="AB252" s="2"/>
      <c r="AC252" s="2">
        <f>Post2020_Derivation!G298</f>
        <v>1776</v>
      </c>
      <c r="AD252" s="2" t="e">
        <f ca="1">IF(Post2020_Derivation!H298="","",Post2020_Derivation!H298)</f>
        <v>#NAME?</v>
      </c>
      <c r="AE252" s="2">
        <f>Post2020_Derivation!M298</f>
        <v>1768</v>
      </c>
      <c r="AF252" s="2" t="e">
        <f ca="1">IF(Post2020_Derivation!N298="","",Post2020_Derivation!N298)</f>
        <v>#NAME?</v>
      </c>
      <c r="AG252" s="2">
        <f>Post2020_Derivation!S298</f>
        <v>1950</v>
      </c>
      <c r="AH252" s="2" t="e">
        <f ca="1">IF(Post2020_Derivation!T298="","",Post2020_Derivation!T298)</f>
        <v>#NAME?</v>
      </c>
    </row>
    <row r="253" spans="1:34">
      <c r="A253" t="s">
        <v>598</v>
      </c>
      <c r="B253" t="s">
        <v>599</v>
      </c>
      <c r="C253" s="2">
        <v>149075</v>
      </c>
      <c r="D253" s="2"/>
      <c r="E253" s="2">
        <v>154742</v>
      </c>
      <c r="F253" s="2"/>
      <c r="G253" s="2">
        <v>154723</v>
      </c>
      <c r="H253" s="2"/>
      <c r="I253" s="2">
        <v>156675</v>
      </c>
      <c r="J253" s="2"/>
      <c r="K253" s="2">
        <v>155303</v>
      </c>
      <c r="L253" s="2"/>
      <c r="M253" s="2">
        <v>159310</v>
      </c>
      <c r="N253" s="2"/>
      <c r="O253" s="2">
        <v>167967</v>
      </c>
      <c r="P253" s="2"/>
      <c r="Q253" s="2">
        <v>177137</v>
      </c>
      <c r="R253" s="2"/>
      <c r="S253" s="2">
        <v>183953</v>
      </c>
      <c r="T253" s="2"/>
      <c r="U253" s="2">
        <v>196975</v>
      </c>
      <c r="V253" s="2"/>
      <c r="W253" s="2">
        <v>211285</v>
      </c>
      <c r="X253" s="2" t="s">
        <v>334</v>
      </c>
      <c r="Y253" s="2">
        <v>213514</v>
      </c>
      <c r="Z253" s="2"/>
      <c r="AA253" s="2">
        <v>207053</v>
      </c>
      <c r="AB253" s="2"/>
      <c r="AC253" s="2">
        <f>Post2020_Derivation!G301</f>
        <v>206470</v>
      </c>
      <c r="AD253" s="2" t="e">
        <f ca="1">IF(Post2020_Derivation!H301="","",Post2020_Derivation!H301)</f>
        <v>#NAME?</v>
      </c>
      <c r="AE253" s="2">
        <f>Post2020_Derivation!M301</f>
        <v>202016</v>
      </c>
      <c r="AF253" s="2" t="e">
        <f ca="1">IF(Post2020_Derivation!N301="","",Post2020_Derivation!N301)</f>
        <v>#NAME?</v>
      </c>
      <c r="AG253" s="2">
        <f>Post2020_Derivation!S301</f>
        <v>207350</v>
      </c>
      <c r="AH253" s="2" t="e">
        <f ca="1">IF(Post2020_Derivation!T301="","",Post2020_Derivation!T301)</f>
        <v>#NAME?</v>
      </c>
    </row>
    <row r="254" spans="1:34">
      <c r="A254" t="s">
        <v>996</v>
      </c>
      <c r="B254" t="s">
        <v>997</v>
      </c>
      <c r="C254" s="2">
        <v>15330</v>
      </c>
      <c r="D254" s="2"/>
      <c r="E254" s="2">
        <v>13632</v>
      </c>
      <c r="F254" s="2"/>
      <c r="G254" s="2">
        <v>13484</v>
      </c>
      <c r="H254" s="2"/>
      <c r="I254" s="2">
        <v>11558</v>
      </c>
      <c r="J254" s="2"/>
      <c r="K254" s="2">
        <v>11226</v>
      </c>
      <c r="L254" s="2"/>
      <c r="M254" s="2">
        <v>11583</v>
      </c>
      <c r="N254" s="2"/>
      <c r="O254" s="2">
        <v>11817</v>
      </c>
      <c r="P254" s="2"/>
      <c r="Q254" s="2">
        <v>12247</v>
      </c>
      <c r="R254" s="2"/>
      <c r="S254" s="2" t="s">
        <v>43</v>
      </c>
      <c r="T254" s="2"/>
      <c r="U254" s="2" t="s">
        <v>43</v>
      </c>
      <c r="V254" s="2"/>
      <c r="W254" s="2" t="s">
        <v>43</v>
      </c>
      <c r="X254" s="2" t="s">
        <v>334</v>
      </c>
      <c r="Y254" s="2" t="s">
        <v>43</v>
      </c>
      <c r="Z254" s="2"/>
      <c r="AA254" s="2" t="s">
        <v>43</v>
      </c>
      <c r="AB254" s="2"/>
      <c r="AC254" s="2" t="str">
        <f>""</f>
        <v/>
      </c>
      <c r="AD254" s="2" t="str">
        <f>""</f>
        <v/>
      </c>
      <c r="AE254" s="2" t="str">
        <f>""</f>
        <v/>
      </c>
      <c r="AF254" s="2" t="str">
        <f>""</f>
        <v/>
      </c>
      <c r="AG254" s="2" t="str">
        <f>""</f>
        <v/>
      </c>
      <c r="AH254" s="2" t="str">
        <f>""</f>
        <v/>
      </c>
    </row>
    <row r="255" spans="1:34">
      <c r="A255" t="s">
        <v>998</v>
      </c>
      <c r="B255" t="s">
        <v>999</v>
      </c>
      <c r="C255" s="2">
        <v>5253</v>
      </c>
      <c r="D255" s="2"/>
      <c r="E255" s="2">
        <v>4765</v>
      </c>
      <c r="F255" s="2"/>
      <c r="G255" s="2">
        <v>5504</v>
      </c>
      <c r="H255" s="2"/>
      <c r="I255" s="2">
        <v>5257</v>
      </c>
      <c r="J255" s="2"/>
      <c r="K255" s="2">
        <v>5271</v>
      </c>
      <c r="L255" s="2"/>
      <c r="M255" s="2">
        <v>5526</v>
      </c>
      <c r="N255" s="2"/>
      <c r="O255" s="2">
        <v>5204</v>
      </c>
      <c r="P255" s="2"/>
      <c r="Q255" s="2">
        <v>5575</v>
      </c>
      <c r="R255" s="2"/>
      <c r="S255" s="2" t="s">
        <v>43</v>
      </c>
      <c r="T255" s="2"/>
      <c r="U255" s="2" t="s">
        <v>43</v>
      </c>
      <c r="V255" s="2"/>
      <c r="W255" s="2" t="s">
        <v>43</v>
      </c>
      <c r="X255" s="2" t="s">
        <v>334</v>
      </c>
      <c r="Y255" s="2" t="s">
        <v>43</v>
      </c>
      <c r="Z255" s="2"/>
      <c r="AA255" s="2" t="s">
        <v>43</v>
      </c>
      <c r="AB255" s="2"/>
      <c r="AC255" s="2" t="str">
        <f>""</f>
        <v/>
      </c>
      <c r="AD255" s="2" t="str">
        <f>""</f>
        <v/>
      </c>
      <c r="AE255" s="2" t="str">
        <f>""</f>
        <v/>
      </c>
      <c r="AF255" s="2" t="str">
        <f>""</f>
        <v/>
      </c>
      <c r="AG255" s="2" t="str">
        <f>""</f>
        <v/>
      </c>
      <c r="AH255" s="2" t="str">
        <f>""</f>
        <v/>
      </c>
    </row>
    <row r="256" spans="1:34">
      <c r="A256" t="s">
        <v>1000</v>
      </c>
      <c r="B256" t="s">
        <v>1001</v>
      </c>
      <c r="C256" s="2">
        <v>10077</v>
      </c>
      <c r="D256" s="2"/>
      <c r="E256" s="2">
        <v>8867</v>
      </c>
      <c r="F256" s="2"/>
      <c r="G256" s="2">
        <v>7980</v>
      </c>
      <c r="H256" s="2"/>
      <c r="I256" s="2">
        <v>6301</v>
      </c>
      <c r="J256" s="2"/>
      <c r="K256" s="2">
        <v>5955</v>
      </c>
      <c r="L256" s="2"/>
      <c r="M256" s="2">
        <v>6057</v>
      </c>
      <c r="N256" s="2"/>
      <c r="O256" s="2">
        <v>6613</v>
      </c>
      <c r="P256" s="2"/>
      <c r="Q256" s="2">
        <v>6672</v>
      </c>
      <c r="R256" s="2"/>
      <c r="S256" s="2" t="s">
        <v>43</v>
      </c>
      <c r="T256" s="2"/>
      <c r="U256" s="2" t="s">
        <v>43</v>
      </c>
      <c r="V256" s="2"/>
      <c r="W256" s="2" t="s">
        <v>43</v>
      </c>
      <c r="X256" s="2" t="s">
        <v>334</v>
      </c>
      <c r="Y256" s="2" t="s">
        <v>43</v>
      </c>
      <c r="Z256" s="2"/>
      <c r="AA256" s="2" t="s">
        <v>43</v>
      </c>
      <c r="AB256" s="2"/>
      <c r="AC256" s="2" t="str">
        <f>""</f>
        <v/>
      </c>
      <c r="AD256" s="2" t="str">
        <f>""</f>
        <v/>
      </c>
      <c r="AE256" s="2" t="str">
        <f>""</f>
        <v/>
      </c>
      <c r="AF256" s="2" t="str">
        <f>""</f>
        <v/>
      </c>
      <c r="AG256" s="2" t="str">
        <f>""</f>
        <v/>
      </c>
      <c r="AH256" s="2" t="str">
        <f>""</f>
        <v/>
      </c>
    </row>
    <row r="257" spans="1:34">
      <c r="A257" t="s">
        <v>600</v>
      </c>
      <c r="B257" t="s">
        <v>601</v>
      </c>
      <c r="C257" s="2">
        <v>50234</v>
      </c>
      <c r="D257" s="2"/>
      <c r="E257" s="2">
        <v>53951</v>
      </c>
      <c r="F257" s="2"/>
      <c r="G257" s="2">
        <v>58330</v>
      </c>
      <c r="H257" s="2"/>
      <c r="I257" s="2">
        <v>56990</v>
      </c>
      <c r="J257" s="2"/>
      <c r="K257" s="2">
        <v>57484</v>
      </c>
      <c r="L257" s="2"/>
      <c r="M257" s="2">
        <v>56759</v>
      </c>
      <c r="N257" s="2"/>
      <c r="O257" s="2">
        <v>59219</v>
      </c>
      <c r="P257" s="2"/>
      <c r="Q257" s="2">
        <v>64094</v>
      </c>
      <c r="R257" s="2"/>
      <c r="S257" s="2">
        <v>69585</v>
      </c>
      <c r="T257" s="2"/>
      <c r="U257" s="2">
        <v>73322</v>
      </c>
      <c r="V257" s="2"/>
      <c r="W257" s="2">
        <v>75323</v>
      </c>
      <c r="X257" s="2" t="s">
        <v>334</v>
      </c>
      <c r="Y257" s="2">
        <v>74984</v>
      </c>
      <c r="Z257" s="2"/>
      <c r="AA257" s="2">
        <v>72926</v>
      </c>
      <c r="AB257" s="2"/>
      <c r="AC257" s="2">
        <f>Post2020_Derivation!G302</f>
        <v>71574</v>
      </c>
      <c r="AD257" s="2" t="e">
        <f ca="1">IF(Post2020_Derivation!H302="","",Post2020_Derivation!H302)</f>
        <v>#NAME?</v>
      </c>
      <c r="AE257" s="2">
        <f>Post2020_Derivation!M302</f>
        <v>71145</v>
      </c>
      <c r="AF257" s="2" t="e">
        <f ca="1">IF(Post2020_Derivation!N302="","",Post2020_Derivation!N302)</f>
        <v>#NAME?</v>
      </c>
      <c r="AG257" s="2">
        <f>Post2020_Derivation!S302</f>
        <v>72186</v>
      </c>
      <c r="AH257" s="2" t="e">
        <f ca="1">IF(Post2020_Derivation!T302="","",Post2020_Derivation!T302)</f>
        <v>#NAME?</v>
      </c>
    </row>
    <row r="258" spans="1:34">
      <c r="A258" t="s">
        <v>602</v>
      </c>
      <c r="B258" t="s">
        <v>603</v>
      </c>
      <c r="C258" s="2">
        <v>6862</v>
      </c>
      <c r="D258" s="2"/>
      <c r="E258" s="2">
        <v>5683</v>
      </c>
      <c r="F258" s="2"/>
      <c r="G258" s="2">
        <v>7756</v>
      </c>
      <c r="H258" s="2"/>
      <c r="I258" s="2">
        <v>7260</v>
      </c>
      <c r="J258" s="2"/>
      <c r="K258" s="2">
        <v>8805</v>
      </c>
      <c r="L258" s="2"/>
      <c r="M258" s="2">
        <v>8702</v>
      </c>
      <c r="N258" s="2"/>
      <c r="O258" s="2">
        <v>9218</v>
      </c>
      <c r="P258" s="2"/>
      <c r="Q258" s="2">
        <v>9796</v>
      </c>
      <c r="R258" s="2"/>
      <c r="S258" s="2">
        <v>10249</v>
      </c>
      <c r="T258" s="2"/>
      <c r="U258" s="2">
        <v>9316</v>
      </c>
      <c r="V258" s="2"/>
      <c r="W258" s="2">
        <v>11852</v>
      </c>
      <c r="X258" s="2" t="s">
        <v>334</v>
      </c>
      <c r="Y258" s="2">
        <v>12024</v>
      </c>
      <c r="Z258" s="2"/>
      <c r="AA258" s="2">
        <v>12029</v>
      </c>
      <c r="AB258" s="2"/>
      <c r="AC258" s="2">
        <f>Post2020_Derivation!G303</f>
        <v>12524</v>
      </c>
      <c r="AD258" s="2" t="e">
        <f ca="1">IF(Post2020_Derivation!H303="","",Post2020_Derivation!H303)</f>
        <v>#NAME?</v>
      </c>
      <c r="AE258" s="2">
        <f>Post2020_Derivation!M303</f>
        <v>12928</v>
      </c>
      <c r="AF258" s="2" t="e">
        <f ca="1">IF(Post2020_Derivation!N303="","",Post2020_Derivation!N303)</f>
        <v>#NAME?</v>
      </c>
      <c r="AG258" s="2">
        <f>Post2020_Derivation!S303</f>
        <v>13650</v>
      </c>
      <c r="AH258" s="2" t="e">
        <f ca="1">IF(Post2020_Derivation!T303="","",Post2020_Derivation!T303)</f>
        <v>#NAME?</v>
      </c>
    </row>
    <row r="259" spans="1:34">
      <c r="A259" t="s">
        <v>604</v>
      </c>
      <c r="B259" t="s">
        <v>605</v>
      </c>
      <c r="C259" s="2">
        <v>43372</v>
      </c>
      <c r="D259" s="2"/>
      <c r="E259" s="2">
        <v>48268</v>
      </c>
      <c r="F259" s="2"/>
      <c r="G259" s="2">
        <v>50574</v>
      </c>
      <c r="H259" s="2"/>
      <c r="I259" s="2">
        <v>49730</v>
      </c>
      <c r="J259" s="2"/>
      <c r="K259" s="2">
        <v>48679</v>
      </c>
      <c r="L259" s="2"/>
      <c r="M259" s="2">
        <v>48057</v>
      </c>
      <c r="N259" s="2"/>
      <c r="O259" s="2">
        <v>50001</v>
      </c>
      <c r="P259" s="2"/>
      <c r="Q259" s="2">
        <v>54298</v>
      </c>
      <c r="R259" s="2"/>
      <c r="S259" s="2">
        <v>59336</v>
      </c>
      <c r="T259" s="2"/>
      <c r="U259" s="2">
        <v>64006</v>
      </c>
      <c r="V259" s="2"/>
      <c r="W259" s="2">
        <v>63471</v>
      </c>
      <c r="X259" s="2" t="s">
        <v>334</v>
      </c>
      <c r="Y259" s="2">
        <v>62960</v>
      </c>
      <c r="Z259" s="2"/>
      <c r="AA259" s="2">
        <v>60897</v>
      </c>
      <c r="AB259" s="2"/>
      <c r="AC259" s="2">
        <f>Post2020_Derivation!G304</f>
        <v>59220</v>
      </c>
      <c r="AD259" s="2" t="e">
        <f ca="1">IF(Post2020_Derivation!H304="","",Post2020_Derivation!H304)</f>
        <v>#NAME?</v>
      </c>
      <c r="AE259" s="2">
        <f>Post2020_Derivation!M304</f>
        <v>58256</v>
      </c>
      <c r="AF259" s="2" t="e">
        <f ca="1">IF(Post2020_Derivation!N304="","",Post2020_Derivation!N304)</f>
        <v>#NAME?</v>
      </c>
      <c r="AG259" s="2">
        <f>Post2020_Derivation!S304</f>
        <v>58644</v>
      </c>
      <c r="AH259" s="2" t="e">
        <f ca="1">IF(Post2020_Derivation!T304="","",Post2020_Derivation!T304)</f>
        <v>#NAME?</v>
      </c>
    </row>
    <row r="260" spans="1:34">
      <c r="A260" t="s">
        <v>1002</v>
      </c>
      <c r="B260" t="s">
        <v>1003</v>
      </c>
      <c r="C260" s="2">
        <v>19049</v>
      </c>
      <c r="D260" s="2"/>
      <c r="E260" s="2">
        <v>21830</v>
      </c>
      <c r="F260" s="2"/>
      <c r="G260" s="2">
        <v>17748</v>
      </c>
      <c r="H260" s="2"/>
      <c r="I260" s="2">
        <v>18055</v>
      </c>
      <c r="J260" s="2"/>
      <c r="K260" s="2">
        <v>18148</v>
      </c>
      <c r="L260" s="2"/>
      <c r="M260" s="2">
        <v>19442</v>
      </c>
      <c r="N260" s="2"/>
      <c r="O260" s="2">
        <v>21188</v>
      </c>
      <c r="P260" s="2"/>
      <c r="Q260" s="2">
        <v>21021</v>
      </c>
      <c r="R260" s="2"/>
      <c r="S260" s="2" t="s">
        <v>43</v>
      </c>
      <c r="T260" s="2"/>
      <c r="U260" s="2" t="s">
        <v>43</v>
      </c>
      <c r="V260" s="2"/>
      <c r="W260" s="2" t="s">
        <v>43</v>
      </c>
      <c r="X260" s="2" t="s">
        <v>334</v>
      </c>
      <c r="Y260" s="2" t="s">
        <v>43</v>
      </c>
      <c r="Z260" s="2"/>
      <c r="AA260" s="2" t="s">
        <v>43</v>
      </c>
      <c r="AB260" s="2"/>
      <c r="AC260" s="2" t="str">
        <f>""</f>
        <v/>
      </c>
      <c r="AD260" s="2" t="str">
        <f>""</f>
        <v/>
      </c>
      <c r="AE260" s="2" t="str">
        <f>""</f>
        <v/>
      </c>
      <c r="AF260" s="2" t="str">
        <f>""</f>
        <v/>
      </c>
      <c r="AG260" s="2" t="str">
        <f>""</f>
        <v/>
      </c>
      <c r="AH260" s="2" t="str">
        <f>""</f>
        <v/>
      </c>
    </row>
    <row r="261" spans="1:34">
      <c r="A261" t="s">
        <v>1004</v>
      </c>
      <c r="B261" t="s">
        <v>1005</v>
      </c>
      <c r="C261" s="2">
        <v>1632</v>
      </c>
      <c r="D261" s="2"/>
      <c r="E261" s="2">
        <v>1505</v>
      </c>
      <c r="F261" s="2"/>
      <c r="G261" s="2">
        <v>1455</v>
      </c>
      <c r="H261" s="2"/>
      <c r="I261" s="2">
        <v>1602</v>
      </c>
      <c r="J261" s="2"/>
      <c r="K261" s="2">
        <v>1560</v>
      </c>
      <c r="L261" s="2"/>
      <c r="M261" s="2">
        <v>1618</v>
      </c>
      <c r="N261" s="2"/>
      <c r="O261" s="2">
        <v>1658</v>
      </c>
      <c r="P261" s="2"/>
      <c r="Q261" s="2">
        <v>2025</v>
      </c>
      <c r="R261" s="2"/>
      <c r="S261" s="2" t="s">
        <v>43</v>
      </c>
      <c r="T261" s="2"/>
      <c r="U261" s="2" t="s">
        <v>43</v>
      </c>
      <c r="V261" s="2"/>
      <c r="W261" s="2" t="s">
        <v>43</v>
      </c>
      <c r="X261" s="2" t="s">
        <v>334</v>
      </c>
      <c r="Y261" s="2" t="s">
        <v>43</v>
      </c>
      <c r="Z261" s="2"/>
      <c r="AA261" s="2" t="s">
        <v>43</v>
      </c>
      <c r="AB261" s="2"/>
      <c r="AC261" s="2" t="str">
        <f>""</f>
        <v/>
      </c>
      <c r="AD261" s="2" t="str">
        <f>""</f>
        <v/>
      </c>
      <c r="AE261" s="2" t="str">
        <f>""</f>
        <v/>
      </c>
      <c r="AF261" s="2" t="str">
        <f>""</f>
        <v/>
      </c>
      <c r="AG261" s="2" t="str">
        <f>""</f>
        <v/>
      </c>
      <c r="AH261" s="2" t="str">
        <f>""</f>
        <v/>
      </c>
    </row>
    <row r="262" spans="1:34">
      <c r="A262" t="s">
        <v>1006</v>
      </c>
      <c r="B262" t="s">
        <v>1007</v>
      </c>
      <c r="C262" s="2">
        <v>12135</v>
      </c>
      <c r="D262" s="2"/>
      <c r="E262" s="2">
        <v>15080</v>
      </c>
      <c r="F262" s="2"/>
      <c r="G262" s="2">
        <v>10502</v>
      </c>
      <c r="H262" s="2"/>
      <c r="I262" s="2">
        <v>9978</v>
      </c>
      <c r="J262" s="2"/>
      <c r="K262" s="2">
        <v>10918</v>
      </c>
      <c r="L262" s="2"/>
      <c r="M262" s="2">
        <v>12077</v>
      </c>
      <c r="N262" s="2"/>
      <c r="O262" s="2">
        <v>12663</v>
      </c>
      <c r="P262" s="2"/>
      <c r="Q262" s="2">
        <v>12804</v>
      </c>
      <c r="R262" s="2"/>
      <c r="S262" s="2" t="s">
        <v>43</v>
      </c>
      <c r="T262" s="2"/>
      <c r="U262" s="2" t="s">
        <v>43</v>
      </c>
      <c r="V262" s="2"/>
      <c r="W262" s="2" t="s">
        <v>43</v>
      </c>
      <c r="X262" s="2" t="s">
        <v>334</v>
      </c>
      <c r="Y262" s="2" t="s">
        <v>43</v>
      </c>
      <c r="Z262" s="2"/>
      <c r="AA262" s="2" t="s">
        <v>43</v>
      </c>
      <c r="AB262" s="2"/>
      <c r="AC262" s="2" t="str">
        <f>""</f>
        <v/>
      </c>
      <c r="AD262" s="2" t="str">
        <f>""</f>
        <v/>
      </c>
      <c r="AE262" s="2" t="str">
        <f>""</f>
        <v/>
      </c>
      <c r="AF262" s="2" t="str">
        <f>""</f>
        <v/>
      </c>
      <c r="AG262" s="2" t="str">
        <f>""</f>
        <v/>
      </c>
      <c r="AH262" s="2" t="str">
        <f>""</f>
        <v/>
      </c>
    </row>
    <row r="263" spans="1:34">
      <c r="A263" t="s">
        <v>1008</v>
      </c>
      <c r="B263" t="s">
        <v>1009</v>
      </c>
      <c r="C263" s="2">
        <v>4683</v>
      </c>
      <c r="D263" s="2"/>
      <c r="E263" s="2">
        <v>4644</v>
      </c>
      <c r="F263" s="2"/>
      <c r="G263" s="2">
        <v>5037</v>
      </c>
      <c r="H263" s="2"/>
      <c r="I263" s="2">
        <v>5534</v>
      </c>
      <c r="J263" s="2"/>
      <c r="K263" s="2">
        <v>5089</v>
      </c>
      <c r="L263" s="2"/>
      <c r="M263" s="2">
        <v>5166</v>
      </c>
      <c r="N263" s="2"/>
      <c r="O263" s="2">
        <v>5124</v>
      </c>
      <c r="P263" s="2"/>
      <c r="Q263" s="2">
        <v>5576</v>
      </c>
      <c r="R263" s="2"/>
      <c r="S263" s="2" t="s">
        <v>43</v>
      </c>
      <c r="T263" s="2"/>
      <c r="U263" s="2" t="s">
        <v>43</v>
      </c>
      <c r="V263" s="2"/>
      <c r="W263" s="2" t="s">
        <v>43</v>
      </c>
      <c r="X263" s="2" t="s">
        <v>334</v>
      </c>
      <c r="Y263" s="2" t="s">
        <v>43</v>
      </c>
      <c r="Z263" s="2"/>
      <c r="AA263" s="2" t="s">
        <v>43</v>
      </c>
      <c r="AB263" s="2"/>
      <c r="AC263" s="2" t="str">
        <f>""</f>
        <v/>
      </c>
      <c r="AD263" s="2" t="str">
        <f>""</f>
        <v/>
      </c>
      <c r="AE263" s="2" t="str">
        <f>""</f>
        <v/>
      </c>
      <c r="AF263" s="2" t="str">
        <f>""</f>
        <v/>
      </c>
      <c r="AG263" s="2" t="str">
        <f>""</f>
        <v/>
      </c>
      <c r="AH263" s="2" t="str">
        <f>""</f>
        <v/>
      </c>
    </row>
    <row r="264" spans="1:34">
      <c r="A264" t="s">
        <v>1010</v>
      </c>
      <c r="B264" t="s">
        <v>1011</v>
      </c>
      <c r="C264" s="2">
        <v>599</v>
      </c>
      <c r="D264" s="2"/>
      <c r="E264" s="2">
        <v>601</v>
      </c>
      <c r="F264" s="2"/>
      <c r="G264" s="2">
        <v>754</v>
      </c>
      <c r="H264" s="2"/>
      <c r="I264" s="2">
        <v>941</v>
      </c>
      <c r="J264" s="2"/>
      <c r="K264" s="2">
        <v>581</v>
      </c>
      <c r="L264" s="2"/>
      <c r="M264" s="2">
        <v>581</v>
      </c>
      <c r="N264" s="2"/>
      <c r="O264" s="2">
        <v>1743</v>
      </c>
      <c r="P264" s="2"/>
      <c r="Q264" s="2">
        <v>616</v>
      </c>
      <c r="R264" s="2"/>
      <c r="S264" s="2" t="s">
        <v>43</v>
      </c>
      <c r="T264" s="2"/>
      <c r="U264" s="2" t="s">
        <v>43</v>
      </c>
      <c r="V264" s="2"/>
      <c r="W264" s="2" t="s">
        <v>43</v>
      </c>
      <c r="X264" s="2" t="s">
        <v>334</v>
      </c>
      <c r="Y264" s="2" t="s">
        <v>43</v>
      </c>
      <c r="Z264" s="2"/>
      <c r="AA264" s="2" t="s">
        <v>43</v>
      </c>
      <c r="AB264" s="2"/>
      <c r="AC264" s="2" t="str">
        <f>""</f>
        <v/>
      </c>
      <c r="AD264" s="2" t="str">
        <f>""</f>
        <v/>
      </c>
      <c r="AE264" s="2" t="str">
        <f>""</f>
        <v/>
      </c>
      <c r="AF264" s="2" t="str">
        <f>""</f>
        <v/>
      </c>
      <c r="AG264" s="2" t="str">
        <f>""</f>
        <v/>
      </c>
      <c r="AH264" s="2" t="str">
        <f>""</f>
        <v/>
      </c>
    </row>
    <row r="265" spans="1:34">
      <c r="A265" t="s">
        <v>606</v>
      </c>
      <c r="B265" t="s">
        <v>607</v>
      </c>
      <c r="C265" s="2">
        <v>32762</v>
      </c>
      <c r="D265" s="2"/>
      <c r="E265" s="2">
        <v>34846</v>
      </c>
      <c r="F265" s="2"/>
      <c r="G265" s="2">
        <v>33531</v>
      </c>
      <c r="H265" s="2"/>
      <c r="I265" s="2">
        <v>34896</v>
      </c>
      <c r="J265" s="2"/>
      <c r="K265" s="2">
        <v>33308</v>
      </c>
      <c r="L265" s="2"/>
      <c r="M265" s="2">
        <v>32482</v>
      </c>
      <c r="N265" s="2"/>
      <c r="O265" s="2">
        <v>34407</v>
      </c>
      <c r="P265" s="2"/>
      <c r="Q265" s="2">
        <v>36654</v>
      </c>
      <c r="R265" s="2"/>
      <c r="S265" s="2">
        <v>35493</v>
      </c>
      <c r="T265" s="2"/>
      <c r="U265" s="2">
        <v>39433</v>
      </c>
      <c r="V265" s="2"/>
      <c r="W265" s="2">
        <v>41110</v>
      </c>
      <c r="X265" s="2" t="s">
        <v>334</v>
      </c>
      <c r="Y265" s="2">
        <v>42156</v>
      </c>
      <c r="Z265" s="2"/>
      <c r="AA265" s="2">
        <v>40759</v>
      </c>
      <c r="AB265" s="2"/>
      <c r="AC265" s="2">
        <f>Post2020_Derivation!G305</f>
        <v>39894</v>
      </c>
      <c r="AD265" s="2" t="e">
        <f ca="1">IF(Post2020_Derivation!H305="","",Post2020_Derivation!H305)</f>
        <v>#NAME?</v>
      </c>
      <c r="AE265" s="2">
        <f>Post2020_Derivation!M305</f>
        <v>38962</v>
      </c>
      <c r="AF265" s="2" t="e">
        <f ca="1">IF(Post2020_Derivation!N305="","",Post2020_Derivation!N305)</f>
        <v>#NAME?</v>
      </c>
      <c r="AG265" s="2">
        <f>Post2020_Derivation!S305</f>
        <v>40959</v>
      </c>
      <c r="AH265" s="2" t="e">
        <f ca="1">IF(Post2020_Derivation!T305="","",Post2020_Derivation!T305)</f>
        <v>#NAME?</v>
      </c>
    </row>
    <row r="266" spans="1:34">
      <c r="A266" t="s">
        <v>608</v>
      </c>
      <c r="B266" t="s">
        <v>609</v>
      </c>
      <c r="C266" s="2">
        <v>21409</v>
      </c>
      <c r="D266" s="2"/>
      <c r="E266" s="2">
        <v>23025</v>
      </c>
      <c r="F266" s="2"/>
      <c r="G266" s="2">
        <v>21047</v>
      </c>
      <c r="H266" s="2"/>
      <c r="I266" s="2">
        <v>21976</v>
      </c>
      <c r="J266" s="2"/>
      <c r="K266" s="2">
        <v>20997</v>
      </c>
      <c r="L266" s="2"/>
      <c r="M266" s="2">
        <v>20002</v>
      </c>
      <c r="N266" s="2"/>
      <c r="O266" s="2">
        <v>21143</v>
      </c>
      <c r="P266" s="2"/>
      <c r="Q266" s="2">
        <v>22675</v>
      </c>
      <c r="R266" s="2"/>
      <c r="S266" s="2">
        <v>23615</v>
      </c>
      <c r="T266" s="2"/>
      <c r="U266" s="2">
        <v>25621</v>
      </c>
      <c r="V266" s="2"/>
      <c r="W266" s="2">
        <v>26991</v>
      </c>
      <c r="X266" s="2" t="s">
        <v>334</v>
      </c>
      <c r="Y266" s="2">
        <v>28062</v>
      </c>
      <c r="Z266" s="2"/>
      <c r="AA266" s="2">
        <v>27626</v>
      </c>
      <c r="AB266" s="2"/>
      <c r="AC266" s="2">
        <f>Post2020_Derivation!G306</f>
        <v>27144</v>
      </c>
      <c r="AD266" s="2" t="e">
        <f ca="1">IF(Post2020_Derivation!H306="","",Post2020_Derivation!H306)</f>
        <v>#NAME?</v>
      </c>
      <c r="AE266" s="2">
        <f>Post2020_Derivation!M306</f>
        <v>27378</v>
      </c>
      <c r="AF266" s="2" t="e">
        <f ca="1">IF(Post2020_Derivation!N306="","",Post2020_Derivation!N306)</f>
        <v>#NAME?</v>
      </c>
      <c r="AG266" s="2">
        <f>Post2020_Derivation!S306</f>
        <v>27370</v>
      </c>
      <c r="AH266" s="2" t="e">
        <f ca="1">IF(Post2020_Derivation!T306="","",Post2020_Derivation!T306)</f>
        <v>#NAME?</v>
      </c>
    </row>
    <row r="267" spans="1:34">
      <c r="A267" t="s">
        <v>610</v>
      </c>
      <c r="B267" t="s">
        <v>611</v>
      </c>
      <c r="C267" s="2">
        <v>1693</v>
      </c>
      <c r="D267" s="2"/>
      <c r="E267" s="2">
        <v>2311</v>
      </c>
      <c r="F267" s="2"/>
      <c r="G267" s="2">
        <v>2610</v>
      </c>
      <c r="H267" s="2"/>
      <c r="I267" s="2">
        <v>3108</v>
      </c>
      <c r="J267" s="2"/>
      <c r="K267" s="2">
        <v>2993</v>
      </c>
      <c r="L267" s="2"/>
      <c r="M267" s="2">
        <v>3386</v>
      </c>
      <c r="N267" s="2"/>
      <c r="O267" s="2">
        <v>3443</v>
      </c>
      <c r="P267" s="2"/>
      <c r="Q267" s="2">
        <v>3693</v>
      </c>
      <c r="R267" s="2"/>
      <c r="S267" s="2">
        <v>2183</v>
      </c>
      <c r="T267" s="2"/>
      <c r="U267" s="2">
        <v>4297</v>
      </c>
      <c r="V267" s="2"/>
      <c r="W267" s="2">
        <v>4113</v>
      </c>
      <c r="X267" s="2" t="s">
        <v>334</v>
      </c>
      <c r="Y267" s="2">
        <v>4059</v>
      </c>
      <c r="Z267" s="2"/>
      <c r="AA267" s="2">
        <v>4054</v>
      </c>
      <c r="AB267" s="2"/>
      <c r="AC267" s="2">
        <f>Post2020_Derivation!G307</f>
        <v>4116</v>
      </c>
      <c r="AD267" s="2" t="e">
        <f ca="1">IF(Post2020_Derivation!H307="","",Post2020_Derivation!H307)</f>
        <v>#NAME?</v>
      </c>
      <c r="AE267" s="2">
        <f>Post2020_Derivation!M307</f>
        <v>3901</v>
      </c>
      <c r="AF267" s="2" t="e">
        <f ca="1">IF(Post2020_Derivation!N307="","",Post2020_Derivation!N307)</f>
        <v>#NAME?</v>
      </c>
      <c r="AG267" s="2">
        <f>Post2020_Derivation!S307</f>
        <v>4160</v>
      </c>
      <c r="AH267" s="2" t="e">
        <f ca="1">IF(Post2020_Derivation!T307="","",Post2020_Derivation!T307)</f>
        <v>#NAME?</v>
      </c>
    </row>
    <row r="268" spans="1:34">
      <c r="A268" t="s">
        <v>612</v>
      </c>
      <c r="B268" t="s">
        <v>613</v>
      </c>
      <c r="C268" s="2">
        <v>9660</v>
      </c>
      <c r="D268" s="2"/>
      <c r="E268" s="2">
        <v>9510</v>
      </c>
      <c r="F268" s="2"/>
      <c r="G268" s="2">
        <v>9874</v>
      </c>
      <c r="H268" s="2"/>
      <c r="I268" s="2">
        <v>9812</v>
      </c>
      <c r="J268" s="2"/>
      <c r="K268" s="2">
        <v>9318</v>
      </c>
      <c r="L268" s="2"/>
      <c r="M268" s="2">
        <v>9094</v>
      </c>
      <c r="N268" s="2"/>
      <c r="O268" s="2">
        <v>9821</v>
      </c>
      <c r="P268" s="2"/>
      <c r="Q268" s="2">
        <v>10286</v>
      </c>
      <c r="R268" s="2"/>
      <c r="S268" s="2">
        <v>9695</v>
      </c>
      <c r="T268" s="2"/>
      <c r="U268" s="2">
        <v>9515</v>
      </c>
      <c r="V268" s="2"/>
      <c r="W268" s="2">
        <v>10006</v>
      </c>
      <c r="X268" s="2" t="s">
        <v>334</v>
      </c>
      <c r="Y268" s="2">
        <v>10035</v>
      </c>
      <c r="Z268" s="2"/>
      <c r="AA268" s="2">
        <v>9079</v>
      </c>
      <c r="AB268" s="2"/>
      <c r="AC268" s="2">
        <f>Post2020_Derivation!G308</f>
        <v>8580</v>
      </c>
      <c r="AD268" s="2" t="e">
        <f ca="1">IF(Post2020_Derivation!H308="","",Post2020_Derivation!H308)</f>
        <v>#NAME?</v>
      </c>
      <c r="AE268" s="2">
        <f>Post2020_Derivation!M308</f>
        <v>7749</v>
      </c>
      <c r="AF268" s="2" t="e">
        <f ca="1">IF(Post2020_Derivation!N308="","",Post2020_Derivation!N308)</f>
        <v>#NAME?</v>
      </c>
      <c r="AG268" s="2">
        <f>Post2020_Derivation!S308</f>
        <v>9331</v>
      </c>
      <c r="AH268" s="2" t="e">
        <f ca="1">IF(Post2020_Derivation!T308="","",Post2020_Derivation!T308)</f>
        <v>#NAME?</v>
      </c>
    </row>
    <row r="269" spans="1:34">
      <c r="A269" t="s">
        <v>614</v>
      </c>
      <c r="B269" t="s">
        <v>615</v>
      </c>
      <c r="C269" s="2">
        <v>24228</v>
      </c>
      <c r="D269" s="2"/>
      <c r="E269" s="2">
        <v>23185</v>
      </c>
      <c r="F269" s="2"/>
      <c r="G269" s="2">
        <v>24730</v>
      </c>
      <c r="H269" s="2"/>
      <c r="I269" s="2">
        <v>27779</v>
      </c>
      <c r="J269" s="2"/>
      <c r="K269" s="2">
        <v>28098</v>
      </c>
      <c r="L269" s="2"/>
      <c r="M269" s="2">
        <v>31923</v>
      </c>
      <c r="N269" s="2"/>
      <c r="O269" s="2">
        <v>34415</v>
      </c>
      <c r="P269" s="2"/>
      <c r="Q269" s="2">
        <v>36196</v>
      </c>
      <c r="R269" s="2"/>
      <c r="S269" s="2">
        <v>36618</v>
      </c>
      <c r="T269" s="2"/>
      <c r="U269" s="2">
        <v>40060</v>
      </c>
      <c r="V269" s="2"/>
      <c r="W269" s="2">
        <v>43804</v>
      </c>
      <c r="X269" s="2" t="s">
        <v>334</v>
      </c>
      <c r="Y269" s="2">
        <v>47062</v>
      </c>
      <c r="Z269" s="2"/>
      <c r="AA269" s="2">
        <v>45115</v>
      </c>
      <c r="AB269" s="2"/>
      <c r="AC269" s="2">
        <f>Post2020_Derivation!G309</f>
        <v>46716</v>
      </c>
      <c r="AD269" s="2" t="e">
        <f ca="1">IF(Post2020_Derivation!H309="","",Post2020_Derivation!H309)</f>
        <v>#NAME?</v>
      </c>
      <c r="AE269" s="2">
        <f>Post2020_Derivation!M309</f>
        <v>44688</v>
      </c>
      <c r="AF269" s="2" t="e">
        <f ca="1">IF(Post2020_Derivation!N309="","",Post2020_Derivation!N309)</f>
        <v>#NAME?</v>
      </c>
      <c r="AG269" s="2">
        <f>Post2020_Derivation!S309</f>
        <v>43095</v>
      </c>
      <c r="AH269" s="2" t="e">
        <f ca="1">IF(Post2020_Derivation!T309="","",Post2020_Derivation!T309)</f>
        <v>#NAME?</v>
      </c>
    </row>
    <row r="270" spans="1:34">
      <c r="A270" t="s">
        <v>616</v>
      </c>
      <c r="B270" t="s">
        <v>617</v>
      </c>
      <c r="C270" s="2">
        <v>21994</v>
      </c>
      <c r="D270" s="2"/>
      <c r="E270" s="2">
        <v>17867</v>
      </c>
      <c r="F270" s="2"/>
      <c r="G270" s="2">
        <v>19386</v>
      </c>
      <c r="H270" s="2"/>
      <c r="I270" s="2">
        <v>22267</v>
      </c>
      <c r="J270" s="2"/>
      <c r="K270" s="2">
        <v>22074</v>
      </c>
      <c r="L270" s="2"/>
      <c r="M270" s="2">
        <v>26312</v>
      </c>
      <c r="N270" s="2"/>
      <c r="O270" s="2">
        <v>28536</v>
      </c>
      <c r="P270" s="2"/>
      <c r="Q270" s="2">
        <v>30631</v>
      </c>
      <c r="R270" s="2"/>
      <c r="S270" s="2">
        <v>31178</v>
      </c>
      <c r="T270" s="2"/>
      <c r="U270" s="2">
        <v>34148</v>
      </c>
      <c r="V270" s="2"/>
      <c r="W270" s="2">
        <v>37102</v>
      </c>
      <c r="X270" s="2" t="s">
        <v>334</v>
      </c>
      <c r="Y270" s="2">
        <v>39944</v>
      </c>
      <c r="Z270" s="2"/>
      <c r="AA270" s="2">
        <v>38424</v>
      </c>
      <c r="AB270" s="2"/>
      <c r="AC270" s="2">
        <f>Post2020_Derivation!G310</f>
        <v>39879</v>
      </c>
      <c r="AD270" s="2" t="e">
        <f ca="1">IF(Post2020_Derivation!H310="","",Post2020_Derivation!H310)</f>
        <v>#NAME?</v>
      </c>
      <c r="AE270" s="2">
        <f>Post2020_Derivation!M310</f>
        <v>37758</v>
      </c>
      <c r="AF270" s="2" t="e">
        <f ca="1">IF(Post2020_Derivation!N310="","",Post2020_Derivation!N310)</f>
        <v>#NAME?</v>
      </c>
      <c r="AG270" s="2">
        <f>Post2020_Derivation!S310</f>
        <v>37467</v>
      </c>
      <c r="AH270" s="2" t="e">
        <f ca="1">IF(Post2020_Derivation!T310="","",Post2020_Derivation!T310)</f>
        <v>#NAME?</v>
      </c>
    </row>
    <row r="271" spans="1:34">
      <c r="A271" t="s">
        <v>618</v>
      </c>
      <c r="B271" t="s">
        <v>619</v>
      </c>
      <c r="C271" s="2">
        <v>2234</v>
      </c>
      <c r="D271" s="2"/>
      <c r="E271" s="2">
        <v>5318</v>
      </c>
      <c r="F271" s="2"/>
      <c r="G271" s="2">
        <v>5344</v>
      </c>
      <c r="H271" s="2"/>
      <c r="I271" s="2">
        <v>5512</v>
      </c>
      <c r="J271" s="2"/>
      <c r="K271" s="2">
        <v>6024</v>
      </c>
      <c r="L271" s="2"/>
      <c r="M271" s="2">
        <v>5611</v>
      </c>
      <c r="N271" s="2"/>
      <c r="O271" s="2">
        <v>5879</v>
      </c>
      <c r="P271" s="2"/>
      <c r="Q271" s="2">
        <v>5565</v>
      </c>
      <c r="R271" s="2"/>
      <c r="S271" s="2">
        <v>5440</v>
      </c>
      <c r="T271" s="2"/>
      <c r="U271" s="2">
        <v>5912</v>
      </c>
      <c r="V271" s="2"/>
      <c r="W271" s="2">
        <v>6702</v>
      </c>
      <c r="X271" s="2" t="s">
        <v>334</v>
      </c>
      <c r="Y271" s="2">
        <v>7118</v>
      </c>
      <c r="Z271" s="2"/>
      <c r="AA271" s="2">
        <v>6691</v>
      </c>
      <c r="AB271" s="2"/>
      <c r="AC271" s="2">
        <f>Post2020_Derivation!G311</f>
        <v>7000</v>
      </c>
      <c r="AD271" s="2" t="e">
        <f ca="1">IF(Post2020_Derivation!H311="","",Post2020_Derivation!H311)</f>
        <v>#NAME?</v>
      </c>
      <c r="AE271" s="2">
        <f>Post2020_Derivation!M311</f>
        <v>6972</v>
      </c>
      <c r="AF271" s="2" t="e">
        <f ca="1">IF(Post2020_Derivation!N311="","",Post2020_Derivation!N311)</f>
        <v>#NAME?</v>
      </c>
      <c r="AG271" s="2">
        <f>Post2020_Derivation!S311</f>
        <v>5560</v>
      </c>
      <c r="AH271" s="2" t="e">
        <f ca="1">IF(Post2020_Derivation!T311="","",Post2020_Derivation!T311)</f>
        <v>#NAME?</v>
      </c>
    </row>
    <row r="272" spans="1:34">
      <c r="A272" t="s">
        <v>620</v>
      </c>
      <c r="B272" t="s">
        <v>621</v>
      </c>
      <c r="C272" s="2">
        <v>7472</v>
      </c>
      <c r="D272" s="2"/>
      <c r="E272" s="2">
        <v>7298</v>
      </c>
      <c r="F272" s="2"/>
      <c r="G272" s="2">
        <v>6900</v>
      </c>
      <c r="H272" s="2"/>
      <c r="I272" s="2">
        <v>7397</v>
      </c>
      <c r="J272" s="2"/>
      <c r="K272" s="2">
        <v>7039</v>
      </c>
      <c r="L272" s="2"/>
      <c r="M272" s="2">
        <v>7121</v>
      </c>
      <c r="N272" s="2"/>
      <c r="O272" s="2">
        <v>6921</v>
      </c>
      <c r="P272" s="2"/>
      <c r="Q272" s="2">
        <v>6925</v>
      </c>
      <c r="R272" s="2"/>
      <c r="S272" s="2">
        <v>6891</v>
      </c>
      <c r="T272" s="2"/>
      <c r="U272" s="2">
        <v>7247</v>
      </c>
      <c r="V272" s="2"/>
      <c r="W272" s="2">
        <v>7982</v>
      </c>
      <c r="X272" s="2" t="s">
        <v>334</v>
      </c>
      <c r="Y272" s="2">
        <v>9014</v>
      </c>
      <c r="Z272" s="2"/>
      <c r="AA272" s="2">
        <v>8934</v>
      </c>
      <c r="AB272" s="2"/>
      <c r="AC272" s="2">
        <f>Post2020_Derivation!G312</f>
        <v>8626</v>
      </c>
      <c r="AD272" s="2" t="e">
        <f ca="1">IF(Post2020_Derivation!H312="","",Post2020_Derivation!H312)</f>
        <v>#NAME?</v>
      </c>
      <c r="AE272" s="2">
        <f>Post2020_Derivation!M312</f>
        <v>9102</v>
      </c>
      <c r="AF272" s="2" t="e">
        <f ca="1">IF(Post2020_Derivation!N312="","",Post2020_Derivation!N312)</f>
        <v>#NAME?</v>
      </c>
      <c r="AG272" s="2">
        <f>Post2020_Derivation!S312</f>
        <v>8960</v>
      </c>
      <c r="AH272" s="2" t="e">
        <f ca="1">IF(Post2020_Derivation!T312="","",Post2020_Derivation!T312)</f>
        <v>#NAME?</v>
      </c>
    </row>
    <row r="273" spans="1:34">
      <c r="A273" t="s">
        <v>622</v>
      </c>
      <c r="B273" t="s">
        <v>623</v>
      </c>
      <c r="C273" s="2">
        <v>2663</v>
      </c>
      <c r="D273" s="2"/>
      <c r="E273" s="2">
        <v>2484</v>
      </c>
      <c r="F273" s="2"/>
      <c r="G273" s="2">
        <v>2105</v>
      </c>
      <c r="H273" s="2"/>
      <c r="I273" s="2">
        <v>2579</v>
      </c>
      <c r="J273" s="2"/>
      <c r="K273" s="2">
        <v>2339</v>
      </c>
      <c r="L273" s="2"/>
      <c r="M273" s="2">
        <v>2283</v>
      </c>
      <c r="N273" s="2"/>
      <c r="O273" s="2">
        <v>2068</v>
      </c>
      <c r="P273" s="2"/>
      <c r="Q273" s="2">
        <v>2223</v>
      </c>
      <c r="R273" s="2"/>
      <c r="S273" s="2">
        <v>2200</v>
      </c>
      <c r="T273" s="2"/>
      <c r="U273" s="2">
        <v>2196</v>
      </c>
      <c r="V273" s="2"/>
      <c r="W273" s="2">
        <v>2839</v>
      </c>
      <c r="X273" s="2" t="s">
        <v>334</v>
      </c>
      <c r="Y273" s="2">
        <v>3467</v>
      </c>
      <c r="Z273" s="2"/>
      <c r="AA273" s="2">
        <v>3458</v>
      </c>
      <c r="AB273" s="2"/>
      <c r="AC273" s="2">
        <f>Post2020_Derivation!G313</f>
        <v>3528</v>
      </c>
      <c r="AD273" s="2" t="e">
        <f ca="1">IF(Post2020_Derivation!H313="","",Post2020_Derivation!H313)</f>
        <v>#NAME?</v>
      </c>
      <c r="AE273" s="2">
        <f>Post2020_Derivation!M313</f>
        <v>3738</v>
      </c>
      <c r="AF273" s="2" t="e">
        <f ca="1">IF(Post2020_Derivation!N313="","",Post2020_Derivation!N313)</f>
        <v>#NAME?</v>
      </c>
      <c r="AG273" s="2">
        <f>Post2020_Derivation!S313</f>
        <v>3306</v>
      </c>
      <c r="AH273" s="2" t="e">
        <f ca="1">IF(Post2020_Derivation!T313="","",Post2020_Derivation!T313)</f>
        <v>#NAME?</v>
      </c>
    </row>
    <row r="274" spans="1:34">
      <c r="A274" t="s">
        <v>624</v>
      </c>
      <c r="B274" t="s">
        <v>625</v>
      </c>
      <c r="C274" s="2">
        <v>1654</v>
      </c>
      <c r="D274" s="2"/>
      <c r="E274" s="2">
        <v>1473</v>
      </c>
      <c r="F274" s="2"/>
      <c r="G274" s="2">
        <v>1215</v>
      </c>
      <c r="H274" s="2"/>
      <c r="I274" s="2">
        <v>1061</v>
      </c>
      <c r="J274" s="2"/>
      <c r="K274" s="2">
        <v>972</v>
      </c>
      <c r="L274" s="2"/>
      <c r="M274" s="2">
        <v>905</v>
      </c>
      <c r="N274" s="2"/>
      <c r="O274" s="2">
        <v>918</v>
      </c>
      <c r="P274" s="2"/>
      <c r="Q274" s="2">
        <v>1052</v>
      </c>
      <c r="R274" s="2"/>
      <c r="S274" s="2">
        <v>976</v>
      </c>
      <c r="T274" s="2"/>
      <c r="U274" s="2">
        <v>999</v>
      </c>
      <c r="V274" s="2"/>
      <c r="W274" s="2">
        <v>1129</v>
      </c>
      <c r="X274" s="2" t="s">
        <v>334</v>
      </c>
      <c r="Y274" s="2">
        <v>1282</v>
      </c>
      <c r="Z274" s="2"/>
      <c r="AA274" s="2">
        <v>1107</v>
      </c>
      <c r="AB274" s="2"/>
      <c r="AC274" s="2">
        <f>Post2020_Derivation!G314</f>
        <v>1024</v>
      </c>
      <c r="AD274" s="2" t="e">
        <f ca="1">IF(Post2020_Derivation!H314="","",Post2020_Derivation!H314)</f>
        <v>#NAME?</v>
      </c>
      <c r="AE274" s="2">
        <f>Post2020_Derivation!M314</f>
        <v>960</v>
      </c>
      <c r="AF274" s="2" t="e">
        <f ca="1">IF(Post2020_Derivation!N314="","",Post2020_Derivation!N314)</f>
        <v>#NAME?</v>
      </c>
      <c r="AG274" s="2">
        <f>Post2020_Derivation!S314</f>
        <v>1054</v>
      </c>
      <c r="AH274" s="2" t="e">
        <f ca="1">IF(Post2020_Derivation!T314="","",Post2020_Derivation!T314)</f>
        <v>#NAME?</v>
      </c>
    </row>
    <row r="275" spans="1:34">
      <c r="A275" t="s">
        <v>626</v>
      </c>
      <c r="B275" t="s">
        <v>627</v>
      </c>
      <c r="C275" s="2">
        <v>3155</v>
      </c>
      <c r="D275" s="2"/>
      <c r="E275" s="2">
        <v>3341</v>
      </c>
      <c r="F275" s="2"/>
      <c r="G275" s="2">
        <v>3580</v>
      </c>
      <c r="H275" s="2"/>
      <c r="I275" s="2">
        <v>3757</v>
      </c>
      <c r="J275" s="2"/>
      <c r="K275" s="2">
        <v>3728</v>
      </c>
      <c r="L275" s="2"/>
      <c r="M275" s="2">
        <v>3933</v>
      </c>
      <c r="N275" s="2"/>
      <c r="O275" s="2">
        <v>3935</v>
      </c>
      <c r="P275" s="2"/>
      <c r="Q275" s="2">
        <v>3650</v>
      </c>
      <c r="R275" s="2"/>
      <c r="S275" s="2">
        <v>3715</v>
      </c>
      <c r="T275" s="2"/>
      <c r="U275" s="2">
        <v>4052</v>
      </c>
      <c r="V275" s="2"/>
      <c r="W275" s="2">
        <v>4014</v>
      </c>
      <c r="X275" s="2" t="s">
        <v>334</v>
      </c>
      <c r="Y275" s="2">
        <v>4265</v>
      </c>
      <c r="Z275" s="2"/>
      <c r="AA275" s="2">
        <v>4369</v>
      </c>
      <c r="AB275" s="2"/>
      <c r="AC275" s="2">
        <f>Post2020_Derivation!G315</f>
        <v>4171</v>
      </c>
      <c r="AD275" s="2" t="e">
        <f ca="1">IF(Post2020_Derivation!H315="","",Post2020_Derivation!H315)</f>
        <v>#NAME?</v>
      </c>
      <c r="AE275" s="2">
        <f>Post2020_Derivation!M315</f>
        <v>4343</v>
      </c>
      <c r="AF275" s="2" t="e">
        <f ca="1">IF(Post2020_Derivation!N315="","",Post2020_Derivation!N315)</f>
        <v>#NAME?</v>
      </c>
      <c r="AG275" s="2">
        <f>Post2020_Derivation!S315</f>
        <v>4635</v>
      </c>
      <c r="AH275" s="2" t="e">
        <f ca="1">IF(Post2020_Derivation!T315="","",Post2020_Derivation!T315)</f>
        <v>#NAME?</v>
      </c>
    </row>
    <row r="276" spans="1:34">
      <c r="A276" t="s">
        <v>628</v>
      </c>
      <c r="B276" t="s">
        <v>629</v>
      </c>
      <c r="C276" s="2" t="s">
        <v>43</v>
      </c>
      <c r="D276" s="2"/>
      <c r="E276" s="2" t="s">
        <v>43</v>
      </c>
      <c r="F276" s="2"/>
      <c r="G276" s="2" t="s">
        <v>43</v>
      </c>
      <c r="H276" s="2"/>
      <c r="I276" s="2" t="s">
        <v>43</v>
      </c>
      <c r="J276" s="2"/>
      <c r="K276" s="2" t="s">
        <v>43</v>
      </c>
      <c r="L276" s="2"/>
      <c r="M276" s="2" t="s">
        <v>43</v>
      </c>
      <c r="N276" s="2"/>
      <c r="O276" s="2" t="s">
        <v>43</v>
      </c>
      <c r="P276" s="2"/>
      <c r="Q276" s="2" t="s">
        <v>43</v>
      </c>
      <c r="R276" s="2"/>
      <c r="S276" s="2">
        <v>12166</v>
      </c>
      <c r="T276" s="2"/>
      <c r="U276" s="2">
        <v>13028</v>
      </c>
      <c r="V276" s="2"/>
      <c r="W276" s="2">
        <v>14118</v>
      </c>
      <c r="X276" s="2" t="s">
        <v>334</v>
      </c>
      <c r="Y276" s="2">
        <v>14347</v>
      </c>
      <c r="Z276" s="2"/>
      <c r="AA276" s="2">
        <v>14169</v>
      </c>
      <c r="AB276" s="2"/>
      <c r="AC276" s="2">
        <f>Post2020_Derivation!G316</f>
        <v>15330</v>
      </c>
      <c r="AD276" s="2" t="e">
        <f ca="1">IF(Post2020_Derivation!H316="","",Post2020_Derivation!H316)</f>
        <v>#NAME?</v>
      </c>
      <c r="AE276" s="2">
        <f>Post2020_Derivation!M316</f>
        <v>15750</v>
      </c>
      <c r="AF276" s="2" t="e">
        <f ca="1">IF(Post2020_Derivation!N316="","",Post2020_Derivation!N316)</f>
        <v>#NAME?</v>
      </c>
      <c r="AG276" s="2">
        <f>Post2020_Derivation!S316</f>
        <v>15884</v>
      </c>
      <c r="AH276" s="2" t="e">
        <f ca="1">IF(Post2020_Derivation!T316="","",Post2020_Derivation!T316)</f>
        <v>#NAME?</v>
      </c>
    </row>
    <row r="277" spans="1:34">
      <c r="A277" t="s">
        <v>630</v>
      </c>
      <c r="B277" t="s">
        <v>631</v>
      </c>
      <c r="C277" s="2" t="s">
        <v>43</v>
      </c>
      <c r="D277" s="2"/>
      <c r="E277" s="2" t="s">
        <v>43</v>
      </c>
      <c r="F277" s="2"/>
      <c r="G277" s="2" t="s">
        <v>43</v>
      </c>
      <c r="H277" s="2"/>
      <c r="I277" s="2" t="s">
        <v>43</v>
      </c>
      <c r="J277" s="2"/>
      <c r="K277" s="2" t="s">
        <v>43</v>
      </c>
      <c r="L277" s="2"/>
      <c r="M277" s="2" t="s">
        <v>43</v>
      </c>
      <c r="N277" s="2"/>
      <c r="O277" s="2" t="s">
        <v>43</v>
      </c>
      <c r="P277" s="2"/>
      <c r="Q277" s="2" t="s">
        <v>43</v>
      </c>
      <c r="R277" s="2"/>
      <c r="S277" s="2">
        <v>5880</v>
      </c>
      <c r="T277" s="2"/>
      <c r="U277" s="2">
        <v>6486</v>
      </c>
      <c r="V277" s="2"/>
      <c r="W277" s="2">
        <v>7007</v>
      </c>
      <c r="X277" s="2" t="s">
        <v>334</v>
      </c>
      <c r="Y277" s="2">
        <v>6608</v>
      </c>
      <c r="Z277" s="2"/>
      <c r="AA277" s="2">
        <v>6346</v>
      </c>
      <c r="AB277" s="2"/>
      <c r="AC277" s="2">
        <f>Post2020_Derivation!G317</f>
        <v>7695</v>
      </c>
      <c r="AD277" s="2" t="e">
        <f ca="1">IF(Post2020_Derivation!H317="","",Post2020_Derivation!H317)</f>
        <v>#NAME?</v>
      </c>
      <c r="AE277" s="2">
        <f>Post2020_Derivation!M317</f>
        <v>8308</v>
      </c>
      <c r="AF277" s="2" t="e">
        <f ca="1">IF(Post2020_Derivation!N317="","",Post2020_Derivation!N317)</f>
        <v>#NAME?</v>
      </c>
      <c r="AG277" s="2">
        <f>Post2020_Derivation!S317</f>
        <v>8246</v>
      </c>
      <c r="AH277" s="2" t="e">
        <f ca="1">IF(Post2020_Derivation!T317="","",Post2020_Derivation!T317)</f>
        <v>#NAME?</v>
      </c>
    </row>
    <row r="278" spans="1:34">
      <c r="A278" t="s">
        <v>632</v>
      </c>
      <c r="B278" t="s">
        <v>633</v>
      </c>
      <c r="C278" s="2" t="s">
        <v>43</v>
      </c>
      <c r="D278" s="2"/>
      <c r="E278" s="2" t="s">
        <v>43</v>
      </c>
      <c r="F278" s="2"/>
      <c r="G278" s="2" t="s">
        <v>43</v>
      </c>
      <c r="H278" s="2"/>
      <c r="I278" s="2" t="s">
        <v>43</v>
      </c>
      <c r="J278" s="2"/>
      <c r="K278" s="2" t="s">
        <v>43</v>
      </c>
      <c r="L278" s="2"/>
      <c r="M278" s="2" t="s">
        <v>43</v>
      </c>
      <c r="N278" s="2"/>
      <c r="O278" s="2" t="s">
        <v>43</v>
      </c>
      <c r="P278" s="2"/>
      <c r="Q278" s="2" t="s">
        <v>43</v>
      </c>
      <c r="R278" s="2"/>
      <c r="S278" s="2">
        <v>6286</v>
      </c>
      <c r="T278" s="2"/>
      <c r="U278" s="2">
        <v>6542</v>
      </c>
      <c r="V278" s="2"/>
      <c r="W278" s="2">
        <v>7111</v>
      </c>
      <c r="X278" s="2" t="s">
        <v>334</v>
      </c>
      <c r="Y278" s="2">
        <v>7739</v>
      </c>
      <c r="Z278" s="2"/>
      <c r="AA278" s="2">
        <v>7823</v>
      </c>
      <c r="AB278" s="2"/>
      <c r="AC278" s="2">
        <f>Post2020_Derivation!G318</f>
        <v>7725</v>
      </c>
      <c r="AD278" s="2" t="e">
        <f ca="1">IF(Post2020_Derivation!H318="","",Post2020_Derivation!H318)</f>
        <v>#NAME?</v>
      </c>
      <c r="AE278" s="2">
        <f>Post2020_Derivation!M318</f>
        <v>7448</v>
      </c>
      <c r="AF278" s="2" t="e">
        <f ca="1">IF(Post2020_Derivation!N318="","",Post2020_Derivation!N318)</f>
        <v>#NAME?</v>
      </c>
      <c r="AG278" s="2">
        <f>Post2020_Derivation!S318</f>
        <v>7676</v>
      </c>
      <c r="AH278" s="2" t="e">
        <f ca="1">IF(Post2020_Derivation!T318="","",Post2020_Derivation!T318)</f>
        <v>#NAME?</v>
      </c>
    </row>
    <row r="279" spans="1:34">
      <c r="A279" t="s">
        <v>634</v>
      </c>
      <c r="B279" t="s">
        <v>635</v>
      </c>
      <c r="C279" s="2" t="s">
        <v>43</v>
      </c>
      <c r="D279" s="2"/>
      <c r="E279" s="2" t="s">
        <v>43</v>
      </c>
      <c r="F279" s="2"/>
      <c r="G279" s="2" t="s">
        <v>43</v>
      </c>
      <c r="H279" s="2"/>
      <c r="I279" s="2" t="s">
        <v>43</v>
      </c>
      <c r="J279" s="2"/>
      <c r="K279" s="2" t="s">
        <v>43</v>
      </c>
      <c r="L279" s="2"/>
      <c r="M279" s="2" t="s">
        <v>43</v>
      </c>
      <c r="N279" s="2"/>
      <c r="O279" s="2" t="s">
        <v>43</v>
      </c>
      <c r="P279" s="2"/>
      <c r="Q279" s="2" t="s">
        <v>43</v>
      </c>
      <c r="R279" s="2"/>
      <c r="S279" s="2">
        <v>15858</v>
      </c>
      <c r="T279" s="2"/>
      <c r="U279" s="2">
        <v>16700</v>
      </c>
      <c r="V279" s="2"/>
      <c r="W279" s="2">
        <v>20442</v>
      </c>
      <c r="X279" s="2" t="s">
        <v>334</v>
      </c>
      <c r="Y279" s="2">
        <v>19130</v>
      </c>
      <c r="Z279" s="2"/>
      <c r="AA279" s="2">
        <v>16812</v>
      </c>
      <c r="AB279" s="2"/>
      <c r="AC279" s="2">
        <f>Post2020_Derivation!G319</f>
        <v>16732</v>
      </c>
      <c r="AD279" s="2" t="e">
        <f ca="1">IF(Post2020_Derivation!H319="","",Post2020_Derivation!H319)</f>
        <v>#NAME?</v>
      </c>
      <c r="AE279" s="2">
        <f>Post2020_Derivation!M319</f>
        <v>16154</v>
      </c>
      <c r="AF279" s="2" t="e">
        <f ca="1">IF(Post2020_Derivation!N319="","",Post2020_Derivation!N319)</f>
        <v>#NAME?</v>
      </c>
      <c r="AG279" s="2">
        <f>Post2020_Derivation!S319</f>
        <v>17711</v>
      </c>
      <c r="AH279" s="2" t="e">
        <f ca="1">IF(Post2020_Derivation!T319="","",Post2020_Derivation!T319)</f>
        <v>#NAME?</v>
      </c>
    </row>
    <row r="280" spans="1:34">
      <c r="A280" t="s">
        <v>636</v>
      </c>
      <c r="B280" t="s">
        <v>637</v>
      </c>
      <c r="C280" s="2" t="s">
        <v>43</v>
      </c>
      <c r="D280" s="2"/>
      <c r="E280" s="2" t="s">
        <v>43</v>
      </c>
      <c r="F280" s="2"/>
      <c r="G280" s="2" t="s">
        <v>43</v>
      </c>
      <c r="H280" s="2"/>
      <c r="I280" s="2" t="s">
        <v>43</v>
      </c>
      <c r="J280" s="2"/>
      <c r="K280" s="2" t="s">
        <v>43</v>
      </c>
      <c r="L280" s="2"/>
      <c r="M280" s="2" t="s">
        <v>43</v>
      </c>
      <c r="N280" s="2"/>
      <c r="O280" s="2" t="s">
        <v>43</v>
      </c>
      <c r="P280" s="2"/>
      <c r="Q280" s="2" t="s">
        <v>43</v>
      </c>
      <c r="R280" s="2"/>
      <c r="S280" s="2">
        <v>2244</v>
      </c>
      <c r="T280" s="2"/>
      <c r="U280" s="2">
        <v>2368</v>
      </c>
      <c r="V280" s="2"/>
      <c r="W280" s="2">
        <v>3622</v>
      </c>
      <c r="X280" s="2" t="s">
        <v>334</v>
      </c>
      <c r="Y280" s="2">
        <v>2745</v>
      </c>
      <c r="Z280" s="2"/>
      <c r="AA280" s="2">
        <v>2411</v>
      </c>
      <c r="AB280" s="2"/>
      <c r="AC280" s="2">
        <f>Post2020_Derivation!G320</f>
        <v>2464</v>
      </c>
      <c r="AD280" s="2" t="e">
        <f ca="1">IF(Post2020_Derivation!H320="","",Post2020_Derivation!H320)</f>
        <v>#NAME?</v>
      </c>
      <c r="AE280" s="2">
        <f>Post2020_Derivation!M320</f>
        <v>2457</v>
      </c>
      <c r="AF280" s="2" t="e">
        <f ca="1">IF(Post2020_Derivation!N320="","",Post2020_Derivation!N320)</f>
        <v>#NAME?</v>
      </c>
      <c r="AG280" s="2">
        <f>Post2020_Derivation!S320</f>
        <v>2480</v>
      </c>
      <c r="AH280" s="2" t="e">
        <f ca="1">IF(Post2020_Derivation!T320="","",Post2020_Derivation!T320)</f>
        <v>#NAME?</v>
      </c>
    </row>
    <row r="281" spans="1:34">
      <c r="A281" t="s">
        <v>638</v>
      </c>
      <c r="B281" t="s">
        <v>639</v>
      </c>
      <c r="C281" s="2" t="s">
        <v>43</v>
      </c>
      <c r="D281" s="2"/>
      <c r="E281" s="2" t="s">
        <v>43</v>
      </c>
      <c r="F281" s="2"/>
      <c r="G281" s="2" t="s">
        <v>43</v>
      </c>
      <c r="H281" s="2"/>
      <c r="I281" s="2" t="s">
        <v>43</v>
      </c>
      <c r="J281" s="2"/>
      <c r="K281" s="2" t="s">
        <v>43</v>
      </c>
      <c r="L281" s="2"/>
      <c r="M281" s="2" t="s">
        <v>43</v>
      </c>
      <c r="N281" s="2"/>
      <c r="O281" s="2" t="s">
        <v>43</v>
      </c>
      <c r="P281" s="2"/>
      <c r="Q281" s="2" t="s">
        <v>43</v>
      </c>
      <c r="R281" s="2"/>
      <c r="S281" s="2">
        <v>11640</v>
      </c>
      <c r="T281" s="2"/>
      <c r="U281" s="2">
        <v>12144</v>
      </c>
      <c r="V281" s="2"/>
      <c r="W281" s="2">
        <v>14290</v>
      </c>
      <c r="X281" s="2" t="s">
        <v>334</v>
      </c>
      <c r="Y281" s="2">
        <v>13810</v>
      </c>
      <c r="Z281" s="2"/>
      <c r="AA281" s="2">
        <v>13292</v>
      </c>
      <c r="AB281" s="2"/>
      <c r="AC281" s="2">
        <f>Post2020_Derivation!G321</f>
        <v>12936</v>
      </c>
      <c r="AD281" s="2" t="e">
        <f ca="1">IF(Post2020_Derivation!H321="","",Post2020_Derivation!H321)</f>
        <v>#NAME?</v>
      </c>
      <c r="AE281" s="2">
        <f>Post2020_Derivation!M321</f>
        <v>12566</v>
      </c>
      <c r="AF281" s="2" t="e">
        <f ca="1">IF(Post2020_Derivation!N321="","",Post2020_Derivation!N321)</f>
        <v>#NAME?</v>
      </c>
      <c r="AG281" s="2">
        <f>Post2020_Derivation!S321</f>
        <v>13965</v>
      </c>
      <c r="AH281" s="2" t="e">
        <f ca="1">IF(Post2020_Derivation!T321="","",Post2020_Derivation!T321)</f>
        <v>#NAME?</v>
      </c>
    </row>
    <row r="282" spans="1:34">
      <c r="A282" t="s">
        <v>640</v>
      </c>
      <c r="B282" t="s">
        <v>641</v>
      </c>
      <c r="C282" s="2" t="s">
        <v>43</v>
      </c>
      <c r="D282" s="2"/>
      <c r="E282" s="2" t="s">
        <v>43</v>
      </c>
      <c r="F282" s="2"/>
      <c r="G282" s="2" t="s">
        <v>43</v>
      </c>
      <c r="H282" s="2"/>
      <c r="I282" s="2" t="s">
        <v>43</v>
      </c>
      <c r="J282" s="2"/>
      <c r="K282" s="2" t="s">
        <v>43</v>
      </c>
      <c r="L282" s="2"/>
      <c r="M282" s="2" t="s">
        <v>43</v>
      </c>
      <c r="N282" s="2"/>
      <c r="O282" s="2" t="s">
        <v>43</v>
      </c>
      <c r="P282" s="2"/>
      <c r="Q282" s="2" t="s">
        <v>43</v>
      </c>
      <c r="R282" s="2"/>
      <c r="S282" s="2">
        <v>1974</v>
      </c>
      <c r="T282" s="2"/>
      <c r="U282" s="2">
        <v>2188</v>
      </c>
      <c r="V282" s="2"/>
      <c r="W282" s="2">
        <v>2530</v>
      </c>
      <c r="X282" s="2" t="s">
        <v>334</v>
      </c>
      <c r="Y282" s="2">
        <v>2575</v>
      </c>
      <c r="Z282" s="2"/>
      <c r="AA282" s="2">
        <v>1109</v>
      </c>
      <c r="AB282" s="2"/>
      <c r="AC282" s="2">
        <f>Post2020_Derivation!G322</f>
        <v>1360</v>
      </c>
      <c r="AD282" s="2" t="e">
        <f ca="1">IF(Post2020_Derivation!H322="","",Post2020_Derivation!H322)</f>
        <v>#NAME?</v>
      </c>
      <c r="AE282" s="2">
        <f>Post2020_Derivation!M322</f>
        <v>1178</v>
      </c>
      <c r="AF282" s="2" t="e">
        <f ca="1">IF(Post2020_Derivation!N322="","",Post2020_Derivation!N322)</f>
        <v>#NAME?</v>
      </c>
      <c r="AG282" s="2">
        <f>Post2020_Derivation!S322</f>
        <v>1280</v>
      </c>
      <c r="AH282" s="2" t="e">
        <f ca="1">IF(Post2020_Derivation!T322="","",Post2020_Derivation!T322)</f>
        <v>#NAME?</v>
      </c>
    </row>
    <row r="283" spans="1:34">
      <c r="A283" t="s">
        <v>642</v>
      </c>
      <c r="B283" t="s">
        <v>643</v>
      </c>
      <c r="C283" s="2" t="s">
        <v>43</v>
      </c>
      <c r="D283" s="2"/>
      <c r="E283" s="2" t="s">
        <v>43</v>
      </c>
      <c r="F283" s="2"/>
      <c r="G283" s="2" t="s">
        <v>43</v>
      </c>
      <c r="H283" s="2"/>
      <c r="I283" s="2" t="s">
        <v>43</v>
      </c>
      <c r="J283" s="2"/>
      <c r="K283" s="2" t="s">
        <v>43</v>
      </c>
      <c r="L283" s="2"/>
      <c r="M283" s="2" t="s">
        <v>43</v>
      </c>
      <c r="N283" s="2"/>
      <c r="O283" s="2" t="s">
        <v>43</v>
      </c>
      <c r="P283" s="2"/>
      <c r="Q283" s="2" t="s">
        <v>43</v>
      </c>
      <c r="R283" s="2"/>
      <c r="S283" s="2">
        <v>7342</v>
      </c>
      <c r="T283" s="2"/>
      <c r="U283" s="2">
        <v>7185</v>
      </c>
      <c r="V283" s="2"/>
      <c r="W283" s="2">
        <v>8506</v>
      </c>
      <c r="X283" s="2" t="s">
        <v>334</v>
      </c>
      <c r="Y283" s="2">
        <v>6821</v>
      </c>
      <c r="Z283" s="2"/>
      <c r="AA283" s="2">
        <v>8338</v>
      </c>
      <c r="AB283" s="2"/>
      <c r="AC283" s="2">
        <f>Post2020_Derivation!G323</f>
        <v>7776</v>
      </c>
      <c r="AD283" s="2" t="e">
        <f ca="1">IF(Post2020_Derivation!H323="","",Post2020_Derivation!H323)</f>
        <v>#NAME?</v>
      </c>
      <c r="AE283" s="2">
        <f>Post2020_Derivation!M323</f>
        <v>7000</v>
      </c>
      <c r="AF283" s="2" t="e">
        <f ca="1">IF(Post2020_Derivation!N323="","",Post2020_Derivation!N323)</f>
        <v>#NAME?</v>
      </c>
      <c r="AG283" s="2">
        <f>Post2020_Derivation!S323</f>
        <v>7595</v>
      </c>
      <c r="AH283" s="2" t="e">
        <f ca="1">IF(Post2020_Derivation!T323="","",Post2020_Derivation!T323)</f>
        <v>#NAME?</v>
      </c>
    </row>
    <row r="284" spans="1:34">
      <c r="A284" t="s">
        <v>644</v>
      </c>
      <c r="B284" t="s">
        <v>645</v>
      </c>
      <c r="C284" s="2" t="s">
        <v>43</v>
      </c>
      <c r="D284" s="2"/>
      <c r="E284" s="2" t="s">
        <v>43</v>
      </c>
      <c r="F284" s="2"/>
      <c r="G284" s="2" t="s">
        <v>43</v>
      </c>
      <c r="H284" s="2"/>
      <c r="I284" s="2" t="s">
        <v>43</v>
      </c>
      <c r="J284" s="2"/>
      <c r="K284" s="2" t="s">
        <v>43</v>
      </c>
      <c r="L284" s="2"/>
      <c r="M284" s="2" t="s">
        <v>43</v>
      </c>
      <c r="N284" s="2"/>
      <c r="O284" s="2" t="s">
        <v>43</v>
      </c>
      <c r="P284" s="2"/>
      <c r="Q284" s="2" t="s">
        <v>43</v>
      </c>
      <c r="R284" s="2"/>
      <c r="S284" s="2">
        <v>3409</v>
      </c>
      <c r="T284" s="2" t="s">
        <v>847</v>
      </c>
      <c r="U284" s="2">
        <v>3610</v>
      </c>
      <c r="V284" s="2" t="s">
        <v>847</v>
      </c>
      <c r="W284" s="2">
        <v>4574</v>
      </c>
      <c r="X284" s="2" t="s">
        <v>334</v>
      </c>
      <c r="Y284" s="2">
        <v>4975</v>
      </c>
      <c r="Z284" s="2"/>
      <c r="AA284" s="2">
        <v>5457</v>
      </c>
      <c r="AB284" s="2"/>
      <c r="AC284" s="2">
        <f>Post2020_Derivation!G324</f>
        <v>5018</v>
      </c>
      <c r="AD284" s="2" t="e">
        <f ca="1">IF(Post2020_Derivation!H324="","",Post2020_Derivation!H324)</f>
        <v>#NAME?</v>
      </c>
      <c r="AE284" s="2">
        <f>Post2020_Derivation!M324</f>
        <v>4444</v>
      </c>
      <c r="AF284" s="2" t="e">
        <f ca="1">IF(Post2020_Derivation!N324="","",Post2020_Derivation!N324)</f>
        <v>#NAME?</v>
      </c>
      <c r="AG284" s="2">
        <f>Post2020_Derivation!S324</f>
        <v>5346</v>
      </c>
      <c r="AH284" s="2" t="e">
        <f ca="1">IF(Post2020_Derivation!T324="","",Post2020_Derivation!T324)</f>
        <v>#NAME?</v>
      </c>
    </row>
    <row r="285" spans="1:34">
      <c r="A285" t="s">
        <v>646</v>
      </c>
      <c r="B285" t="s">
        <v>647</v>
      </c>
      <c r="C285" s="2" t="s">
        <v>43</v>
      </c>
      <c r="D285" s="2"/>
      <c r="E285" s="2" t="s">
        <v>43</v>
      </c>
      <c r="F285" s="2"/>
      <c r="G285" s="2" t="s">
        <v>43</v>
      </c>
      <c r="H285" s="2"/>
      <c r="I285" s="2" t="s">
        <v>43</v>
      </c>
      <c r="J285" s="2"/>
      <c r="K285" s="2" t="s">
        <v>43</v>
      </c>
      <c r="L285" s="2"/>
      <c r="M285" s="2" t="s">
        <v>43</v>
      </c>
      <c r="N285" s="2"/>
      <c r="O285" s="2" t="s">
        <v>43</v>
      </c>
      <c r="P285" s="2"/>
      <c r="Q285" s="2" t="s">
        <v>43</v>
      </c>
      <c r="R285" s="2"/>
      <c r="S285" s="2">
        <v>3473</v>
      </c>
      <c r="T285" s="2" t="s">
        <v>847</v>
      </c>
      <c r="U285" s="2">
        <v>3160</v>
      </c>
      <c r="V285" s="2" t="s">
        <v>847</v>
      </c>
      <c r="W285" s="2">
        <v>3932</v>
      </c>
      <c r="X285" s="2" t="s">
        <v>334</v>
      </c>
      <c r="Y285" s="2">
        <v>1846</v>
      </c>
      <c r="Z285" s="2"/>
      <c r="AA285" s="2">
        <v>2881</v>
      </c>
      <c r="AB285" s="2"/>
      <c r="AC285" s="2">
        <f>Post2020_Derivation!G325</f>
        <v>2700</v>
      </c>
      <c r="AD285" s="2" t="e">
        <f ca="1">IF(Post2020_Derivation!H325="","",Post2020_Derivation!H325)</f>
        <v>#NAME?</v>
      </c>
      <c r="AE285" s="2">
        <f>Post2020_Derivation!M325</f>
        <v>2544</v>
      </c>
      <c r="AF285" s="2" t="e">
        <f ca="1">IF(Post2020_Derivation!N325="","",Post2020_Derivation!N325)</f>
        <v>#NAME?</v>
      </c>
      <c r="AG285" s="2">
        <f>Post2020_Derivation!S325</f>
        <v>2444</v>
      </c>
      <c r="AH285" s="2" t="e">
        <f ca="1">IF(Post2020_Derivation!T325="","",Post2020_Derivation!T325)</f>
        <v>#NAME?</v>
      </c>
    </row>
    <row r="286" spans="1:34">
      <c r="A286" t="s">
        <v>648</v>
      </c>
      <c r="B286" t="s">
        <v>649</v>
      </c>
      <c r="C286" s="2">
        <v>36600</v>
      </c>
      <c r="D286" s="2"/>
      <c r="E286" s="2">
        <v>31538</v>
      </c>
      <c r="F286" s="2"/>
      <c r="G286" s="2">
        <v>30449</v>
      </c>
      <c r="H286" s="2"/>
      <c r="I286" s="2">
        <v>30766</v>
      </c>
      <c r="J286" s="2"/>
      <c r="K286" s="2">
        <v>30804</v>
      </c>
      <c r="L286" s="2"/>
      <c r="M286" s="2">
        <v>30719</v>
      </c>
      <c r="N286" s="2"/>
      <c r="O286" s="2">
        <v>31477</v>
      </c>
      <c r="P286" s="2"/>
      <c r="Q286" s="2">
        <v>33610</v>
      </c>
      <c r="R286" s="2"/>
      <c r="S286" s="2">
        <v>33605</v>
      </c>
      <c r="T286" s="2"/>
      <c r="U286" s="2">
        <v>37111</v>
      </c>
      <c r="V286" s="2"/>
      <c r="W286" s="2">
        <v>43331</v>
      </c>
      <c r="X286" s="2"/>
      <c r="Y286" s="2">
        <v>44142</v>
      </c>
      <c r="Z286" s="2"/>
      <c r="AA286" s="2">
        <v>43265</v>
      </c>
      <c r="AB286" s="2"/>
      <c r="AC286" s="2">
        <f>Post2020_Derivation!G326</f>
        <v>42630</v>
      </c>
      <c r="AD286" s="2" t="e">
        <f ca="1">IF(Post2020_Derivation!H326="","",Post2020_Derivation!H326)</f>
        <v>#NAME?</v>
      </c>
      <c r="AE286" s="2">
        <f>Post2020_Derivation!M326</f>
        <v>41528</v>
      </c>
      <c r="AF286" s="2" t="e">
        <f ca="1">IF(Post2020_Derivation!N326="","",Post2020_Derivation!N326)</f>
        <v>#NAME?</v>
      </c>
      <c r="AG286" s="2">
        <f>Post2020_Derivation!S326</f>
        <v>43080</v>
      </c>
      <c r="AH286" s="2" t="e">
        <f ca="1">IF(Post2020_Derivation!T326="","",Post2020_Derivation!T326)</f>
        <v>#NAME?</v>
      </c>
    </row>
    <row r="287" spans="1:34">
      <c r="A287" t="s">
        <v>650</v>
      </c>
      <c r="B287" t="s">
        <v>651</v>
      </c>
      <c r="C287" s="2" t="s">
        <v>43</v>
      </c>
      <c r="D287" s="2" t="s">
        <v>44</v>
      </c>
      <c r="E287" s="2" t="s">
        <v>43</v>
      </c>
      <c r="F287" s="2" t="s">
        <v>44</v>
      </c>
      <c r="G287" s="2">
        <v>30402</v>
      </c>
      <c r="H287" s="2"/>
      <c r="I287" s="2">
        <v>30718</v>
      </c>
      <c r="J287" s="2"/>
      <c r="K287" s="2">
        <v>30756</v>
      </c>
      <c r="L287" s="2"/>
      <c r="M287" s="2">
        <v>30703</v>
      </c>
      <c r="N287" s="2"/>
      <c r="O287" s="2">
        <v>31462</v>
      </c>
      <c r="P287" s="2"/>
      <c r="Q287" s="2">
        <v>33594</v>
      </c>
      <c r="R287" s="2"/>
      <c r="S287" s="2">
        <v>33590</v>
      </c>
      <c r="T287" s="2"/>
      <c r="U287" s="2">
        <v>37097</v>
      </c>
      <c r="V287" s="2"/>
      <c r="W287" s="2">
        <v>43317</v>
      </c>
      <c r="X287" s="2"/>
      <c r="Y287" s="2">
        <v>44131</v>
      </c>
      <c r="Z287" s="2"/>
      <c r="AA287" s="2">
        <v>43253</v>
      </c>
      <c r="AB287" s="2"/>
      <c r="AC287" s="2">
        <f>Post2020_Derivation!G327</f>
        <v>42657</v>
      </c>
      <c r="AD287" s="2" t="e">
        <f ca="1">IF(Post2020_Derivation!H327="","",Post2020_Derivation!H327)</f>
        <v>#NAME?</v>
      </c>
      <c r="AE287" s="2">
        <f>Post2020_Derivation!M327</f>
        <v>41477</v>
      </c>
      <c r="AF287" s="2" t="e">
        <f ca="1">IF(Post2020_Derivation!N327="","",Post2020_Derivation!N327)</f>
        <v>#NAME?</v>
      </c>
      <c r="AG287" s="2">
        <f>Post2020_Derivation!S327</f>
        <v>43066</v>
      </c>
      <c r="AH287" s="2" t="e">
        <f ca="1">IF(Post2020_Derivation!T327="","",Post2020_Derivation!T327)</f>
        <v>#NAME?</v>
      </c>
    </row>
    <row r="288" spans="1:34">
      <c r="A288" t="s">
        <v>652</v>
      </c>
      <c r="B288" t="s">
        <v>653</v>
      </c>
      <c r="C288" s="2">
        <v>16525</v>
      </c>
      <c r="D288" s="2"/>
      <c r="E288" s="2">
        <v>14099</v>
      </c>
      <c r="F288" s="2"/>
      <c r="G288" s="2">
        <v>13922</v>
      </c>
      <c r="H288" s="2"/>
      <c r="I288" s="2">
        <v>14481</v>
      </c>
      <c r="J288" s="2"/>
      <c r="K288" s="2">
        <v>14574</v>
      </c>
      <c r="L288" s="2"/>
      <c r="M288" s="2">
        <v>14890</v>
      </c>
      <c r="N288" s="2"/>
      <c r="O288" s="2">
        <v>16299</v>
      </c>
      <c r="P288" s="2"/>
      <c r="Q288" s="2">
        <v>18315</v>
      </c>
      <c r="R288" s="2"/>
      <c r="S288" s="2">
        <v>18415</v>
      </c>
      <c r="T288" s="2"/>
      <c r="U288" s="2">
        <v>20333</v>
      </c>
      <c r="V288" s="2"/>
      <c r="W288" s="2">
        <v>23824</v>
      </c>
      <c r="X288" s="2"/>
      <c r="Y288" s="2">
        <v>24629</v>
      </c>
      <c r="Z288" s="2"/>
      <c r="AA288" s="2">
        <v>22609</v>
      </c>
      <c r="AB288" s="2"/>
      <c r="AC288" s="2">
        <f>Post2020_Derivation!G328</f>
        <v>22770</v>
      </c>
      <c r="AD288" s="2" t="e">
        <f ca="1">IF(Post2020_Derivation!H328="","",Post2020_Derivation!H328)</f>
        <v>#NAME?</v>
      </c>
      <c r="AE288" s="2">
        <f>Post2020_Derivation!M328</f>
        <v>23141</v>
      </c>
      <c r="AF288" s="2" t="e">
        <f ca="1">IF(Post2020_Derivation!N328="","",Post2020_Derivation!N328)</f>
        <v>#NAME?</v>
      </c>
      <c r="AG288" s="2">
        <f>Post2020_Derivation!S328</f>
        <v>24016</v>
      </c>
      <c r="AH288" s="2" t="e">
        <f ca="1">IF(Post2020_Derivation!T328="","",Post2020_Derivation!T328)</f>
        <v>#NAME?</v>
      </c>
    </row>
    <row r="289" spans="1:34">
      <c r="A289" t="s">
        <v>654</v>
      </c>
      <c r="B289" t="s">
        <v>655</v>
      </c>
      <c r="C289" s="2" t="s">
        <v>43</v>
      </c>
      <c r="D289" s="2" t="s">
        <v>44</v>
      </c>
      <c r="E289" s="2" t="s">
        <v>43</v>
      </c>
      <c r="F289" s="2" t="s">
        <v>44</v>
      </c>
      <c r="G289" s="2">
        <v>26</v>
      </c>
      <c r="H289" s="2"/>
      <c r="I289" s="2">
        <v>27</v>
      </c>
      <c r="J289" s="2"/>
      <c r="K289" s="2">
        <v>27</v>
      </c>
      <c r="L289" s="2"/>
      <c r="M289" s="2">
        <v>28</v>
      </c>
      <c r="N289" s="2"/>
      <c r="O289" s="2">
        <v>25</v>
      </c>
      <c r="P289" s="2"/>
      <c r="Q289" s="2">
        <v>23</v>
      </c>
      <c r="R289" s="2"/>
      <c r="S289" s="2">
        <v>23</v>
      </c>
      <c r="T289" s="2"/>
      <c r="U289" s="2">
        <v>22</v>
      </c>
      <c r="V289" s="2"/>
      <c r="W289" s="2">
        <v>15</v>
      </c>
      <c r="X289" s="2"/>
      <c r="Y289" s="2">
        <v>17</v>
      </c>
      <c r="Z289" s="2"/>
      <c r="AA289" s="2">
        <v>18</v>
      </c>
      <c r="AB289" s="2"/>
      <c r="AC289" s="2">
        <f>Post2020_Derivation!G329</f>
        <v>12</v>
      </c>
      <c r="AD289" s="2" t="e">
        <f ca="1">IF(Post2020_Derivation!H329="","",Post2020_Derivation!H329)</f>
        <v>#NAME?</v>
      </c>
      <c r="AE289" s="2">
        <f>Post2020_Derivation!M329</f>
        <v>26</v>
      </c>
      <c r="AF289" s="2" t="e">
        <f ca="1">IF(Post2020_Derivation!N329="","",Post2020_Derivation!N329)</f>
        <v>#NAME?</v>
      </c>
      <c r="AG289" s="2">
        <f>Post2020_Derivation!S329</f>
        <v>13</v>
      </c>
      <c r="AH289" s="2" t="e">
        <f ca="1">IF(Post2020_Derivation!T329="","",Post2020_Derivation!T329)</f>
        <v>#NAME?</v>
      </c>
    </row>
    <row r="290" spans="1:34">
      <c r="A290" t="s">
        <v>656</v>
      </c>
      <c r="B290" t="s">
        <v>657</v>
      </c>
      <c r="C290" s="2">
        <v>10652</v>
      </c>
      <c r="D290" s="2"/>
      <c r="E290" s="2">
        <v>7026</v>
      </c>
      <c r="F290" s="2"/>
      <c r="G290" s="2">
        <v>8084</v>
      </c>
      <c r="H290" s="2"/>
      <c r="I290" s="2">
        <v>7805</v>
      </c>
      <c r="J290" s="2"/>
      <c r="K290" s="2">
        <v>7480</v>
      </c>
      <c r="L290" s="2"/>
      <c r="M290" s="2">
        <v>7704</v>
      </c>
      <c r="N290" s="2"/>
      <c r="O290" s="2">
        <v>7440</v>
      </c>
      <c r="P290" s="2"/>
      <c r="Q290" s="2">
        <v>7538</v>
      </c>
      <c r="R290" s="2"/>
      <c r="S290" s="2">
        <v>7473</v>
      </c>
      <c r="T290" s="2"/>
      <c r="U290" s="2">
        <v>7867</v>
      </c>
      <c r="V290" s="2"/>
      <c r="W290" s="2">
        <v>8688</v>
      </c>
      <c r="X290" s="2"/>
      <c r="Y290" s="2">
        <v>8500</v>
      </c>
      <c r="Z290" s="2"/>
      <c r="AA290" s="2">
        <v>9586</v>
      </c>
      <c r="AB290" s="2"/>
      <c r="AC290" s="2">
        <f>Post2020_Derivation!G330</f>
        <v>9196</v>
      </c>
      <c r="AD290" s="2" t="e">
        <f ca="1">IF(Post2020_Derivation!H330="","",Post2020_Derivation!H330)</f>
        <v>#NAME?</v>
      </c>
      <c r="AE290" s="2" t="str">
        <f>Post2020_Derivation!M330</f>
        <v/>
      </c>
      <c r="AF290" s="2" t="e">
        <f ca="1">IF(Post2020_Derivation!N330="","",Post2020_Derivation!N330)</f>
        <v>#NAME?</v>
      </c>
      <c r="AG290" s="2" t="str">
        <f>Post2020_Derivation!S330</f>
        <v/>
      </c>
      <c r="AH290" s="2" t="e">
        <f ca="1">IF(Post2020_Derivation!T330="","",Post2020_Derivation!T330)</f>
        <v>#NAME?</v>
      </c>
    </row>
    <row r="291" spans="1:34">
      <c r="A291" t="s">
        <v>658</v>
      </c>
      <c r="B291" t="s">
        <v>659</v>
      </c>
      <c r="C291" s="2">
        <v>7377</v>
      </c>
      <c r="D291" s="2"/>
      <c r="E291" s="2">
        <v>9051</v>
      </c>
      <c r="F291" s="2"/>
      <c r="G291" s="2">
        <v>6972</v>
      </c>
      <c r="H291" s="2"/>
      <c r="I291" s="2">
        <v>6996</v>
      </c>
      <c r="J291" s="2"/>
      <c r="K291" s="2">
        <v>7375</v>
      </c>
      <c r="L291" s="2"/>
      <c r="M291" s="2">
        <v>6772</v>
      </c>
      <c r="N291" s="2"/>
      <c r="O291" s="2">
        <v>6415</v>
      </c>
      <c r="P291" s="2"/>
      <c r="Q291" s="2">
        <v>6383</v>
      </c>
      <c r="R291" s="2"/>
      <c r="S291" s="2">
        <v>6422</v>
      </c>
      <c r="T291" s="2"/>
      <c r="U291" s="2">
        <v>7618</v>
      </c>
      <c r="V291" s="2"/>
      <c r="W291" s="2">
        <v>9423</v>
      </c>
      <c r="X291" s="2"/>
      <c r="Y291" s="2">
        <v>9594</v>
      </c>
      <c r="Z291" s="2"/>
      <c r="AA291" s="2">
        <v>9592</v>
      </c>
      <c r="AB291" s="2"/>
      <c r="AC291" s="2">
        <f>Post2020_Derivation!G331</f>
        <v>9009</v>
      </c>
      <c r="AD291" s="2" t="e">
        <f ca="1">IF(Post2020_Derivation!H331="","",Post2020_Derivation!H331)</f>
        <v>#NAME?</v>
      </c>
      <c r="AE291" s="2" t="str">
        <f>Post2020_Derivation!M331</f>
        <v/>
      </c>
      <c r="AF291" s="2" t="e">
        <f ca="1">IF(Post2020_Derivation!N331="","",Post2020_Derivation!N331)</f>
        <v>#NAME?</v>
      </c>
      <c r="AG291" s="2" t="str">
        <f>Post2020_Derivation!S331</f>
        <v/>
      </c>
      <c r="AH291" s="2" t="e">
        <f ca="1">IF(Post2020_Derivation!T331="","",Post2020_Derivation!T331)</f>
        <v>#NAME?</v>
      </c>
    </row>
    <row r="292" spans="1:34">
      <c r="A292" t="s">
        <v>660</v>
      </c>
      <c r="B292" t="s">
        <v>661</v>
      </c>
      <c r="C292" s="2">
        <v>1992</v>
      </c>
      <c r="D292" s="2"/>
      <c r="E292" s="2">
        <v>1308</v>
      </c>
      <c r="F292" s="2"/>
      <c r="G292" s="2">
        <v>1398</v>
      </c>
      <c r="H292" s="2"/>
      <c r="I292" s="2">
        <v>1409</v>
      </c>
      <c r="J292" s="2"/>
      <c r="K292" s="2">
        <v>1300</v>
      </c>
      <c r="L292" s="2"/>
      <c r="M292" s="2">
        <v>1309</v>
      </c>
      <c r="N292" s="2"/>
      <c r="O292" s="2">
        <v>1283</v>
      </c>
      <c r="P292" s="2"/>
      <c r="Q292" s="2">
        <v>1335</v>
      </c>
      <c r="R292" s="2"/>
      <c r="S292" s="2">
        <v>1257</v>
      </c>
      <c r="T292" s="2"/>
      <c r="U292" s="2">
        <v>1257</v>
      </c>
      <c r="V292" s="2"/>
      <c r="W292" s="2">
        <v>1367</v>
      </c>
      <c r="X292" s="2"/>
      <c r="Y292" s="2">
        <v>1391</v>
      </c>
      <c r="Z292" s="2"/>
      <c r="AA292" s="2">
        <v>1448</v>
      </c>
      <c r="AB292" s="2"/>
      <c r="AC292" s="2">
        <f>Post2020_Derivation!G332</f>
        <v>1485</v>
      </c>
      <c r="AD292" s="2" t="e">
        <f ca="1">IF(Post2020_Derivation!H332="","",Post2020_Derivation!H332)</f>
        <v>#NAME?</v>
      </c>
      <c r="AE292" s="2" t="str">
        <f>Post2020_Derivation!M332</f>
        <v/>
      </c>
      <c r="AF292" s="2" t="e">
        <f ca="1">IF(Post2020_Derivation!N332="","",Post2020_Derivation!N332)</f>
        <v>#NAME?</v>
      </c>
      <c r="AG292" s="2" t="str">
        <f>Post2020_Derivation!S332</f>
        <v/>
      </c>
      <c r="AH292" s="2" t="e">
        <f ca="1">IF(Post2020_Derivation!T332="","",Post2020_Derivation!T332)</f>
        <v>#NAME?</v>
      </c>
    </row>
    <row r="293" spans="1:34">
      <c r="A293" t="s">
        <v>672</v>
      </c>
      <c r="B293" t="s">
        <v>673</v>
      </c>
      <c r="C293" s="2" t="s">
        <v>43</v>
      </c>
      <c r="D293" s="2" t="s">
        <v>44</v>
      </c>
      <c r="E293" s="2" t="s">
        <v>43</v>
      </c>
      <c r="F293" s="2" t="s">
        <v>44</v>
      </c>
      <c r="G293" s="2">
        <v>10</v>
      </c>
      <c r="H293" s="2"/>
      <c r="I293" s="2">
        <v>12</v>
      </c>
      <c r="J293" s="2"/>
      <c r="K293" s="2">
        <v>12</v>
      </c>
      <c r="L293" s="2"/>
      <c r="M293" s="2">
        <v>11</v>
      </c>
      <c r="N293" s="2"/>
      <c r="O293" s="2">
        <v>11</v>
      </c>
      <c r="P293" s="2"/>
      <c r="Q293" s="2" t="s">
        <v>43</v>
      </c>
      <c r="R293" s="2" t="s">
        <v>44</v>
      </c>
      <c r="S293" s="2" t="s">
        <v>43</v>
      </c>
      <c r="T293" s="2" t="s">
        <v>44</v>
      </c>
      <c r="U293" s="2" t="s">
        <v>43</v>
      </c>
      <c r="V293" s="2" t="s">
        <v>44</v>
      </c>
      <c r="W293" s="2" t="s">
        <v>43</v>
      </c>
      <c r="X293" s="2" t="s">
        <v>44</v>
      </c>
      <c r="Y293" s="2" t="s">
        <v>43</v>
      </c>
      <c r="Z293" s="2" t="s">
        <v>44</v>
      </c>
      <c r="AA293" s="2" t="s">
        <v>43</v>
      </c>
      <c r="AB293" s="2" t="s">
        <v>44</v>
      </c>
      <c r="AC293" s="2" t="str">
        <f>Post2020_Derivation!G338</f>
        <v/>
      </c>
      <c r="AD293" s="2" t="e">
        <f ca="1">IF(Post2020_Derivation!H338="","",Post2020_Derivation!H338)</f>
        <v>#NAME?</v>
      </c>
      <c r="AE293" s="2" t="str">
        <f>Post2020_Derivation!M338</f>
        <v/>
      </c>
      <c r="AF293" s="2" t="e">
        <f ca="1">IF(Post2020_Derivation!N338="","",Post2020_Derivation!N338)</f>
        <v>#NAME?</v>
      </c>
      <c r="AG293" s="2" t="str">
        <f>Post2020_Derivation!S338</f>
        <v/>
      </c>
      <c r="AH293" s="2" t="e">
        <f ca="1">IF(Post2020_Derivation!T338="","",Post2020_Derivation!T338)</f>
        <v>#NAME?</v>
      </c>
    </row>
    <row r="294" spans="1:34">
      <c r="A294" t="s">
        <v>674</v>
      </c>
      <c r="B294" t="s">
        <v>673</v>
      </c>
      <c r="C294" s="2" t="s">
        <v>43</v>
      </c>
      <c r="D294" s="2" t="s">
        <v>44</v>
      </c>
      <c r="E294" s="2" t="s">
        <v>43</v>
      </c>
      <c r="F294" s="2" t="s">
        <v>44</v>
      </c>
      <c r="G294" s="2">
        <v>10</v>
      </c>
      <c r="H294" s="2"/>
      <c r="I294" s="2">
        <v>12</v>
      </c>
      <c r="J294" s="2"/>
      <c r="K294" s="2">
        <v>12</v>
      </c>
      <c r="L294" s="2"/>
      <c r="M294" s="2">
        <v>11</v>
      </c>
      <c r="N294" s="2"/>
      <c r="O294" s="2">
        <v>11</v>
      </c>
      <c r="P294" s="2"/>
      <c r="Q294" s="2" t="s">
        <v>43</v>
      </c>
      <c r="R294" s="2" t="s">
        <v>44</v>
      </c>
      <c r="S294" s="2" t="s">
        <v>43</v>
      </c>
      <c r="T294" s="2" t="s">
        <v>44</v>
      </c>
      <c r="U294" s="2" t="s">
        <v>43</v>
      </c>
      <c r="V294" s="2" t="s">
        <v>44</v>
      </c>
      <c r="W294" s="2" t="s">
        <v>43</v>
      </c>
      <c r="X294" s="2" t="s">
        <v>44</v>
      </c>
      <c r="Y294" s="2" t="s">
        <v>43</v>
      </c>
      <c r="Z294" s="2" t="s">
        <v>44</v>
      </c>
      <c r="AA294" s="2" t="s">
        <v>43</v>
      </c>
      <c r="AB294" s="2" t="s">
        <v>44</v>
      </c>
      <c r="AC294" s="2" t="str">
        <f>Post2020_Derivation!G339</f>
        <v/>
      </c>
      <c r="AD294" s="2" t="e">
        <f ca="1">IF(Post2020_Derivation!H339="","",Post2020_Derivation!H339)</f>
        <v>#NAME?</v>
      </c>
      <c r="AE294" s="2" t="str">
        <f>Post2020_Derivation!M339</f>
        <v/>
      </c>
      <c r="AF294" s="2" t="e">
        <f ca="1">IF(Post2020_Derivation!N339="","",Post2020_Derivation!N339)</f>
        <v>#NAME?</v>
      </c>
      <c r="AG294" s="2" t="str">
        <f>Post2020_Derivation!S339</f>
        <v/>
      </c>
      <c r="AH294" s="2" t="e">
        <f ca="1">IF(Post2020_Derivation!T339="","",Post2020_Derivation!T339)</f>
        <v>#NAME?</v>
      </c>
    </row>
    <row r="295" spans="1:34">
      <c r="A295" t="s">
        <v>675</v>
      </c>
      <c r="B295" t="s">
        <v>676</v>
      </c>
      <c r="C295" s="2" t="s">
        <v>43</v>
      </c>
      <c r="D295" s="2" t="s">
        <v>44</v>
      </c>
      <c r="E295" s="2" t="s">
        <v>43</v>
      </c>
      <c r="F295" s="2" t="s">
        <v>44</v>
      </c>
      <c r="G295" s="2">
        <v>37</v>
      </c>
      <c r="H295" s="2"/>
      <c r="I295" s="2">
        <v>36</v>
      </c>
      <c r="J295" s="2"/>
      <c r="K295" s="2">
        <v>36</v>
      </c>
      <c r="L295" s="2"/>
      <c r="M295" s="2">
        <v>5</v>
      </c>
      <c r="N295" s="2"/>
      <c r="O295" s="2">
        <v>4</v>
      </c>
      <c r="P295" s="2"/>
      <c r="Q295" s="2" t="s">
        <v>43</v>
      </c>
      <c r="R295" s="2" t="s">
        <v>44</v>
      </c>
      <c r="S295" s="2" t="s">
        <v>43</v>
      </c>
      <c r="T295" s="2" t="s">
        <v>44</v>
      </c>
      <c r="U295" s="2" t="s">
        <v>43</v>
      </c>
      <c r="V295" s="2" t="s">
        <v>44</v>
      </c>
      <c r="W295" s="2" t="s">
        <v>43</v>
      </c>
      <c r="X295" s="2" t="s">
        <v>44</v>
      </c>
      <c r="Y295" s="2" t="s">
        <v>43</v>
      </c>
      <c r="Z295" s="2" t="s">
        <v>44</v>
      </c>
      <c r="AA295" s="2" t="s">
        <v>43</v>
      </c>
      <c r="AB295" s="2" t="s">
        <v>44</v>
      </c>
      <c r="AC295" s="2" t="str">
        <f>Post2020_Derivation!G340</f>
        <v/>
      </c>
      <c r="AD295" s="2" t="e">
        <f ca="1">IF(Post2020_Derivation!H340="","",Post2020_Derivation!H340)</f>
        <v>#NAME?</v>
      </c>
      <c r="AE295" s="2" t="str">
        <f>Post2020_Derivation!M340</f>
        <v/>
      </c>
      <c r="AF295" s="2" t="e">
        <f ca="1">IF(Post2020_Derivation!N340="","",Post2020_Derivation!N340)</f>
        <v>#NAME?</v>
      </c>
      <c r="AG295" s="2" t="str">
        <f>Post2020_Derivation!S340</f>
        <v/>
      </c>
      <c r="AH295" s="2" t="e">
        <f ca="1">IF(Post2020_Derivation!T340="","",Post2020_Derivation!T340)</f>
        <v>#NAME?</v>
      </c>
    </row>
    <row r="296" spans="1:34">
      <c r="A296" t="s">
        <v>677</v>
      </c>
      <c r="B296" t="s">
        <v>676</v>
      </c>
      <c r="C296" s="2" t="s">
        <v>43</v>
      </c>
      <c r="D296" s="2" t="s">
        <v>44</v>
      </c>
      <c r="E296" s="2" t="s">
        <v>43</v>
      </c>
      <c r="F296" s="2" t="s">
        <v>44</v>
      </c>
      <c r="G296" s="2">
        <v>37</v>
      </c>
      <c r="H296" s="2"/>
      <c r="I296" s="2">
        <v>36</v>
      </c>
      <c r="J296" s="2"/>
      <c r="K296" s="2">
        <v>36</v>
      </c>
      <c r="L296" s="2"/>
      <c r="M296" s="2">
        <v>5</v>
      </c>
      <c r="N296" s="2"/>
      <c r="O296" s="2">
        <v>4</v>
      </c>
      <c r="P296" s="2"/>
      <c r="Q296" s="2" t="s">
        <v>43</v>
      </c>
      <c r="R296" s="2" t="s">
        <v>44</v>
      </c>
      <c r="S296" s="2" t="s">
        <v>43</v>
      </c>
      <c r="T296" s="2" t="s">
        <v>44</v>
      </c>
      <c r="U296" s="2" t="s">
        <v>43</v>
      </c>
      <c r="V296" s="2" t="s">
        <v>44</v>
      </c>
      <c r="W296" s="2" t="s">
        <v>43</v>
      </c>
      <c r="X296" s="2" t="s">
        <v>44</v>
      </c>
      <c r="Y296" s="2" t="s">
        <v>43</v>
      </c>
      <c r="Z296" s="2" t="s">
        <v>44</v>
      </c>
      <c r="AA296" s="2" t="s">
        <v>43</v>
      </c>
      <c r="AB296" s="2" t="s">
        <v>44</v>
      </c>
      <c r="AC296" s="2" t="str">
        <f>Post2020_Derivation!G341</f>
        <v/>
      </c>
      <c r="AD296" s="2" t="e">
        <f ca="1">IF(Post2020_Derivation!H341="","",Post2020_Derivation!H341)</f>
        <v>#NAME?</v>
      </c>
      <c r="AE296" s="2" t="str">
        <f>Post2020_Derivation!M341</f>
        <v/>
      </c>
      <c r="AF296" s="2" t="e">
        <f ca="1">IF(Post2020_Derivation!N341="","",Post2020_Derivation!N341)</f>
        <v>#NAME?</v>
      </c>
      <c r="AG296" s="2" t="str">
        <f>Post2020_Derivation!S341</f>
        <v/>
      </c>
      <c r="AH296" s="2" t="e">
        <f ca="1">IF(Post2020_Derivation!T341="","",Post2020_Derivation!T341)</f>
        <v>#NAME?</v>
      </c>
    </row>
    <row r="297" spans="1:34">
      <c r="A297" t="s">
        <v>680</v>
      </c>
      <c r="B297" t="s">
        <v>681</v>
      </c>
      <c r="C297" s="2">
        <v>112307</v>
      </c>
      <c r="D297" s="2"/>
      <c r="E297" s="2">
        <v>107881</v>
      </c>
      <c r="F297" s="2" t="s">
        <v>846</v>
      </c>
      <c r="G297" s="2">
        <v>115012</v>
      </c>
      <c r="H297" s="2"/>
      <c r="I297" s="2">
        <v>123439</v>
      </c>
      <c r="J297" s="2"/>
      <c r="K297" s="2">
        <v>129219</v>
      </c>
      <c r="L297" s="2"/>
      <c r="M297" s="2">
        <v>135171</v>
      </c>
      <c r="N297" s="2"/>
      <c r="O297" s="2">
        <v>147252</v>
      </c>
      <c r="P297" s="2"/>
      <c r="Q297" s="2">
        <v>165951</v>
      </c>
      <c r="R297" s="2"/>
      <c r="S297" s="2">
        <v>172346</v>
      </c>
      <c r="T297" s="2"/>
      <c r="U297" s="2">
        <v>182596</v>
      </c>
      <c r="V297" s="2"/>
      <c r="W297" s="2">
        <v>187828</v>
      </c>
      <c r="X297" s="2" t="s">
        <v>334</v>
      </c>
      <c r="Y297" s="2">
        <v>175196</v>
      </c>
      <c r="Z297" s="2"/>
      <c r="AA297" s="2">
        <v>163003</v>
      </c>
      <c r="AB297" s="2"/>
      <c r="AC297" s="2">
        <f>Post2020_Derivation!G344</f>
        <v>161262</v>
      </c>
      <c r="AD297" s="2" t="e">
        <f ca="1">IF(Post2020_Derivation!H344="","",Post2020_Derivation!H344)</f>
        <v>#NAME?</v>
      </c>
      <c r="AE297" s="2">
        <f>Post2020_Derivation!M344</f>
        <v>155906</v>
      </c>
      <c r="AF297" s="2" t="e">
        <f ca="1">IF(Post2020_Derivation!N344="","",Post2020_Derivation!N344)</f>
        <v>#NAME?</v>
      </c>
      <c r="AG297" s="2">
        <f>Post2020_Derivation!S344</f>
        <v>156400</v>
      </c>
      <c r="AH297" s="2" t="e">
        <f ca="1">IF(Post2020_Derivation!T344="","",Post2020_Derivation!T344)</f>
        <v>#NAME?</v>
      </c>
    </row>
    <row r="298" spans="1:34">
      <c r="A298" t="s">
        <v>682</v>
      </c>
      <c r="B298" t="s">
        <v>683</v>
      </c>
      <c r="C298" s="2">
        <v>35037</v>
      </c>
      <c r="D298" s="2"/>
      <c r="E298" s="2">
        <v>31932</v>
      </c>
      <c r="F298" s="2" t="s">
        <v>846</v>
      </c>
      <c r="G298" s="2">
        <v>32520</v>
      </c>
      <c r="H298" s="2"/>
      <c r="I298" s="2">
        <v>36793</v>
      </c>
      <c r="J298" s="2"/>
      <c r="K298" s="2">
        <v>40342</v>
      </c>
      <c r="L298" s="2"/>
      <c r="M298" s="2">
        <v>44844</v>
      </c>
      <c r="N298" s="2"/>
      <c r="O298" s="2">
        <v>50445</v>
      </c>
      <c r="P298" s="2"/>
      <c r="Q298" s="2">
        <v>56750</v>
      </c>
      <c r="R298" s="2"/>
      <c r="S298" s="2">
        <v>60588</v>
      </c>
      <c r="T298" s="2"/>
      <c r="U298" s="2">
        <v>64340</v>
      </c>
      <c r="V298" s="2"/>
      <c r="W298" s="2">
        <v>68388</v>
      </c>
      <c r="X298" s="2" t="s">
        <v>334</v>
      </c>
      <c r="Y298" s="2">
        <v>65312</v>
      </c>
      <c r="Z298" s="2"/>
      <c r="AA298" s="2">
        <v>59945</v>
      </c>
      <c r="AB298" s="2"/>
      <c r="AC298" s="2">
        <f>Post2020_Derivation!G345</f>
        <v>53784</v>
      </c>
      <c r="AD298" s="2" t="e">
        <f ca="1">IF(Post2020_Derivation!H345="","",Post2020_Derivation!H345)</f>
        <v>#NAME?</v>
      </c>
      <c r="AE298" s="2">
        <f>Post2020_Derivation!M345</f>
        <v>50844</v>
      </c>
      <c r="AF298" s="2" t="e">
        <f ca="1">IF(Post2020_Derivation!N345="","",Post2020_Derivation!N345)</f>
        <v>#NAME?</v>
      </c>
      <c r="AG298" s="2">
        <f>Post2020_Derivation!S345</f>
        <v>49910</v>
      </c>
      <c r="AH298" s="2" t="e">
        <f ca="1">IF(Post2020_Derivation!T345="","",Post2020_Derivation!T345)</f>
        <v>#NAME?</v>
      </c>
    </row>
    <row r="299" spans="1:34">
      <c r="A299" t="s">
        <v>684</v>
      </c>
      <c r="B299" t="s">
        <v>685</v>
      </c>
      <c r="C299" s="2">
        <v>14682</v>
      </c>
      <c r="D299" s="2"/>
      <c r="E299" s="2">
        <v>13895</v>
      </c>
      <c r="F299" s="2" t="s">
        <v>846</v>
      </c>
      <c r="G299" s="2">
        <v>13283</v>
      </c>
      <c r="H299" s="2"/>
      <c r="I299" s="2">
        <v>15083</v>
      </c>
      <c r="J299" s="2"/>
      <c r="K299" s="2">
        <v>16306</v>
      </c>
      <c r="L299" s="2"/>
      <c r="M299" s="2">
        <v>17934</v>
      </c>
      <c r="N299" s="2"/>
      <c r="O299" s="2">
        <v>22607</v>
      </c>
      <c r="P299" s="2"/>
      <c r="Q299" s="2">
        <v>25830</v>
      </c>
      <c r="R299" s="2"/>
      <c r="S299" s="2">
        <v>26280</v>
      </c>
      <c r="T299" s="2"/>
      <c r="U299" s="2">
        <v>28234</v>
      </c>
      <c r="V299" s="2"/>
      <c r="W299" s="2">
        <v>25608</v>
      </c>
      <c r="X299" s="2" t="s">
        <v>334</v>
      </c>
      <c r="Y299" s="2">
        <v>24930</v>
      </c>
      <c r="Z299" s="2"/>
      <c r="AA299" s="2">
        <v>22981</v>
      </c>
      <c r="AB299" s="2"/>
      <c r="AC299" s="2">
        <f>Post2020_Derivation!G346</f>
        <v>18146</v>
      </c>
      <c r="AD299" s="2" t="e">
        <f ca="1">IF(Post2020_Derivation!H346="","",Post2020_Derivation!H346)</f>
        <v>#NAME?</v>
      </c>
      <c r="AE299" s="2">
        <f>Post2020_Derivation!M346</f>
        <v>17028</v>
      </c>
      <c r="AF299" s="2" t="e">
        <f ca="1">IF(Post2020_Derivation!N346="","",Post2020_Derivation!N346)</f>
        <v>#NAME?</v>
      </c>
      <c r="AG299" s="2">
        <f>Post2020_Derivation!S346</f>
        <v>16150</v>
      </c>
      <c r="AH299" s="2" t="e">
        <f ca="1">IF(Post2020_Derivation!T346="","",Post2020_Derivation!T346)</f>
        <v>#NAME?</v>
      </c>
    </row>
    <row r="300" spans="1:34">
      <c r="A300" t="s">
        <v>686</v>
      </c>
      <c r="B300" t="s">
        <v>687</v>
      </c>
      <c r="C300" s="2">
        <v>20355</v>
      </c>
      <c r="D300" s="2"/>
      <c r="E300" s="2">
        <v>18037</v>
      </c>
      <c r="F300" s="2" t="s">
        <v>846</v>
      </c>
      <c r="G300" s="2">
        <v>19237</v>
      </c>
      <c r="H300" s="2"/>
      <c r="I300" s="2">
        <v>21710</v>
      </c>
      <c r="J300" s="2"/>
      <c r="K300" s="2">
        <v>24036</v>
      </c>
      <c r="L300" s="2"/>
      <c r="M300" s="2">
        <v>26910</v>
      </c>
      <c r="N300" s="2"/>
      <c r="O300" s="2">
        <v>27838</v>
      </c>
      <c r="P300" s="2"/>
      <c r="Q300" s="2">
        <v>30920</v>
      </c>
      <c r="R300" s="2"/>
      <c r="S300" s="2">
        <v>34308</v>
      </c>
      <c r="T300" s="2"/>
      <c r="U300" s="2">
        <v>36106</v>
      </c>
      <c r="V300" s="2"/>
      <c r="W300" s="2">
        <v>42780</v>
      </c>
      <c r="X300" s="2" t="s">
        <v>334</v>
      </c>
      <c r="Y300" s="2">
        <v>40382</v>
      </c>
      <c r="Z300" s="2"/>
      <c r="AA300" s="2">
        <v>36964</v>
      </c>
      <c r="AB300" s="2"/>
      <c r="AC300" s="2">
        <f>Post2020_Derivation!G347</f>
        <v>35620</v>
      </c>
      <c r="AD300" s="2" t="e">
        <f ca="1">IF(Post2020_Derivation!H347="","",Post2020_Derivation!H347)</f>
        <v>#NAME?</v>
      </c>
      <c r="AE300" s="2">
        <f>Post2020_Derivation!M347</f>
        <v>33839</v>
      </c>
      <c r="AF300" s="2" t="e">
        <f ca="1">IF(Post2020_Derivation!N347="","",Post2020_Derivation!N347)</f>
        <v>#NAME?</v>
      </c>
      <c r="AG300" s="2">
        <f>Post2020_Derivation!S347</f>
        <v>33660</v>
      </c>
      <c r="AH300" s="2" t="e">
        <f ca="1">IF(Post2020_Derivation!T347="","",Post2020_Derivation!T347)</f>
        <v>#NAME?</v>
      </c>
    </row>
    <row r="301" spans="1:34">
      <c r="A301" t="s">
        <v>688</v>
      </c>
      <c r="B301" t="s">
        <v>689</v>
      </c>
      <c r="C301" s="2">
        <v>2135</v>
      </c>
      <c r="D301" s="2"/>
      <c r="E301" s="2">
        <v>1642</v>
      </c>
      <c r="F301" s="2" t="s">
        <v>846</v>
      </c>
      <c r="G301" s="2">
        <v>2423</v>
      </c>
      <c r="H301" s="2"/>
      <c r="I301" s="2">
        <v>1555</v>
      </c>
      <c r="J301" s="2"/>
      <c r="K301" s="2">
        <v>1816</v>
      </c>
      <c r="L301" s="2"/>
      <c r="M301" s="2">
        <v>1968</v>
      </c>
      <c r="N301" s="2"/>
      <c r="O301" s="2">
        <v>2762</v>
      </c>
      <c r="P301" s="2"/>
      <c r="Q301" s="2">
        <v>4262</v>
      </c>
      <c r="R301" s="2"/>
      <c r="S301" s="2">
        <v>5448</v>
      </c>
      <c r="T301" s="2"/>
      <c r="U301" s="2">
        <v>9853</v>
      </c>
      <c r="V301" s="2"/>
      <c r="W301" s="2">
        <v>9440</v>
      </c>
      <c r="X301" s="2" t="s">
        <v>334</v>
      </c>
      <c r="Y301" s="2">
        <v>8397</v>
      </c>
      <c r="Z301" s="2"/>
      <c r="AA301" s="2">
        <v>8302</v>
      </c>
      <c r="AB301" s="2"/>
      <c r="AC301" s="2">
        <f>Post2020_Derivation!G348</f>
        <v>8493</v>
      </c>
      <c r="AD301" s="2" t="e">
        <f ca="1">IF(Post2020_Derivation!H348="","",Post2020_Derivation!H348)</f>
        <v>#NAME?</v>
      </c>
      <c r="AE301" s="2">
        <f>Post2020_Derivation!M348</f>
        <v>9396</v>
      </c>
      <c r="AF301" s="2" t="e">
        <f ca="1">IF(Post2020_Derivation!N348="","",Post2020_Derivation!N348)</f>
        <v>#NAME?</v>
      </c>
      <c r="AG301" s="2">
        <f>Post2020_Derivation!S348</f>
        <v>8940</v>
      </c>
      <c r="AH301" s="2" t="e">
        <f ca="1">IF(Post2020_Derivation!T348="","",Post2020_Derivation!T348)</f>
        <v>#NAME?</v>
      </c>
    </row>
    <row r="302" spans="1:34">
      <c r="A302" t="s">
        <v>690</v>
      </c>
      <c r="B302" t="s">
        <v>459</v>
      </c>
      <c r="C302" s="2">
        <v>1615</v>
      </c>
      <c r="D302" s="2"/>
      <c r="E302" s="2">
        <v>1246</v>
      </c>
      <c r="F302" s="2" t="s">
        <v>846</v>
      </c>
      <c r="G302" s="2">
        <v>2020</v>
      </c>
      <c r="H302" s="2"/>
      <c r="I302" s="2">
        <v>1158</v>
      </c>
      <c r="J302" s="2"/>
      <c r="K302" s="2">
        <v>1384</v>
      </c>
      <c r="L302" s="2"/>
      <c r="M302" s="2">
        <v>1466</v>
      </c>
      <c r="N302" s="2"/>
      <c r="O302" s="2">
        <v>2253</v>
      </c>
      <c r="P302" s="2"/>
      <c r="Q302" s="2">
        <v>3669</v>
      </c>
      <c r="R302" s="2"/>
      <c r="S302" s="2">
        <v>4875</v>
      </c>
      <c r="T302" s="2"/>
      <c r="U302" s="2">
        <v>5277</v>
      </c>
      <c r="V302" s="2"/>
      <c r="W302" s="2">
        <v>5246</v>
      </c>
      <c r="X302" s="2" t="s">
        <v>334</v>
      </c>
      <c r="Y302" s="2">
        <v>4882</v>
      </c>
      <c r="Z302" s="2"/>
      <c r="AA302" s="2">
        <v>4579</v>
      </c>
      <c r="AB302" s="2"/>
      <c r="AC302" s="2">
        <f>Post2020_Derivation!G349</f>
        <v>4500</v>
      </c>
      <c r="AD302" s="2" t="e">
        <f ca="1">IF(Post2020_Derivation!H349="","",Post2020_Derivation!H349)</f>
        <v>#NAME?</v>
      </c>
      <c r="AE302" s="2">
        <f>Post2020_Derivation!M349</f>
        <v>4690</v>
      </c>
      <c r="AF302" s="2" t="e">
        <f ca="1">IF(Post2020_Derivation!N349="","",Post2020_Derivation!N349)</f>
        <v>#NAME?</v>
      </c>
      <c r="AG302" s="2">
        <f>Post2020_Derivation!S349</f>
        <v>5032</v>
      </c>
      <c r="AH302" s="2" t="e">
        <f ca="1">IF(Post2020_Derivation!T349="","",Post2020_Derivation!T349)</f>
        <v>#NAME?</v>
      </c>
    </row>
    <row r="303" spans="1:34">
      <c r="A303" t="s">
        <v>691</v>
      </c>
      <c r="B303" t="s">
        <v>692</v>
      </c>
      <c r="C303" s="2">
        <v>520</v>
      </c>
      <c r="D303" s="2"/>
      <c r="E303" s="2">
        <v>396</v>
      </c>
      <c r="F303" s="2" t="s">
        <v>846</v>
      </c>
      <c r="G303" s="2">
        <v>403</v>
      </c>
      <c r="H303" s="2"/>
      <c r="I303" s="2">
        <v>397</v>
      </c>
      <c r="J303" s="2"/>
      <c r="K303" s="2">
        <v>432</v>
      </c>
      <c r="L303" s="2"/>
      <c r="M303" s="2">
        <v>502</v>
      </c>
      <c r="N303" s="2"/>
      <c r="O303" s="2">
        <v>509</v>
      </c>
      <c r="P303" s="2"/>
      <c r="Q303" s="2">
        <v>593</v>
      </c>
      <c r="R303" s="2"/>
      <c r="S303" s="2">
        <v>573</v>
      </c>
      <c r="T303" s="2"/>
      <c r="U303" s="2">
        <v>4576</v>
      </c>
      <c r="V303" s="2"/>
      <c r="W303" s="2">
        <v>4194</v>
      </c>
      <c r="X303" s="2" t="s">
        <v>334</v>
      </c>
      <c r="Y303" s="2">
        <v>3515</v>
      </c>
      <c r="Z303" s="2"/>
      <c r="AA303" s="2">
        <v>3723</v>
      </c>
      <c r="AB303" s="2"/>
      <c r="AC303" s="2">
        <f>Post2020_Derivation!G350</f>
        <v>3990</v>
      </c>
      <c r="AD303" s="2" t="e">
        <f ca="1">IF(Post2020_Derivation!H350="","",Post2020_Derivation!H350)</f>
        <v>#NAME?</v>
      </c>
      <c r="AE303" s="2">
        <f>Post2020_Derivation!M350</f>
        <v>4715</v>
      </c>
      <c r="AF303" s="2" t="e">
        <f ca="1">IF(Post2020_Derivation!N350="","",Post2020_Derivation!N350)</f>
        <v>#NAME?</v>
      </c>
      <c r="AG303" s="2">
        <f>Post2020_Derivation!S350</f>
        <v>3900</v>
      </c>
      <c r="AH303" s="2" t="e">
        <f ca="1">IF(Post2020_Derivation!T350="","",Post2020_Derivation!T350)</f>
        <v>#NAME?</v>
      </c>
    </row>
    <row r="304" spans="1:34">
      <c r="A304" t="s">
        <v>693</v>
      </c>
      <c r="B304" t="s">
        <v>694</v>
      </c>
      <c r="C304" s="2">
        <v>37752</v>
      </c>
      <c r="D304" s="2"/>
      <c r="E304" s="2">
        <v>32698</v>
      </c>
      <c r="F304" s="2" t="s">
        <v>846</v>
      </c>
      <c r="G304" s="2">
        <v>32360</v>
      </c>
      <c r="H304" s="2"/>
      <c r="I304" s="2">
        <v>31105</v>
      </c>
      <c r="J304" s="2"/>
      <c r="K304" s="2">
        <v>32569</v>
      </c>
      <c r="L304" s="2"/>
      <c r="M304" s="2">
        <v>33946</v>
      </c>
      <c r="N304" s="2"/>
      <c r="O304" s="2">
        <v>34346</v>
      </c>
      <c r="P304" s="2"/>
      <c r="Q304" s="2">
        <v>38453</v>
      </c>
      <c r="R304" s="2"/>
      <c r="S304" s="2">
        <v>42616</v>
      </c>
      <c r="T304" s="2"/>
      <c r="U304" s="2">
        <v>42748</v>
      </c>
      <c r="V304" s="2"/>
      <c r="W304" s="2">
        <v>42752</v>
      </c>
      <c r="X304" s="2" t="s">
        <v>334</v>
      </c>
      <c r="Y304" s="2">
        <v>35495</v>
      </c>
      <c r="Z304" s="2"/>
      <c r="AA304" s="2">
        <v>32713</v>
      </c>
      <c r="AB304" s="2"/>
      <c r="AC304" s="2">
        <f>Post2020_Derivation!G351</f>
        <v>35571</v>
      </c>
      <c r="AD304" s="2" t="e">
        <f ca="1">IF(Post2020_Derivation!H351="","",Post2020_Derivation!H351)</f>
        <v>#NAME?</v>
      </c>
      <c r="AE304" s="2">
        <f>Post2020_Derivation!M351</f>
        <v>35568</v>
      </c>
      <c r="AF304" s="2" t="e">
        <f ca="1">IF(Post2020_Derivation!N351="","",Post2020_Derivation!N351)</f>
        <v>#NAME?</v>
      </c>
      <c r="AG304" s="2">
        <f>Post2020_Derivation!S351</f>
        <v>35979</v>
      </c>
      <c r="AH304" s="2" t="e">
        <f ca="1">IF(Post2020_Derivation!T351="","",Post2020_Derivation!T351)</f>
        <v>#NAME?</v>
      </c>
    </row>
    <row r="305" spans="1:34">
      <c r="A305" t="s">
        <v>695</v>
      </c>
      <c r="B305" t="s">
        <v>696</v>
      </c>
      <c r="C305" s="2">
        <v>35399</v>
      </c>
      <c r="D305" s="2"/>
      <c r="E305" s="2">
        <v>30878</v>
      </c>
      <c r="F305" s="2" t="s">
        <v>846</v>
      </c>
      <c r="G305" s="2">
        <v>30824</v>
      </c>
      <c r="H305" s="2"/>
      <c r="I305" s="2">
        <v>29510</v>
      </c>
      <c r="J305" s="2"/>
      <c r="K305" s="2">
        <v>30879</v>
      </c>
      <c r="L305" s="2"/>
      <c r="M305" s="2">
        <v>31914</v>
      </c>
      <c r="N305" s="2"/>
      <c r="O305" s="2">
        <v>32064</v>
      </c>
      <c r="P305" s="2"/>
      <c r="Q305" s="2">
        <v>35684</v>
      </c>
      <c r="R305" s="2"/>
      <c r="S305" s="2">
        <v>38266</v>
      </c>
      <c r="T305" s="2"/>
      <c r="U305" s="2">
        <v>39183</v>
      </c>
      <c r="V305" s="2"/>
      <c r="W305" s="2">
        <v>39013</v>
      </c>
      <c r="X305" s="2" t="s">
        <v>334</v>
      </c>
      <c r="Y305" s="2">
        <v>32253</v>
      </c>
      <c r="Z305" s="2"/>
      <c r="AA305" s="2">
        <v>30417</v>
      </c>
      <c r="AB305" s="2"/>
      <c r="AC305" s="2">
        <f>Post2020_Derivation!G352</f>
        <v>28770</v>
      </c>
      <c r="AD305" s="2" t="e">
        <f ca="1">IF(Post2020_Derivation!H352="","",Post2020_Derivation!H352)</f>
        <v>#NAME?</v>
      </c>
      <c r="AE305" s="2">
        <f>Post2020_Derivation!M352</f>
        <v>28188</v>
      </c>
      <c r="AF305" s="2" t="e">
        <f ca="1">IF(Post2020_Derivation!N352="","",Post2020_Derivation!N352)</f>
        <v>#NAME?</v>
      </c>
      <c r="AG305" s="2">
        <f>Post2020_Derivation!S352</f>
        <v>26216</v>
      </c>
      <c r="AH305" s="2" t="e">
        <f ca="1">IF(Post2020_Derivation!T352="","",Post2020_Derivation!T352)</f>
        <v>#NAME?</v>
      </c>
    </row>
    <row r="306" spans="1:34">
      <c r="A306" t="s">
        <v>697</v>
      </c>
      <c r="B306" t="s">
        <v>698</v>
      </c>
      <c r="C306" s="2">
        <v>2353</v>
      </c>
      <c r="D306" s="2"/>
      <c r="E306" s="2">
        <v>1820</v>
      </c>
      <c r="F306" s="2" t="s">
        <v>846</v>
      </c>
      <c r="G306" s="2">
        <v>1536</v>
      </c>
      <c r="H306" s="2"/>
      <c r="I306" s="2">
        <v>1595</v>
      </c>
      <c r="J306" s="2"/>
      <c r="K306" s="2">
        <v>1690</v>
      </c>
      <c r="L306" s="2"/>
      <c r="M306" s="2">
        <v>2032</v>
      </c>
      <c r="N306" s="2"/>
      <c r="O306" s="2">
        <v>2282</v>
      </c>
      <c r="P306" s="2"/>
      <c r="Q306" s="2">
        <v>2769</v>
      </c>
      <c r="R306" s="2"/>
      <c r="S306" s="2">
        <v>4350</v>
      </c>
      <c r="T306" s="2"/>
      <c r="U306" s="2">
        <v>3565</v>
      </c>
      <c r="V306" s="2"/>
      <c r="W306" s="2">
        <v>3739</v>
      </c>
      <c r="X306" s="2" t="s">
        <v>334</v>
      </c>
      <c r="Y306" s="2">
        <v>3242</v>
      </c>
      <c r="Z306" s="2"/>
      <c r="AA306" s="2">
        <v>2296</v>
      </c>
      <c r="AB306" s="2"/>
      <c r="AC306" s="2">
        <f>Post2020_Derivation!G353</f>
        <v>6820</v>
      </c>
      <c r="AD306" s="2" t="e">
        <f ca="1">IF(Post2020_Derivation!H353="","",Post2020_Derivation!H353)</f>
        <v>#NAME?</v>
      </c>
      <c r="AE306" s="2">
        <f>Post2020_Derivation!M353</f>
        <v>7308</v>
      </c>
      <c r="AF306" s="2" t="e">
        <f ca="1">IF(Post2020_Derivation!N353="","",Post2020_Derivation!N353)</f>
        <v>#NAME?</v>
      </c>
      <c r="AG306" s="2">
        <f>Post2020_Derivation!S353</f>
        <v>9834</v>
      </c>
      <c r="AH306" s="2" t="e">
        <f ca="1">IF(Post2020_Derivation!T353="","",Post2020_Derivation!T353)</f>
        <v>#NAME?</v>
      </c>
    </row>
    <row r="307" spans="1:34">
      <c r="A307" t="s">
        <v>699</v>
      </c>
      <c r="B307" t="s">
        <v>700</v>
      </c>
      <c r="C307" s="2">
        <v>37383</v>
      </c>
      <c r="D307" s="2"/>
      <c r="E307" s="2">
        <v>41609</v>
      </c>
      <c r="F307" s="2" t="s">
        <v>846</v>
      </c>
      <c r="G307" s="2">
        <v>47709</v>
      </c>
      <c r="H307" s="2"/>
      <c r="I307" s="2">
        <v>53986</v>
      </c>
      <c r="J307" s="2"/>
      <c r="K307" s="2">
        <v>54492</v>
      </c>
      <c r="L307" s="2"/>
      <c r="M307" s="2">
        <v>54413</v>
      </c>
      <c r="N307" s="2"/>
      <c r="O307" s="2">
        <v>59699</v>
      </c>
      <c r="P307" s="2"/>
      <c r="Q307" s="2">
        <v>66486</v>
      </c>
      <c r="R307" s="2"/>
      <c r="S307" s="2">
        <v>63694</v>
      </c>
      <c r="T307" s="2"/>
      <c r="U307" s="2">
        <v>65655</v>
      </c>
      <c r="V307" s="2"/>
      <c r="W307" s="2">
        <v>67248</v>
      </c>
      <c r="X307" s="2" t="s">
        <v>334</v>
      </c>
      <c r="Y307" s="2">
        <v>65992</v>
      </c>
      <c r="Z307" s="2"/>
      <c r="AA307" s="2">
        <v>62043</v>
      </c>
      <c r="AB307" s="2"/>
      <c r="AC307" s="2">
        <f>Post2020_Derivation!G354</f>
        <v>63248</v>
      </c>
      <c r="AD307" s="2" t="e">
        <f ca="1">IF(Post2020_Derivation!H354="","",Post2020_Derivation!H354)</f>
        <v>#NAME?</v>
      </c>
      <c r="AE307" s="2">
        <f>Post2020_Derivation!M354</f>
        <v>60372</v>
      </c>
      <c r="AF307" s="2" t="e">
        <f ca="1">IF(Post2020_Derivation!N354="","",Post2020_Derivation!N354)</f>
        <v>#NAME?</v>
      </c>
      <c r="AG307" s="2">
        <f>Post2020_Derivation!S354</f>
        <v>61761</v>
      </c>
      <c r="AH307" s="2" t="e">
        <f ca="1">IF(Post2020_Derivation!T354="","",Post2020_Derivation!T354)</f>
        <v>#NAME?</v>
      </c>
    </row>
    <row r="308" spans="1:34">
      <c r="A308" t="s">
        <v>701</v>
      </c>
      <c r="B308" t="s">
        <v>702</v>
      </c>
      <c r="C308" s="2">
        <v>5769</v>
      </c>
      <c r="D308" s="2"/>
      <c r="E308" s="2">
        <v>5117</v>
      </c>
      <c r="F308" s="2" t="s">
        <v>846</v>
      </c>
      <c r="G308" s="2">
        <v>4964</v>
      </c>
      <c r="H308" s="2"/>
      <c r="I308" s="2">
        <v>5411</v>
      </c>
      <c r="J308" s="2"/>
      <c r="K308" s="2">
        <v>6835</v>
      </c>
      <c r="L308" s="2"/>
      <c r="M308" s="2">
        <v>6463</v>
      </c>
      <c r="N308" s="2"/>
      <c r="O308" s="2">
        <v>6747</v>
      </c>
      <c r="P308" s="2"/>
      <c r="Q308" s="2">
        <v>7346</v>
      </c>
      <c r="R308" s="2"/>
      <c r="S308" s="2">
        <v>8160</v>
      </c>
      <c r="T308" s="2"/>
      <c r="U308" s="2">
        <v>11426</v>
      </c>
      <c r="V308" s="2"/>
      <c r="W308" s="2">
        <v>14419</v>
      </c>
      <c r="X308" s="2" t="s">
        <v>334</v>
      </c>
      <c r="Y308" s="2">
        <v>15180</v>
      </c>
      <c r="Z308" s="2"/>
      <c r="AA308" s="2">
        <v>15622</v>
      </c>
      <c r="AB308" s="2"/>
      <c r="AC308" s="2">
        <f>Post2020_Derivation!G355</f>
        <v>15376</v>
      </c>
      <c r="AD308" s="2" t="e">
        <f ca="1">IF(Post2020_Derivation!H355="","",Post2020_Derivation!H355)</f>
        <v>#NAME?</v>
      </c>
      <c r="AE308" s="2">
        <f>Post2020_Derivation!M355</f>
        <v>15910</v>
      </c>
      <c r="AF308" s="2" t="e">
        <f ca="1">IF(Post2020_Derivation!N355="","",Post2020_Derivation!N355)</f>
        <v>#NAME?</v>
      </c>
      <c r="AG308" s="2">
        <f>Post2020_Derivation!S355</f>
        <v>15015</v>
      </c>
      <c r="AH308" s="2" t="e">
        <f ca="1">IF(Post2020_Derivation!T355="","",Post2020_Derivation!T355)</f>
        <v>#NAME?</v>
      </c>
    </row>
    <row r="309" spans="1:34">
      <c r="A309" t="s">
        <v>703</v>
      </c>
      <c r="B309" t="s">
        <v>704</v>
      </c>
      <c r="C309" s="2">
        <v>31614</v>
      </c>
      <c r="D309" s="2"/>
      <c r="E309" s="2">
        <v>36492</v>
      </c>
      <c r="F309" s="2" t="s">
        <v>846</v>
      </c>
      <c r="G309" s="2">
        <v>42745</v>
      </c>
      <c r="H309" s="2"/>
      <c r="I309" s="2">
        <v>48575</v>
      </c>
      <c r="J309" s="2"/>
      <c r="K309" s="2">
        <v>47657</v>
      </c>
      <c r="L309" s="2"/>
      <c r="M309" s="2">
        <v>47950</v>
      </c>
      <c r="N309" s="2"/>
      <c r="O309" s="2">
        <v>52952</v>
      </c>
      <c r="P309" s="2"/>
      <c r="Q309" s="2">
        <v>59140</v>
      </c>
      <c r="R309" s="2"/>
      <c r="S309" s="2">
        <v>55534</v>
      </c>
      <c r="T309" s="2"/>
      <c r="U309" s="2">
        <v>54229</v>
      </c>
      <c r="V309" s="2"/>
      <c r="W309" s="2">
        <v>52829</v>
      </c>
      <c r="X309" s="2" t="s">
        <v>334</v>
      </c>
      <c r="Y309" s="2">
        <v>50812</v>
      </c>
      <c r="Z309" s="2"/>
      <c r="AA309" s="2">
        <v>46421</v>
      </c>
      <c r="AB309" s="2"/>
      <c r="AC309" s="2">
        <f>Post2020_Derivation!G356</f>
        <v>47850</v>
      </c>
      <c r="AD309" s="2" t="e">
        <f ca="1">IF(Post2020_Derivation!H356="","",Post2020_Derivation!H356)</f>
        <v>#NAME?</v>
      </c>
      <c r="AE309" s="2">
        <f>Post2020_Derivation!M356</f>
        <v>44400</v>
      </c>
      <c r="AF309" s="2" t="e">
        <f ca="1">IF(Post2020_Derivation!N356="","",Post2020_Derivation!N356)</f>
        <v>#NAME?</v>
      </c>
      <c r="AG309" s="2">
        <f>Post2020_Derivation!S356</f>
        <v>46720</v>
      </c>
      <c r="AH309" s="2" t="e">
        <f ca="1">IF(Post2020_Derivation!T356="","",Post2020_Derivation!T356)</f>
        <v>#NAME?</v>
      </c>
    </row>
    <row r="310" spans="1:34">
      <c r="A310" t="s">
        <v>707</v>
      </c>
      <c r="B310" t="s">
        <v>708</v>
      </c>
      <c r="C310" s="2">
        <v>14843</v>
      </c>
      <c r="D310" s="2"/>
      <c r="E310" s="2">
        <v>13020</v>
      </c>
      <c r="F310" s="2"/>
      <c r="G310" s="2">
        <v>12877</v>
      </c>
      <c r="H310" s="2"/>
      <c r="I310" s="2">
        <v>12958</v>
      </c>
      <c r="J310" s="2"/>
      <c r="K310" s="2">
        <v>12970</v>
      </c>
      <c r="L310" s="2"/>
      <c r="M310" s="2">
        <v>12232</v>
      </c>
      <c r="N310" s="2"/>
      <c r="O310" s="2">
        <v>13088</v>
      </c>
      <c r="P310" s="2"/>
      <c r="Q310" s="2">
        <v>12746</v>
      </c>
      <c r="R310" s="2"/>
      <c r="S310" s="2">
        <v>12921</v>
      </c>
      <c r="T310" s="2"/>
      <c r="U310" s="2">
        <v>14858</v>
      </c>
      <c r="V310" s="2"/>
      <c r="W310" s="2">
        <v>16255</v>
      </c>
      <c r="X310" s="2"/>
      <c r="Y310" s="2">
        <v>17571</v>
      </c>
      <c r="Z310" s="2"/>
      <c r="AA310" s="2">
        <v>17103</v>
      </c>
      <c r="AB310" s="2"/>
      <c r="AC310" s="2">
        <f>Post2020_Derivation!G359</f>
        <v>16400</v>
      </c>
      <c r="AD310" s="2" t="e">
        <f ca="1">IF(Post2020_Derivation!H359="","",Post2020_Derivation!H359)</f>
        <v>#NAME?</v>
      </c>
      <c r="AE310" s="2">
        <f>Post2020_Derivation!M359</f>
        <v>15939</v>
      </c>
      <c r="AF310" s="2" t="e">
        <f ca="1">IF(Post2020_Derivation!N359="","",Post2020_Derivation!N359)</f>
        <v>#NAME?</v>
      </c>
      <c r="AG310" s="2">
        <f>Post2020_Derivation!S359</f>
        <v>15957</v>
      </c>
      <c r="AH310" s="2" t="e">
        <f ca="1">IF(Post2020_Derivation!T359="","",Post2020_Derivation!T359)</f>
        <v>#NAME?</v>
      </c>
    </row>
    <row r="311" spans="1:34">
      <c r="A311" t="s">
        <v>709</v>
      </c>
      <c r="B311" t="s">
        <v>710</v>
      </c>
      <c r="C311" s="2">
        <v>14843</v>
      </c>
      <c r="D311" s="2"/>
      <c r="E311" s="2">
        <v>13020</v>
      </c>
      <c r="F311" s="2"/>
      <c r="G311" s="2">
        <v>12877</v>
      </c>
      <c r="H311" s="2"/>
      <c r="I311" s="2">
        <v>12958</v>
      </c>
      <c r="J311" s="2"/>
      <c r="K311" s="2">
        <v>12970</v>
      </c>
      <c r="L311" s="2"/>
      <c r="M311" s="2">
        <v>12232</v>
      </c>
      <c r="N311" s="2"/>
      <c r="O311" s="2">
        <v>13088</v>
      </c>
      <c r="P311" s="2"/>
      <c r="Q311" s="2">
        <v>12746</v>
      </c>
      <c r="R311" s="2"/>
      <c r="S311" s="2">
        <v>12921</v>
      </c>
      <c r="T311" s="2"/>
      <c r="U311" s="2">
        <v>14858</v>
      </c>
      <c r="V311" s="2"/>
      <c r="W311" s="2">
        <v>16255</v>
      </c>
      <c r="X311" s="2"/>
      <c r="Y311" s="2">
        <v>17571</v>
      </c>
      <c r="Z311" s="2"/>
      <c r="AA311" s="2">
        <v>17103</v>
      </c>
      <c r="AB311" s="2"/>
      <c r="AC311" s="2">
        <f>Post2020_Derivation!G360</f>
        <v>16400</v>
      </c>
      <c r="AD311" s="2" t="e">
        <f ca="1">IF(Post2020_Derivation!H360="","",Post2020_Derivation!H360)</f>
        <v>#NAME?</v>
      </c>
      <c r="AE311" s="2">
        <f>Post2020_Derivation!M360</f>
        <v>15939</v>
      </c>
      <c r="AF311" s="2" t="e">
        <f ca="1">IF(Post2020_Derivation!N360="","",Post2020_Derivation!N360)</f>
        <v>#NAME?</v>
      </c>
      <c r="AG311" s="2">
        <f>Post2020_Derivation!S360</f>
        <v>15957</v>
      </c>
      <c r="AH311" s="2" t="e">
        <f ca="1">IF(Post2020_Derivation!T360="","",Post2020_Derivation!T360)</f>
        <v>#NAME?</v>
      </c>
    </row>
    <row r="312" spans="1:34">
      <c r="A312" t="s">
        <v>711</v>
      </c>
      <c r="B312" t="s">
        <v>712</v>
      </c>
      <c r="C312" s="2" t="s">
        <v>43</v>
      </c>
      <c r="D312" s="2"/>
      <c r="E312" s="2" t="s">
        <v>43</v>
      </c>
      <c r="F312" s="2"/>
      <c r="G312" s="2" t="s">
        <v>43</v>
      </c>
      <c r="H312" s="2"/>
      <c r="I312" s="2" t="s">
        <v>43</v>
      </c>
      <c r="J312" s="2"/>
      <c r="K312" s="2" t="s">
        <v>43</v>
      </c>
      <c r="L312" s="2"/>
      <c r="M312" s="2">
        <v>7859</v>
      </c>
      <c r="N312" s="2"/>
      <c r="O312" s="2">
        <v>8359</v>
      </c>
      <c r="P312" s="2"/>
      <c r="Q312" s="2">
        <v>7841</v>
      </c>
      <c r="R312" s="2"/>
      <c r="S312" s="2">
        <v>8561</v>
      </c>
      <c r="T312" s="2"/>
      <c r="U312" s="2">
        <v>10010</v>
      </c>
      <c r="V312" s="2"/>
      <c r="W312" s="2">
        <v>11148</v>
      </c>
      <c r="X312" s="2"/>
      <c r="Y312" s="2">
        <v>12565</v>
      </c>
      <c r="Z312" s="2"/>
      <c r="AA312" s="2">
        <v>11675</v>
      </c>
      <c r="AB312" s="2"/>
      <c r="AC312" s="2">
        <f>Post2020_Derivation!G361</f>
        <v>11016</v>
      </c>
      <c r="AD312" s="2" t="e">
        <f ca="1">IF(Post2020_Derivation!H361="","",Post2020_Derivation!H361)</f>
        <v>#NAME?</v>
      </c>
      <c r="AE312" s="2">
        <f>Post2020_Derivation!M361</f>
        <v>10260</v>
      </c>
      <c r="AF312" s="2" t="e">
        <f ca="1">IF(Post2020_Derivation!N361="","",Post2020_Derivation!N361)</f>
        <v>#NAME?</v>
      </c>
      <c r="AG312" s="2">
        <f>Post2020_Derivation!S361</f>
        <v>10100</v>
      </c>
      <c r="AH312" s="2" t="e">
        <f ca="1">IF(Post2020_Derivation!T361="","",Post2020_Derivation!T361)</f>
        <v>#NAME?</v>
      </c>
    </row>
    <row r="313" spans="1:34">
      <c r="A313" t="s">
        <v>1012</v>
      </c>
      <c r="B313" t="s">
        <v>1013</v>
      </c>
      <c r="C313" s="2">
        <v>10093</v>
      </c>
      <c r="D313" s="2"/>
      <c r="E313" s="2">
        <v>8673</v>
      </c>
      <c r="F313" s="2"/>
      <c r="G313" s="2">
        <v>8724</v>
      </c>
      <c r="H313" s="2"/>
      <c r="I313" s="2">
        <v>8770</v>
      </c>
      <c r="J313" s="2"/>
      <c r="K313" s="2">
        <v>8792</v>
      </c>
      <c r="L313" s="2"/>
      <c r="M313" s="2" t="s">
        <v>43</v>
      </c>
      <c r="N313" s="2"/>
      <c r="O313" s="2" t="s">
        <v>43</v>
      </c>
      <c r="P313" s="2"/>
      <c r="Q313" s="2" t="s">
        <v>43</v>
      </c>
      <c r="R313" s="2"/>
      <c r="S313" s="2" t="s">
        <v>43</v>
      </c>
      <c r="T313" s="2"/>
      <c r="U313" s="2" t="s">
        <v>43</v>
      </c>
      <c r="V313" s="2"/>
      <c r="W313" s="2" t="s">
        <v>43</v>
      </c>
      <c r="X313" s="2"/>
      <c r="Y313" s="2" t="s">
        <v>43</v>
      </c>
      <c r="Z313" s="2"/>
      <c r="AA313" s="2" t="s">
        <v>43</v>
      </c>
      <c r="AB313" s="2"/>
      <c r="AC313" s="2" t="str">
        <f>""</f>
        <v/>
      </c>
      <c r="AD313" s="2" t="str">
        <f>""</f>
        <v/>
      </c>
      <c r="AE313" s="2" t="str">
        <f>""</f>
        <v/>
      </c>
      <c r="AF313" s="2" t="str">
        <f>""</f>
        <v/>
      </c>
      <c r="AG313" s="2" t="str">
        <f>""</f>
        <v/>
      </c>
      <c r="AH313" s="2" t="str">
        <f>""</f>
        <v/>
      </c>
    </row>
    <row r="314" spans="1:34">
      <c r="A314" t="s">
        <v>713</v>
      </c>
      <c r="B314" t="s">
        <v>714</v>
      </c>
      <c r="C314" s="2" t="s">
        <v>43</v>
      </c>
      <c r="D314" s="2"/>
      <c r="E314" s="2" t="s">
        <v>43</v>
      </c>
      <c r="F314" s="2"/>
      <c r="G314" s="2" t="s">
        <v>43</v>
      </c>
      <c r="H314" s="2"/>
      <c r="I314" s="2" t="s">
        <v>43</v>
      </c>
      <c r="J314" s="2"/>
      <c r="K314" s="2" t="s">
        <v>43</v>
      </c>
      <c r="L314" s="2"/>
      <c r="M314" s="2">
        <v>4373</v>
      </c>
      <c r="N314" s="2"/>
      <c r="O314" s="2">
        <v>4729</v>
      </c>
      <c r="P314" s="2"/>
      <c r="Q314" s="2">
        <v>4905</v>
      </c>
      <c r="R314" s="2"/>
      <c r="S314" s="2">
        <v>4360</v>
      </c>
      <c r="T314" s="2"/>
      <c r="U314" s="2">
        <v>4848</v>
      </c>
      <c r="V314" s="2"/>
      <c r="W314" s="2">
        <v>5107</v>
      </c>
      <c r="X314" s="2"/>
      <c r="Y314" s="2">
        <v>5006</v>
      </c>
      <c r="Z314" s="2"/>
      <c r="AA314" s="2">
        <v>5427</v>
      </c>
      <c r="AB314" s="2"/>
      <c r="AC314" s="2">
        <f>Post2020_Derivation!G362</f>
        <v>5432</v>
      </c>
      <c r="AD314" s="2" t="e">
        <f ca="1">IF(Post2020_Derivation!H362="","",Post2020_Derivation!H362)</f>
        <v>#NAME?</v>
      </c>
      <c r="AE314" s="2">
        <f>Post2020_Derivation!M362</f>
        <v>5643</v>
      </c>
      <c r="AF314" s="2" t="e">
        <f ca="1">IF(Post2020_Derivation!N362="","",Post2020_Derivation!N362)</f>
        <v>#NAME?</v>
      </c>
      <c r="AG314" s="2">
        <f>Post2020_Derivation!S362</f>
        <v>5820</v>
      </c>
      <c r="AH314" s="2" t="e">
        <f ca="1">IF(Post2020_Derivation!T362="","",Post2020_Derivation!T362)</f>
        <v>#NAME?</v>
      </c>
    </row>
    <row r="315" spans="1:34">
      <c r="A315" t="s">
        <v>1014</v>
      </c>
      <c r="B315" t="s">
        <v>1015</v>
      </c>
      <c r="C315" s="2">
        <v>4750</v>
      </c>
      <c r="D315" s="2"/>
      <c r="E315" s="2">
        <v>4347</v>
      </c>
      <c r="F315" s="2"/>
      <c r="G315" s="2">
        <v>4153</v>
      </c>
      <c r="H315" s="2"/>
      <c r="I315" s="2">
        <v>4188</v>
      </c>
      <c r="J315" s="2"/>
      <c r="K315" s="2">
        <v>4178</v>
      </c>
      <c r="L315" s="2"/>
      <c r="M315" s="2" t="s">
        <v>43</v>
      </c>
      <c r="N315" s="2"/>
      <c r="O315" s="2" t="s">
        <v>43</v>
      </c>
      <c r="P315" s="2"/>
      <c r="Q315" s="2" t="s">
        <v>43</v>
      </c>
      <c r="R315" s="2"/>
      <c r="S315" s="2" t="s">
        <v>43</v>
      </c>
      <c r="T315" s="2"/>
      <c r="U315" s="2" t="s">
        <v>43</v>
      </c>
      <c r="V315" s="2"/>
      <c r="W315" s="2" t="s">
        <v>43</v>
      </c>
      <c r="X315" s="2"/>
      <c r="Y315" s="2" t="s">
        <v>43</v>
      </c>
      <c r="Z315" s="2"/>
      <c r="AA315" s="2" t="s">
        <v>43</v>
      </c>
      <c r="AB315" s="2"/>
      <c r="AC315" s="2" t="str">
        <f>""</f>
        <v/>
      </c>
      <c r="AD315" s="2" t="str">
        <f>""</f>
        <v/>
      </c>
      <c r="AE315" s="2" t="str">
        <f>""</f>
        <v/>
      </c>
      <c r="AF315" s="2" t="str">
        <f>""</f>
        <v/>
      </c>
      <c r="AG315" s="2" t="str">
        <f>""</f>
        <v/>
      </c>
      <c r="AH315" s="2" t="str">
        <f>""</f>
        <v/>
      </c>
    </row>
    <row r="316" spans="1:34">
      <c r="A316" t="s">
        <v>715</v>
      </c>
      <c r="B316" t="s">
        <v>716</v>
      </c>
      <c r="C316" s="2">
        <v>57329</v>
      </c>
      <c r="D316" s="2"/>
      <c r="E316" s="2">
        <v>48038</v>
      </c>
      <c r="F316" s="2"/>
      <c r="G316" s="2">
        <v>50569</v>
      </c>
      <c r="H316" s="2"/>
      <c r="I316" s="2">
        <v>56895</v>
      </c>
      <c r="J316" s="2"/>
      <c r="K316" s="2">
        <v>61372</v>
      </c>
      <c r="L316" s="2"/>
      <c r="M316" s="2">
        <v>60914</v>
      </c>
      <c r="N316" s="2"/>
      <c r="O316" s="2">
        <v>61126</v>
      </c>
      <c r="P316" s="2"/>
      <c r="Q316" s="2">
        <v>66519</v>
      </c>
      <c r="R316" s="2"/>
      <c r="S316" s="2">
        <v>72093</v>
      </c>
      <c r="T316" s="2"/>
      <c r="U316" s="2">
        <v>79043</v>
      </c>
      <c r="V316" s="2"/>
      <c r="W316" s="2">
        <v>81297</v>
      </c>
      <c r="X316" s="2"/>
      <c r="Y316" s="2">
        <v>83668</v>
      </c>
      <c r="Z316" s="2"/>
      <c r="AA316" s="2">
        <v>80141</v>
      </c>
      <c r="AB316" s="2"/>
      <c r="AC316" s="2">
        <f>Post2020_Derivation!G363</f>
        <v>79288</v>
      </c>
      <c r="AD316" s="2" t="e">
        <f ca="1">IF(Post2020_Derivation!H363="","",Post2020_Derivation!H363)</f>
        <v>#NAME?</v>
      </c>
      <c r="AE316" s="2">
        <f>Post2020_Derivation!M363</f>
        <v>75402</v>
      </c>
      <c r="AF316" s="2" t="e">
        <f ca="1">IF(Post2020_Derivation!N363="","",Post2020_Derivation!N363)</f>
        <v>#NAME?</v>
      </c>
      <c r="AG316" s="2">
        <f>Post2020_Derivation!S363</f>
        <v>75075</v>
      </c>
      <c r="AH316" s="2" t="e">
        <f ca="1">IF(Post2020_Derivation!T363="","",Post2020_Derivation!T363)</f>
        <v>#NAME?</v>
      </c>
    </row>
    <row r="317" spans="1:34">
      <c r="A317" t="s">
        <v>717</v>
      </c>
      <c r="B317" t="s">
        <v>718</v>
      </c>
      <c r="C317" s="2">
        <v>57329</v>
      </c>
      <c r="D317" s="2"/>
      <c r="E317" s="2">
        <v>48038</v>
      </c>
      <c r="F317" s="2"/>
      <c r="G317" s="2">
        <v>50569</v>
      </c>
      <c r="H317" s="2"/>
      <c r="I317" s="2">
        <v>56895</v>
      </c>
      <c r="J317" s="2"/>
      <c r="K317" s="2">
        <v>61372</v>
      </c>
      <c r="L317" s="2"/>
      <c r="M317" s="2">
        <v>60914</v>
      </c>
      <c r="N317" s="2"/>
      <c r="O317" s="2">
        <v>61126</v>
      </c>
      <c r="P317" s="2"/>
      <c r="Q317" s="2">
        <v>66519</v>
      </c>
      <c r="R317" s="2"/>
      <c r="S317" s="2">
        <v>72093</v>
      </c>
      <c r="T317" s="2"/>
      <c r="U317" s="2">
        <v>79043</v>
      </c>
      <c r="V317" s="2"/>
      <c r="W317" s="2">
        <v>81297</v>
      </c>
      <c r="X317" s="2"/>
      <c r="Y317" s="2">
        <v>83668</v>
      </c>
      <c r="Z317" s="2"/>
      <c r="AA317" s="2">
        <v>80141</v>
      </c>
      <c r="AB317" s="2"/>
      <c r="AC317" s="2">
        <f>Post2020_Derivation!G364</f>
        <v>79288</v>
      </c>
      <c r="AD317" s="2" t="e">
        <f ca="1">IF(Post2020_Derivation!H364="","",Post2020_Derivation!H364)</f>
        <v>#NAME?</v>
      </c>
      <c r="AE317" s="2">
        <f>Post2020_Derivation!M364</f>
        <v>75402</v>
      </c>
      <c r="AF317" s="2" t="e">
        <f ca="1">IF(Post2020_Derivation!N364="","",Post2020_Derivation!N364)</f>
        <v>#NAME?</v>
      </c>
      <c r="AG317" s="2">
        <f>Post2020_Derivation!S364</f>
        <v>75075</v>
      </c>
      <c r="AH317" s="2" t="e">
        <f ca="1">IF(Post2020_Derivation!T364="","",Post2020_Derivation!T364)</f>
        <v>#NAME?</v>
      </c>
    </row>
    <row r="318" spans="1:34">
      <c r="A318" t="s">
        <v>719</v>
      </c>
      <c r="B318" t="s">
        <v>720</v>
      </c>
      <c r="C318" s="2">
        <v>14702</v>
      </c>
      <c r="D318" s="2"/>
      <c r="E318" s="2">
        <v>11128</v>
      </c>
      <c r="F318" s="2"/>
      <c r="G318" s="2">
        <v>11154</v>
      </c>
      <c r="H318" s="2"/>
      <c r="I318" s="2">
        <v>14248</v>
      </c>
      <c r="J318" s="2"/>
      <c r="K318" s="2">
        <v>16335</v>
      </c>
      <c r="L318" s="2"/>
      <c r="M318" s="2">
        <v>17106</v>
      </c>
      <c r="N318" s="2"/>
      <c r="O318" s="2">
        <v>17384</v>
      </c>
      <c r="P318" s="2"/>
      <c r="Q318" s="2">
        <v>18650</v>
      </c>
      <c r="R318" s="2"/>
      <c r="S318" s="2">
        <v>19237</v>
      </c>
      <c r="T318" s="2"/>
      <c r="U318" s="2">
        <v>22843</v>
      </c>
      <c r="V318" s="2"/>
      <c r="W318" s="2">
        <v>25470</v>
      </c>
      <c r="X318" s="2"/>
      <c r="Y318" s="2">
        <v>25802</v>
      </c>
      <c r="Z318" s="2"/>
      <c r="AA318" s="2">
        <v>25023</v>
      </c>
      <c r="AB318" s="2"/>
      <c r="AC318" s="2">
        <f>Post2020_Derivation!G365</f>
        <v>24804</v>
      </c>
      <c r="AD318" s="2" t="e">
        <f ca="1">IF(Post2020_Derivation!H365="","",Post2020_Derivation!H365)</f>
        <v>#NAME?</v>
      </c>
      <c r="AE318" s="2">
        <f>Post2020_Derivation!M365</f>
        <v>18600</v>
      </c>
      <c r="AF318" s="2" t="e">
        <f ca="1">IF(Post2020_Derivation!N365="","",Post2020_Derivation!N365)</f>
        <v>#NAME?</v>
      </c>
      <c r="AG318" s="2">
        <f>Post2020_Derivation!S365</f>
        <v>18040</v>
      </c>
      <c r="AH318" s="2" t="e">
        <f ca="1">IF(Post2020_Derivation!T365="","",Post2020_Derivation!T365)</f>
        <v>#NAME?</v>
      </c>
    </row>
    <row r="319" spans="1:34">
      <c r="A319" t="s">
        <v>721</v>
      </c>
      <c r="B319" t="s">
        <v>722</v>
      </c>
      <c r="C319" s="2">
        <v>27693</v>
      </c>
      <c r="D319" s="2"/>
      <c r="E319" s="2">
        <v>20992</v>
      </c>
      <c r="F319" s="2"/>
      <c r="G319" s="2">
        <v>20864</v>
      </c>
      <c r="H319" s="2"/>
      <c r="I319" s="2">
        <v>22391</v>
      </c>
      <c r="J319" s="2"/>
      <c r="K319" s="2">
        <v>22442</v>
      </c>
      <c r="L319" s="2"/>
      <c r="M319" s="2">
        <v>20542</v>
      </c>
      <c r="N319" s="2"/>
      <c r="O319" s="2">
        <v>19025</v>
      </c>
      <c r="P319" s="2"/>
      <c r="Q319" s="2">
        <v>19710</v>
      </c>
      <c r="R319" s="2"/>
      <c r="S319" s="2">
        <v>23403</v>
      </c>
      <c r="T319" s="2"/>
      <c r="U319" s="2">
        <v>25792</v>
      </c>
      <c r="V319" s="2"/>
      <c r="W319" s="2">
        <v>26406</v>
      </c>
      <c r="X319" s="2"/>
      <c r="Y319" s="2">
        <v>27344</v>
      </c>
      <c r="Z319" s="2"/>
      <c r="AA319" s="2">
        <v>26045</v>
      </c>
      <c r="AB319" s="2"/>
      <c r="AC319" s="2">
        <f>Post2020_Derivation!G366</f>
        <v>26576</v>
      </c>
      <c r="AD319" s="2" t="e">
        <f ca="1">IF(Post2020_Derivation!H366="","",Post2020_Derivation!H366)</f>
        <v>#NAME?</v>
      </c>
      <c r="AE319" s="2">
        <f>Post2020_Derivation!M366</f>
        <v>28721</v>
      </c>
      <c r="AF319" s="2" t="e">
        <f ca="1">IF(Post2020_Derivation!N366="","",Post2020_Derivation!N366)</f>
        <v>#NAME?</v>
      </c>
      <c r="AG319" s="2">
        <f>Post2020_Derivation!S366</f>
        <v>29574</v>
      </c>
      <c r="AH319" s="2" t="e">
        <f ca="1">IF(Post2020_Derivation!T366="","",Post2020_Derivation!T366)</f>
        <v>#NAME?</v>
      </c>
    </row>
    <row r="320" spans="1:34">
      <c r="A320" t="s">
        <v>723</v>
      </c>
      <c r="B320" t="s">
        <v>724</v>
      </c>
      <c r="C320" s="2">
        <v>7980</v>
      </c>
      <c r="D320" s="2"/>
      <c r="E320" s="2">
        <v>9368</v>
      </c>
      <c r="F320" s="2"/>
      <c r="G320" s="2">
        <v>10777</v>
      </c>
      <c r="H320" s="2"/>
      <c r="I320" s="2">
        <v>11838</v>
      </c>
      <c r="J320" s="2"/>
      <c r="K320" s="2">
        <v>13175</v>
      </c>
      <c r="L320" s="2"/>
      <c r="M320" s="2">
        <v>12919</v>
      </c>
      <c r="N320" s="2"/>
      <c r="O320" s="2">
        <v>13050</v>
      </c>
      <c r="P320" s="2"/>
      <c r="Q320" s="2">
        <v>15482</v>
      </c>
      <c r="R320" s="2"/>
      <c r="S320" s="2">
        <v>16326</v>
      </c>
      <c r="T320" s="2"/>
      <c r="U320" s="2">
        <v>17178</v>
      </c>
      <c r="V320" s="2"/>
      <c r="W320" s="2">
        <v>17380</v>
      </c>
      <c r="X320" s="2"/>
      <c r="Y320" s="2">
        <v>17601</v>
      </c>
      <c r="Z320" s="2"/>
      <c r="AA320" s="2">
        <v>16610</v>
      </c>
      <c r="AB320" s="2"/>
      <c r="AC320" s="2">
        <f>Post2020_Derivation!G367</f>
        <v>16611</v>
      </c>
      <c r="AD320" s="2" t="e">
        <f ca="1">IF(Post2020_Derivation!H367="","",Post2020_Derivation!H367)</f>
        <v>#NAME?</v>
      </c>
      <c r="AE320" s="2">
        <f>Post2020_Derivation!M367</f>
        <v>17372</v>
      </c>
      <c r="AF320" s="2" t="e">
        <f ca="1">IF(Post2020_Derivation!N367="","",Post2020_Derivation!N367)</f>
        <v>#NAME?</v>
      </c>
      <c r="AG320" s="2">
        <f>Post2020_Derivation!S367</f>
        <v>17458</v>
      </c>
      <c r="AH320" s="2" t="e">
        <f ca="1">IF(Post2020_Derivation!T367="","",Post2020_Derivation!T367)</f>
        <v>#NAME?</v>
      </c>
    </row>
    <row r="321" spans="1:34">
      <c r="A321" t="s">
        <v>725</v>
      </c>
      <c r="B321" t="s">
        <v>726</v>
      </c>
      <c r="C321" s="2">
        <v>6954</v>
      </c>
      <c r="D321" s="2"/>
      <c r="E321" s="2">
        <v>6550</v>
      </c>
      <c r="F321" s="2"/>
      <c r="G321" s="2">
        <v>7774</v>
      </c>
      <c r="H321" s="2"/>
      <c r="I321" s="2">
        <v>8418</v>
      </c>
      <c r="J321" s="2"/>
      <c r="K321" s="2">
        <v>9420</v>
      </c>
      <c r="L321" s="2"/>
      <c r="M321" s="2">
        <v>10347</v>
      </c>
      <c r="N321" s="2"/>
      <c r="O321" s="2">
        <v>11667</v>
      </c>
      <c r="P321" s="2"/>
      <c r="Q321" s="2">
        <v>12677</v>
      </c>
      <c r="R321" s="2"/>
      <c r="S321" s="2">
        <v>13127</v>
      </c>
      <c r="T321" s="2"/>
      <c r="U321" s="2">
        <v>13230</v>
      </c>
      <c r="V321" s="2"/>
      <c r="W321" s="2">
        <v>12041</v>
      </c>
      <c r="X321" s="2"/>
      <c r="Y321" s="2">
        <v>12921</v>
      </c>
      <c r="Z321" s="2"/>
      <c r="AA321" s="2">
        <v>12463</v>
      </c>
      <c r="AB321" s="2"/>
      <c r="AC321" s="2">
        <f>Post2020_Derivation!G368</f>
        <v>11122</v>
      </c>
      <c r="AD321" s="2" t="e">
        <f ca="1">IF(Post2020_Derivation!H368="","",Post2020_Derivation!H368)</f>
        <v>#NAME?</v>
      </c>
      <c r="AE321" s="2">
        <f>Post2020_Derivation!M368</f>
        <v>10585</v>
      </c>
      <c r="AF321" s="2" t="e">
        <f ca="1">IF(Post2020_Derivation!N368="","",Post2020_Derivation!N368)</f>
        <v>#NAME?</v>
      </c>
      <c r="AG321" s="2">
        <f>Post2020_Derivation!S368</f>
        <v>10332</v>
      </c>
      <c r="AH321" s="2" t="e">
        <f ca="1">IF(Post2020_Derivation!T368="","",Post2020_Derivation!T368)</f>
        <v>#NAME?</v>
      </c>
    </row>
    <row r="322" spans="1:34">
      <c r="A322" t="s">
        <v>727</v>
      </c>
      <c r="B322" t="s">
        <v>68</v>
      </c>
      <c r="C322" s="2" t="s">
        <v>43</v>
      </c>
      <c r="D322" s="2"/>
      <c r="E322" s="2" t="s">
        <v>43</v>
      </c>
      <c r="F322" s="2"/>
      <c r="G322" s="2" t="s">
        <v>43</v>
      </c>
      <c r="H322" s="2"/>
      <c r="I322" s="2">
        <v>0</v>
      </c>
      <c r="J322" s="2"/>
      <c r="K322" s="2" t="s">
        <v>43</v>
      </c>
      <c r="L322" s="2"/>
      <c r="M322" s="2" t="s">
        <v>43</v>
      </c>
      <c r="N322" s="2"/>
      <c r="O322" s="2" t="s">
        <v>43</v>
      </c>
      <c r="P322" s="2"/>
      <c r="Q322" s="2" t="s">
        <v>43</v>
      </c>
      <c r="R322" s="2"/>
      <c r="S322" s="2" t="s">
        <v>43</v>
      </c>
      <c r="T322" s="2"/>
      <c r="U322" s="2" t="s">
        <v>43</v>
      </c>
      <c r="V322" s="2"/>
      <c r="W322" s="2" t="s">
        <v>43</v>
      </c>
      <c r="X322" s="2"/>
      <c r="Y322" s="2" t="s">
        <v>43</v>
      </c>
      <c r="Z322" s="2"/>
      <c r="AA322" s="2" t="s">
        <v>43</v>
      </c>
      <c r="AB322" s="2"/>
      <c r="AC322" s="2" t="str">
        <f>Post2020_Derivation!G369</f>
        <v/>
      </c>
      <c r="AD322" s="2" t="e">
        <f ca="1">IF(Post2020_Derivation!H369="","",Post2020_Derivation!H369)</f>
        <v>#NAME?</v>
      </c>
      <c r="AE322" s="2" t="str">
        <f>Post2020_Derivation!M369</f>
        <v/>
      </c>
      <c r="AF322" s="2" t="e">
        <f ca="1">IF(Post2020_Derivation!N369="","",Post2020_Derivation!N369)</f>
        <v>#NAME?</v>
      </c>
      <c r="AG322" s="2" t="str">
        <f>Post2020_Derivation!S369</f>
        <v/>
      </c>
      <c r="AH322" s="2" t="e">
        <f ca="1">IF(Post2020_Derivation!T369="","",Post2020_Derivation!T369)</f>
        <v>#NAME?</v>
      </c>
    </row>
    <row r="323" spans="1:34">
      <c r="A323" t="s">
        <v>728</v>
      </c>
      <c r="B323" t="s">
        <v>70</v>
      </c>
      <c r="C323" s="2" t="s">
        <v>43</v>
      </c>
      <c r="D323" s="2"/>
      <c r="E323" s="2" t="s">
        <v>43</v>
      </c>
      <c r="F323" s="2"/>
      <c r="G323" s="2" t="s">
        <v>43</v>
      </c>
      <c r="H323" s="2"/>
      <c r="I323" s="2">
        <v>0</v>
      </c>
      <c r="J323" s="2"/>
      <c r="K323" s="2" t="s">
        <v>43</v>
      </c>
      <c r="L323" s="2"/>
      <c r="M323" s="2" t="s">
        <v>43</v>
      </c>
      <c r="N323" s="2"/>
      <c r="O323" s="2" t="s">
        <v>43</v>
      </c>
      <c r="P323" s="2"/>
      <c r="Q323" s="2" t="s">
        <v>43</v>
      </c>
      <c r="R323" s="2"/>
      <c r="S323" s="2" t="s">
        <v>43</v>
      </c>
      <c r="T323" s="2"/>
      <c r="U323" s="2" t="s">
        <v>43</v>
      </c>
      <c r="V323" s="2"/>
      <c r="W323" s="2" t="s">
        <v>43</v>
      </c>
      <c r="X323" s="2"/>
      <c r="Y323" s="2" t="s">
        <v>43</v>
      </c>
      <c r="Z323" s="2"/>
      <c r="AA323" s="2" t="s">
        <v>43</v>
      </c>
      <c r="AB323" s="2"/>
      <c r="AC323" s="2" t="str">
        <f>Post2020_Derivation!G370</f>
        <v/>
      </c>
      <c r="AD323" s="2" t="e">
        <f ca="1">IF(Post2020_Derivation!H370="","",Post2020_Derivation!H370)</f>
        <v>#NAME?</v>
      </c>
      <c r="AE323" s="2" t="str">
        <f>Post2020_Derivation!M370</f>
        <v/>
      </c>
      <c r="AF323" s="2" t="e">
        <f ca="1">IF(Post2020_Derivation!N370="","",Post2020_Derivation!N370)</f>
        <v>#NAME?</v>
      </c>
      <c r="AG323" s="2" t="str">
        <f>Post2020_Derivation!S370</f>
        <v/>
      </c>
      <c r="AH323" s="2" t="e">
        <f ca="1">IF(Post2020_Derivation!T370="","",Post2020_Derivation!T370)</f>
        <v>#NAME?</v>
      </c>
    </row>
    <row r="324" spans="1:34">
      <c r="A324" t="s">
        <v>729</v>
      </c>
      <c r="B324" t="s">
        <v>730</v>
      </c>
      <c r="C324" s="2">
        <v>8756</v>
      </c>
      <c r="D324" s="2"/>
      <c r="E324" s="2">
        <v>7658</v>
      </c>
      <c r="F324" s="2"/>
      <c r="G324" s="2">
        <v>6957</v>
      </c>
      <c r="H324" s="2"/>
      <c r="I324" s="2">
        <v>6852</v>
      </c>
      <c r="J324" s="2"/>
      <c r="K324" s="2">
        <v>7190</v>
      </c>
      <c r="L324" s="2"/>
      <c r="M324" s="2">
        <v>6600</v>
      </c>
      <c r="N324" s="2" t="s">
        <v>334</v>
      </c>
      <c r="O324" s="2">
        <v>6817</v>
      </c>
      <c r="P324" s="2"/>
      <c r="Q324" s="2">
        <v>7195</v>
      </c>
      <c r="R324" s="2"/>
      <c r="S324" s="2">
        <v>7013</v>
      </c>
      <c r="T324" s="2"/>
      <c r="U324" s="2">
        <v>8696</v>
      </c>
      <c r="V324" s="2" t="s">
        <v>334</v>
      </c>
      <c r="W324" s="2">
        <v>10207</v>
      </c>
      <c r="X324" s="2"/>
      <c r="Y324" s="2">
        <v>10464</v>
      </c>
      <c r="Z324" s="2"/>
      <c r="AA324" s="2">
        <v>9689</v>
      </c>
      <c r="AB324" s="2"/>
      <c r="AC324" s="2">
        <f>Post2020_Derivation!G371</f>
        <v>8940</v>
      </c>
      <c r="AD324" s="2" t="e">
        <f ca="1">IF(Post2020_Derivation!H371="","",Post2020_Derivation!H371)</f>
        <v>#NAME?</v>
      </c>
      <c r="AE324" s="2">
        <f>Post2020_Derivation!M371</f>
        <v>8397</v>
      </c>
      <c r="AF324" s="2" t="e">
        <f ca="1">IF(Post2020_Derivation!N371="","",Post2020_Derivation!N371)</f>
        <v>#NAME?</v>
      </c>
      <c r="AG324" s="2">
        <f>Post2020_Derivation!S371</f>
        <v>7680</v>
      </c>
      <c r="AH324" s="2" t="e">
        <f ca="1">IF(Post2020_Derivation!T371="","",Post2020_Derivation!T371)</f>
        <v>#NAME?</v>
      </c>
    </row>
    <row r="325" spans="1:34">
      <c r="A325" t="s">
        <v>731</v>
      </c>
      <c r="B325" t="s">
        <v>732</v>
      </c>
      <c r="C325" s="2">
        <v>8756</v>
      </c>
      <c r="D325" s="2"/>
      <c r="E325" s="2">
        <v>7658</v>
      </c>
      <c r="F325" s="2"/>
      <c r="G325" s="2">
        <v>6957</v>
      </c>
      <c r="H325" s="2"/>
      <c r="I325" s="2">
        <v>6852</v>
      </c>
      <c r="J325" s="2"/>
      <c r="K325" s="2">
        <v>7190</v>
      </c>
      <c r="L325" s="2"/>
      <c r="M325" s="2">
        <v>6600</v>
      </c>
      <c r="N325" s="2" t="s">
        <v>334</v>
      </c>
      <c r="O325" s="2">
        <v>6817</v>
      </c>
      <c r="P325" s="2"/>
      <c r="Q325" s="2">
        <v>7195</v>
      </c>
      <c r="R325" s="2"/>
      <c r="S325" s="2">
        <v>7013</v>
      </c>
      <c r="T325" s="2"/>
      <c r="U325" s="2">
        <v>8696</v>
      </c>
      <c r="V325" s="2" t="s">
        <v>334</v>
      </c>
      <c r="W325" s="2">
        <v>10207</v>
      </c>
      <c r="X325" s="2"/>
      <c r="Y325" s="2">
        <v>10464</v>
      </c>
      <c r="Z325" s="2"/>
      <c r="AA325" s="2">
        <v>9689</v>
      </c>
      <c r="AB325" s="2"/>
      <c r="AC325" s="2" t="str">
        <f>Post2020_Derivation!G372</f>
        <v/>
      </c>
      <c r="AD325" s="2" t="e">
        <f ca="1">IF(Post2020_Derivation!H372="","",Post2020_Derivation!H372)</f>
        <v>#NAME?</v>
      </c>
      <c r="AE325" s="2" t="str">
        <f>Post2020_Derivation!M372</f>
        <v/>
      </c>
      <c r="AF325" s="2" t="e">
        <f ca="1">IF(Post2020_Derivation!N372="","",Post2020_Derivation!N372)</f>
        <v>#NAME?</v>
      </c>
      <c r="AG325" s="2" t="str">
        <f>Post2020_Derivation!S372</f>
        <v/>
      </c>
      <c r="AH325" s="2" t="e">
        <f ca="1">IF(Post2020_Derivation!T372="","",Post2020_Derivation!T372)</f>
        <v>#NAME?</v>
      </c>
    </row>
    <row r="326" spans="1:34">
      <c r="A326" t="s">
        <v>1016</v>
      </c>
      <c r="B326" t="s">
        <v>1017</v>
      </c>
      <c r="C326" s="2">
        <v>411</v>
      </c>
      <c r="D326" s="2"/>
      <c r="E326" s="2">
        <v>357</v>
      </c>
      <c r="F326" s="2"/>
      <c r="G326" s="2">
        <v>325</v>
      </c>
      <c r="H326" s="2"/>
      <c r="I326" s="2" t="s">
        <v>43</v>
      </c>
      <c r="J326" s="2"/>
      <c r="K326" s="2" t="s">
        <v>43</v>
      </c>
      <c r="L326" s="2"/>
      <c r="M326" s="2" t="s">
        <v>43</v>
      </c>
      <c r="N326" s="2"/>
      <c r="O326" s="2" t="s">
        <v>43</v>
      </c>
      <c r="P326" s="2"/>
      <c r="Q326" s="2" t="s">
        <v>43</v>
      </c>
      <c r="R326" s="2"/>
      <c r="S326" s="2" t="s">
        <v>43</v>
      </c>
      <c r="T326" s="2"/>
      <c r="U326" s="2" t="s">
        <v>43</v>
      </c>
      <c r="V326" s="2"/>
      <c r="W326" s="2" t="s">
        <v>43</v>
      </c>
      <c r="X326" s="2"/>
      <c r="Y326" s="2" t="s">
        <v>43</v>
      </c>
      <c r="Z326" s="2"/>
      <c r="AA326" s="2" t="s">
        <v>43</v>
      </c>
      <c r="AB326" s="2"/>
      <c r="AC326" s="2" t="str">
        <f>""</f>
        <v/>
      </c>
      <c r="AD326" s="2" t="str">
        <f>""</f>
        <v/>
      </c>
      <c r="AE326" s="2" t="str">
        <f>""</f>
        <v/>
      </c>
      <c r="AF326" s="2" t="str">
        <f>""</f>
        <v/>
      </c>
      <c r="AG326" s="2" t="str">
        <f>""</f>
        <v/>
      </c>
      <c r="AH326" s="2" t="str">
        <f>""</f>
        <v/>
      </c>
    </row>
    <row r="327" spans="1:34">
      <c r="A327" t="s">
        <v>1018</v>
      </c>
      <c r="B327" t="s">
        <v>1019</v>
      </c>
      <c r="C327" s="2">
        <v>3360</v>
      </c>
      <c r="D327" s="2"/>
      <c r="E327" s="2">
        <v>2959</v>
      </c>
      <c r="F327" s="2"/>
      <c r="G327" s="2">
        <v>2757</v>
      </c>
      <c r="H327" s="2"/>
      <c r="I327" s="2" t="s">
        <v>43</v>
      </c>
      <c r="J327" s="2"/>
      <c r="K327" s="2" t="s">
        <v>43</v>
      </c>
      <c r="L327" s="2"/>
      <c r="M327" s="2" t="s">
        <v>43</v>
      </c>
      <c r="N327" s="2"/>
      <c r="O327" s="2" t="s">
        <v>43</v>
      </c>
      <c r="P327" s="2"/>
      <c r="Q327" s="2" t="s">
        <v>43</v>
      </c>
      <c r="R327" s="2"/>
      <c r="S327" s="2" t="s">
        <v>43</v>
      </c>
      <c r="T327" s="2"/>
      <c r="U327" s="2" t="s">
        <v>43</v>
      </c>
      <c r="V327" s="2"/>
      <c r="W327" s="2" t="s">
        <v>43</v>
      </c>
      <c r="X327" s="2"/>
      <c r="Y327" s="2" t="s">
        <v>43</v>
      </c>
      <c r="Z327" s="2"/>
      <c r="AA327" s="2" t="s">
        <v>43</v>
      </c>
      <c r="AB327" s="2"/>
      <c r="AC327" s="2" t="str">
        <f>""</f>
        <v/>
      </c>
      <c r="AD327" s="2" t="str">
        <f>""</f>
        <v/>
      </c>
      <c r="AE327" s="2" t="str">
        <f>""</f>
        <v/>
      </c>
      <c r="AF327" s="2" t="str">
        <f>""</f>
        <v/>
      </c>
      <c r="AG327" s="2" t="str">
        <f>""</f>
        <v/>
      </c>
      <c r="AH327" s="2" t="str">
        <f>""</f>
        <v/>
      </c>
    </row>
    <row r="328" spans="1:34">
      <c r="A328" t="s">
        <v>733</v>
      </c>
      <c r="B328" t="s">
        <v>734</v>
      </c>
      <c r="C328" s="2">
        <v>3807</v>
      </c>
      <c r="D328" s="2"/>
      <c r="E328" s="2">
        <v>3244</v>
      </c>
      <c r="F328" s="2"/>
      <c r="G328" s="2">
        <v>3086</v>
      </c>
      <c r="H328" s="2"/>
      <c r="I328" s="2">
        <v>2936</v>
      </c>
      <c r="J328" s="2"/>
      <c r="K328" s="2">
        <v>3213</v>
      </c>
      <c r="L328" s="2"/>
      <c r="M328" s="2">
        <v>3113</v>
      </c>
      <c r="N328" s="2" t="s">
        <v>334</v>
      </c>
      <c r="O328" s="2">
        <v>3029</v>
      </c>
      <c r="P328" s="2"/>
      <c r="Q328" s="2">
        <v>3038</v>
      </c>
      <c r="R328" s="2"/>
      <c r="S328" s="2">
        <v>3004</v>
      </c>
      <c r="T328" s="2"/>
      <c r="U328" s="2">
        <v>3032</v>
      </c>
      <c r="V328" s="2" t="s">
        <v>334</v>
      </c>
      <c r="W328" s="2">
        <v>3309</v>
      </c>
      <c r="X328" s="2"/>
      <c r="Y328" s="2">
        <v>3449</v>
      </c>
      <c r="Z328" s="2"/>
      <c r="AA328" s="2">
        <v>3236</v>
      </c>
      <c r="AB328" s="2"/>
      <c r="AC328" s="2">
        <f>Post2020_Derivation!G373</f>
        <v>3161</v>
      </c>
      <c r="AD328" s="2" t="e">
        <f ca="1">IF(Post2020_Derivation!H373="","",Post2020_Derivation!H373)</f>
        <v>#NAME?</v>
      </c>
      <c r="AE328" s="2">
        <f>Post2020_Derivation!M373</f>
        <v>3192</v>
      </c>
      <c r="AF328" s="2" t="e">
        <f ca="1">IF(Post2020_Derivation!N373="","",Post2020_Derivation!N373)</f>
        <v>#NAME?</v>
      </c>
      <c r="AG328" s="2">
        <f>Post2020_Derivation!S373</f>
        <v>3276</v>
      </c>
      <c r="AH328" s="2" t="e">
        <f ca="1">IF(Post2020_Derivation!T373="","",Post2020_Derivation!T373)</f>
        <v>#NAME?</v>
      </c>
    </row>
    <row r="329" spans="1:34">
      <c r="A329" t="s">
        <v>1020</v>
      </c>
      <c r="B329" t="s">
        <v>1021</v>
      </c>
      <c r="C329" s="2">
        <v>1178</v>
      </c>
      <c r="D329" s="2"/>
      <c r="E329" s="2">
        <v>1098</v>
      </c>
      <c r="F329" s="2"/>
      <c r="G329" s="2">
        <v>790</v>
      </c>
      <c r="H329" s="2"/>
      <c r="I329" s="2" t="s">
        <v>43</v>
      </c>
      <c r="J329" s="2"/>
      <c r="K329" s="2" t="s">
        <v>43</v>
      </c>
      <c r="L329" s="2"/>
      <c r="M329" s="2" t="s">
        <v>43</v>
      </c>
      <c r="N329" s="2"/>
      <c r="O329" s="2" t="s">
        <v>43</v>
      </c>
      <c r="P329" s="2"/>
      <c r="Q329" s="2" t="s">
        <v>43</v>
      </c>
      <c r="R329" s="2"/>
      <c r="S329" s="2" t="s">
        <v>43</v>
      </c>
      <c r="T329" s="2"/>
      <c r="U329" s="2" t="s">
        <v>43</v>
      </c>
      <c r="V329" s="2"/>
      <c r="W329" s="2" t="s">
        <v>43</v>
      </c>
      <c r="X329" s="2"/>
      <c r="Y329" s="2" t="s">
        <v>43</v>
      </c>
      <c r="Z329" s="2"/>
      <c r="AA329" s="2" t="s">
        <v>43</v>
      </c>
      <c r="AB329" s="2"/>
      <c r="AC329" s="2" t="str">
        <f>""</f>
        <v/>
      </c>
      <c r="AD329" s="2" t="str">
        <f>""</f>
        <v/>
      </c>
      <c r="AE329" s="2" t="str">
        <f>""</f>
        <v/>
      </c>
      <c r="AF329" s="2" t="str">
        <f>""</f>
        <v/>
      </c>
      <c r="AG329" s="2" t="str">
        <f>""</f>
        <v/>
      </c>
      <c r="AH329" s="2" t="str">
        <f>""</f>
        <v/>
      </c>
    </row>
    <row r="330" spans="1:34">
      <c r="A330" t="s">
        <v>735</v>
      </c>
      <c r="B330" t="s">
        <v>736</v>
      </c>
      <c r="C330" s="2" t="s">
        <v>43</v>
      </c>
      <c r="D330" s="2"/>
      <c r="E330" s="2" t="s">
        <v>43</v>
      </c>
      <c r="F330" s="2"/>
      <c r="G330" s="2">
        <v>412</v>
      </c>
      <c r="H330" s="2"/>
      <c r="I330" s="2">
        <v>379</v>
      </c>
      <c r="J330" s="2"/>
      <c r="K330" s="2">
        <v>403</v>
      </c>
      <c r="L330" s="2"/>
      <c r="M330" s="2">
        <v>314</v>
      </c>
      <c r="N330" s="2" t="s">
        <v>334</v>
      </c>
      <c r="O330" s="2">
        <v>273</v>
      </c>
      <c r="P330" s="2"/>
      <c r="Q330" s="2">
        <v>291</v>
      </c>
      <c r="R330" s="2"/>
      <c r="S330" s="2">
        <v>268</v>
      </c>
      <c r="T330" s="2"/>
      <c r="U330" s="2">
        <v>307</v>
      </c>
      <c r="V330" s="2" t="s">
        <v>334</v>
      </c>
      <c r="W330" s="2">
        <v>252</v>
      </c>
      <c r="X330" s="2"/>
      <c r="Y330" s="2">
        <v>272</v>
      </c>
      <c r="Z330" s="2"/>
      <c r="AA330" s="2">
        <v>285</v>
      </c>
      <c r="AB330" s="2"/>
      <c r="AC330" s="2" t="str">
        <f>Post2020_Derivation!G374</f>
        <v/>
      </c>
      <c r="AD330" s="2" t="e">
        <f ca="1">IF(Post2020_Derivation!H374="","",Post2020_Derivation!H374)</f>
        <v>#NAME?</v>
      </c>
      <c r="AE330" s="2" t="str">
        <f>Post2020_Derivation!M374</f>
        <v/>
      </c>
      <c r="AF330" s="2" t="e">
        <f ca="1">IF(Post2020_Derivation!N374="","",Post2020_Derivation!N374)</f>
        <v>#NAME?</v>
      </c>
      <c r="AG330" s="2" t="str">
        <f>Post2020_Derivation!S374</f>
        <v/>
      </c>
      <c r="AH330" s="2" t="e">
        <f ca="1">IF(Post2020_Derivation!T374="","",Post2020_Derivation!T374)</f>
        <v>#NAME?</v>
      </c>
    </row>
    <row r="331" spans="1:34">
      <c r="A331" t="s">
        <v>737</v>
      </c>
      <c r="B331" t="s">
        <v>738</v>
      </c>
      <c r="C331" s="2" t="s">
        <v>43</v>
      </c>
      <c r="D331" s="2"/>
      <c r="E331" s="2" t="s">
        <v>43</v>
      </c>
      <c r="F331" s="2"/>
      <c r="G331" s="2">
        <v>2345</v>
      </c>
      <c r="H331" s="2"/>
      <c r="I331" s="2">
        <v>2419</v>
      </c>
      <c r="J331" s="2"/>
      <c r="K331" s="2">
        <v>2464</v>
      </c>
      <c r="L331" s="2"/>
      <c r="M331" s="2">
        <v>2174</v>
      </c>
      <c r="N331" s="2" t="s">
        <v>334</v>
      </c>
      <c r="O331" s="2">
        <v>2406</v>
      </c>
      <c r="P331" s="2"/>
      <c r="Q331" s="2">
        <v>2756</v>
      </c>
      <c r="R331" s="2"/>
      <c r="S331" s="2">
        <v>2783</v>
      </c>
      <c r="T331" s="2"/>
      <c r="U331" s="2">
        <v>4312</v>
      </c>
      <c r="V331" s="2" t="s">
        <v>334</v>
      </c>
      <c r="W331" s="2">
        <v>5505</v>
      </c>
      <c r="X331" s="2"/>
      <c r="Y331" s="2">
        <v>5458</v>
      </c>
      <c r="Z331" s="2"/>
      <c r="AA331" s="2" t="s">
        <v>43</v>
      </c>
      <c r="AB331" s="2" t="s">
        <v>44</v>
      </c>
      <c r="AC331" s="2">
        <f>Post2020_Derivation!G375</f>
        <v>4292</v>
      </c>
      <c r="AD331" s="2" t="e">
        <f ca="1">IF(Post2020_Derivation!H375="","",Post2020_Derivation!H375)</f>
        <v>#NAME?</v>
      </c>
      <c r="AE331" s="2">
        <f>Post2020_Derivation!M375</f>
        <v>3600</v>
      </c>
      <c r="AF331" s="2" t="e">
        <f ca="1">IF(Post2020_Derivation!N375="","",Post2020_Derivation!N375)</f>
        <v>#NAME?</v>
      </c>
      <c r="AG331" s="2">
        <f>Post2020_Derivation!S375</f>
        <v>2888</v>
      </c>
      <c r="AH331" s="2" t="e">
        <f ca="1">IF(Post2020_Derivation!T375="","",Post2020_Derivation!T375)</f>
        <v>#NAME?</v>
      </c>
    </row>
    <row r="332" spans="1:34">
      <c r="A332" t="s">
        <v>739</v>
      </c>
      <c r="B332" t="s">
        <v>740</v>
      </c>
      <c r="C332" s="2" t="s">
        <v>43</v>
      </c>
      <c r="D332" s="2"/>
      <c r="E332" s="2" t="s">
        <v>43</v>
      </c>
      <c r="F332" s="2"/>
      <c r="G332" s="2">
        <v>1115</v>
      </c>
      <c r="H332" s="2"/>
      <c r="I332" s="2">
        <v>1118</v>
      </c>
      <c r="J332" s="2"/>
      <c r="K332" s="2">
        <v>1109</v>
      </c>
      <c r="L332" s="2"/>
      <c r="M332" s="2">
        <v>999</v>
      </c>
      <c r="N332" s="2" t="s">
        <v>334</v>
      </c>
      <c r="O332" s="2">
        <v>1110</v>
      </c>
      <c r="P332" s="2"/>
      <c r="Q332" s="2">
        <v>1109</v>
      </c>
      <c r="R332" s="2"/>
      <c r="S332" s="2">
        <v>958</v>
      </c>
      <c r="T332" s="2"/>
      <c r="U332" s="2">
        <v>1046</v>
      </c>
      <c r="V332" s="2" t="s">
        <v>334</v>
      </c>
      <c r="W332" s="2">
        <v>1141</v>
      </c>
      <c r="X332" s="2"/>
      <c r="Y332" s="2">
        <v>1284</v>
      </c>
      <c r="Z332" s="2"/>
      <c r="AA332" s="2" t="s">
        <v>43</v>
      </c>
      <c r="AB332" s="2" t="s">
        <v>44</v>
      </c>
      <c r="AC332" s="2">
        <f>Post2020_Derivation!G376</f>
        <v>1216</v>
      </c>
      <c r="AD332" s="2" t="e">
        <f ca="1">IF(Post2020_Derivation!H376="","",Post2020_Derivation!H376)</f>
        <v>#NAME?</v>
      </c>
      <c r="AE332" s="2">
        <f>Post2020_Derivation!M376</f>
        <v>1420</v>
      </c>
      <c r="AF332" s="2" t="e">
        <f ca="1">IF(Post2020_Derivation!N376="","",Post2020_Derivation!N376)</f>
        <v>#NAME?</v>
      </c>
      <c r="AG332" s="2">
        <f>Post2020_Derivation!S376</f>
        <v>1368</v>
      </c>
      <c r="AH332" s="2" t="e">
        <f ca="1">IF(Post2020_Derivation!T376="","",Post2020_Derivation!T376)</f>
        <v>#NAME?</v>
      </c>
    </row>
    <row r="333" spans="1:34">
      <c r="A333" t="s">
        <v>741</v>
      </c>
      <c r="B333" t="s">
        <v>742</v>
      </c>
      <c r="C333" s="2">
        <v>0</v>
      </c>
      <c r="D333" s="2"/>
      <c r="E333" s="2">
        <v>0</v>
      </c>
      <c r="F333" s="2"/>
      <c r="G333" s="2">
        <v>0</v>
      </c>
      <c r="H333" s="2"/>
      <c r="I333" s="2">
        <v>0</v>
      </c>
      <c r="J333" s="2"/>
      <c r="K333" s="2">
        <v>0</v>
      </c>
      <c r="L333" s="2"/>
      <c r="M333" s="2">
        <v>0</v>
      </c>
      <c r="N333" s="2" t="s">
        <v>334</v>
      </c>
      <c r="O333" s="2">
        <v>0</v>
      </c>
      <c r="P333" s="2"/>
      <c r="Q333" s="2">
        <v>0</v>
      </c>
      <c r="R333" s="2"/>
      <c r="S333" s="2">
        <v>0</v>
      </c>
      <c r="T333" s="2"/>
      <c r="U333" s="2">
        <v>0</v>
      </c>
      <c r="V333" s="2" t="s">
        <v>334</v>
      </c>
      <c r="W333" s="2">
        <v>0</v>
      </c>
      <c r="X333" s="2"/>
      <c r="Y333" s="2">
        <v>0</v>
      </c>
      <c r="Z333" s="2"/>
      <c r="AA333" s="2">
        <v>0</v>
      </c>
      <c r="AB333" s="2"/>
      <c r="AC333" s="2" t="str">
        <f>Post2020_Derivation!G377</f>
        <v/>
      </c>
      <c r="AD333" s="2" t="e">
        <f ca="1">IF(Post2020_Derivation!H377="","",Post2020_Derivation!H377)</f>
        <v>#NAME?</v>
      </c>
      <c r="AE333" s="2" t="str">
        <f>Post2020_Derivation!M377</f>
        <v/>
      </c>
      <c r="AF333" s="2" t="e">
        <f ca="1">IF(Post2020_Derivation!N377="","",Post2020_Derivation!N377)</f>
        <v>#NAME?</v>
      </c>
      <c r="AG333" s="2" t="str">
        <f>Post2020_Derivation!S377</f>
        <v/>
      </c>
      <c r="AH333" s="2" t="e">
        <f ca="1">IF(Post2020_Derivation!T377="","",Post2020_Derivation!T377)</f>
        <v>#NAME?</v>
      </c>
    </row>
    <row r="334" spans="1:34">
      <c r="A334" t="s">
        <v>743</v>
      </c>
      <c r="B334" t="s">
        <v>742</v>
      </c>
      <c r="C334" s="2">
        <v>0</v>
      </c>
      <c r="D334" s="2"/>
      <c r="E334" s="2">
        <v>0</v>
      </c>
      <c r="F334" s="2"/>
      <c r="G334" s="2">
        <v>0</v>
      </c>
      <c r="H334" s="2"/>
      <c r="I334" s="2">
        <v>0</v>
      </c>
      <c r="J334" s="2"/>
      <c r="K334" s="2">
        <v>0</v>
      </c>
      <c r="L334" s="2"/>
      <c r="M334" s="2">
        <v>0</v>
      </c>
      <c r="N334" s="2" t="s">
        <v>334</v>
      </c>
      <c r="O334" s="2">
        <v>0</v>
      </c>
      <c r="P334" s="2"/>
      <c r="Q334" s="2">
        <v>0</v>
      </c>
      <c r="R334" s="2"/>
      <c r="S334" s="2">
        <v>0</v>
      </c>
      <c r="T334" s="2"/>
      <c r="U334" s="2">
        <v>0</v>
      </c>
      <c r="V334" s="2" t="s">
        <v>334</v>
      </c>
      <c r="W334" s="2">
        <v>0</v>
      </c>
      <c r="X334" s="2"/>
      <c r="Y334" s="2">
        <v>0</v>
      </c>
      <c r="Z334" s="2"/>
      <c r="AA334" s="2">
        <v>0</v>
      </c>
      <c r="AB334" s="2"/>
      <c r="AC334" s="2" t="str">
        <f>Post2020_Derivation!G378</f>
        <v/>
      </c>
      <c r="AD334" s="2" t="e">
        <f ca="1">IF(Post2020_Derivation!H378="","",Post2020_Derivation!H378)</f>
        <v>#NAME?</v>
      </c>
      <c r="AE334" s="2" t="str">
        <f>Post2020_Derivation!M378</f>
        <v/>
      </c>
      <c r="AF334" s="2" t="e">
        <f ca="1">IF(Post2020_Derivation!N378="","",Post2020_Derivation!N378)</f>
        <v>#NAME?</v>
      </c>
      <c r="AG334" s="2" t="str">
        <f>Post2020_Derivation!S378</f>
        <v/>
      </c>
      <c r="AH334" s="2" t="e">
        <f ca="1">IF(Post2020_Derivation!T378="","",Post2020_Derivation!T378)</f>
        <v>#NAME?</v>
      </c>
    </row>
    <row r="335" spans="1:34">
      <c r="A335" t="s">
        <v>1022</v>
      </c>
      <c r="B335" t="s">
        <v>68</v>
      </c>
      <c r="C335" s="2" t="s">
        <v>43</v>
      </c>
      <c r="D335" s="2"/>
      <c r="E335" s="2" t="s">
        <v>43</v>
      </c>
      <c r="F335" s="2"/>
      <c r="G335" s="2" t="s">
        <v>43</v>
      </c>
      <c r="H335" s="2"/>
      <c r="I335" s="2" t="s">
        <v>43</v>
      </c>
      <c r="J335" s="2"/>
      <c r="K335" s="2" t="s">
        <v>43</v>
      </c>
      <c r="L335" s="2"/>
      <c r="M335" s="2" t="s">
        <v>43</v>
      </c>
      <c r="N335" s="2" t="s">
        <v>334</v>
      </c>
      <c r="O335" s="2" t="s">
        <v>43</v>
      </c>
      <c r="P335" s="2"/>
      <c r="Q335" s="2" t="s">
        <v>43</v>
      </c>
      <c r="R335" s="2"/>
      <c r="S335" s="2" t="s">
        <v>43</v>
      </c>
      <c r="T335" s="2"/>
      <c r="U335" s="2" t="s">
        <v>43</v>
      </c>
      <c r="V335" s="2" t="s">
        <v>334</v>
      </c>
      <c r="W335" s="2" t="s">
        <v>43</v>
      </c>
      <c r="X335" s="2"/>
      <c r="Y335" s="2" t="s">
        <v>43</v>
      </c>
      <c r="Z335" s="2"/>
      <c r="AA335" s="2" t="s">
        <v>43</v>
      </c>
      <c r="AB335" s="2"/>
      <c r="AC335" s="2" t="str">
        <f>""</f>
        <v/>
      </c>
      <c r="AD335" s="2" t="str">
        <f>""</f>
        <v/>
      </c>
      <c r="AE335" s="2" t="str">
        <f>""</f>
        <v/>
      </c>
      <c r="AF335" s="2" t="str">
        <f>""</f>
        <v/>
      </c>
      <c r="AG335" s="2" t="str">
        <f>""</f>
        <v/>
      </c>
      <c r="AH335" s="2" t="str">
        <f>""</f>
        <v/>
      </c>
    </row>
    <row r="336" spans="1:34">
      <c r="A336" t="s">
        <v>1023</v>
      </c>
      <c r="B336" t="s">
        <v>70</v>
      </c>
      <c r="C336" s="2" t="s">
        <v>43</v>
      </c>
      <c r="D336" s="2"/>
      <c r="E336" s="2" t="s">
        <v>43</v>
      </c>
      <c r="F336" s="2"/>
      <c r="G336" s="2" t="s">
        <v>43</v>
      </c>
      <c r="H336" s="2"/>
      <c r="I336" s="2" t="s">
        <v>43</v>
      </c>
      <c r="J336" s="2"/>
      <c r="K336" s="2" t="s">
        <v>43</v>
      </c>
      <c r="L336" s="2"/>
      <c r="M336" s="2" t="s">
        <v>43</v>
      </c>
      <c r="N336" s="2" t="s">
        <v>334</v>
      </c>
      <c r="O336" s="2" t="s">
        <v>43</v>
      </c>
      <c r="P336" s="2"/>
      <c r="Q336" s="2" t="s">
        <v>43</v>
      </c>
      <c r="R336" s="2"/>
      <c r="S336" s="2" t="s">
        <v>43</v>
      </c>
      <c r="T336" s="2"/>
      <c r="U336" s="2" t="s">
        <v>43</v>
      </c>
      <c r="V336" s="2" t="s">
        <v>334</v>
      </c>
      <c r="W336" s="2" t="s">
        <v>43</v>
      </c>
      <c r="X336" s="2"/>
      <c r="Y336" s="2" t="s">
        <v>43</v>
      </c>
      <c r="Z336" s="2"/>
      <c r="AA336" s="2" t="s">
        <v>43</v>
      </c>
      <c r="AB336" s="2"/>
      <c r="AC336" s="2" t="str">
        <f>""</f>
        <v/>
      </c>
      <c r="AD336" s="2" t="str">
        <f>""</f>
        <v/>
      </c>
      <c r="AE336" s="2" t="str">
        <f>""</f>
        <v/>
      </c>
      <c r="AF336" s="2" t="str">
        <f>""</f>
        <v/>
      </c>
      <c r="AG336" s="2" t="str">
        <f>""</f>
        <v/>
      </c>
      <c r="AH336" s="2" t="str">
        <f>""</f>
        <v/>
      </c>
    </row>
    <row r="337" spans="1:34">
      <c r="A337" t="s">
        <v>744</v>
      </c>
      <c r="B337" t="s">
        <v>745</v>
      </c>
      <c r="C337" s="2">
        <v>83616</v>
      </c>
      <c r="D337" s="2"/>
      <c r="E337" s="2">
        <v>72212</v>
      </c>
      <c r="F337" s="2"/>
      <c r="G337" s="2">
        <v>66455</v>
      </c>
      <c r="H337" s="2"/>
      <c r="I337" s="2">
        <v>71045</v>
      </c>
      <c r="J337" s="2"/>
      <c r="K337" s="2">
        <v>66835</v>
      </c>
      <c r="L337" s="2"/>
      <c r="M337" s="2">
        <v>66396</v>
      </c>
      <c r="N337" s="2"/>
      <c r="O337" s="2">
        <v>67393</v>
      </c>
      <c r="P337" s="2"/>
      <c r="Q337" s="2">
        <v>70391</v>
      </c>
      <c r="R337" s="2"/>
      <c r="S337" s="2">
        <v>73974</v>
      </c>
      <c r="T337" s="2"/>
      <c r="U337" s="2">
        <v>80706</v>
      </c>
      <c r="V337" s="2"/>
      <c r="W337" s="2">
        <v>92576</v>
      </c>
      <c r="X337" s="2" t="s">
        <v>334</v>
      </c>
      <c r="Y337" s="2">
        <v>94109</v>
      </c>
      <c r="Z337" s="2"/>
      <c r="AA337" s="2">
        <v>86444</v>
      </c>
      <c r="AB337" s="2"/>
      <c r="AC337" s="2">
        <f>Post2020_Derivation!G379</f>
        <v>91946</v>
      </c>
      <c r="AD337" s="2" t="e">
        <f ca="1">IF(Post2020_Derivation!H379="","",Post2020_Derivation!H379)</f>
        <v>#NAME?</v>
      </c>
      <c r="AE337" s="2">
        <f>Post2020_Derivation!M379</f>
        <v>86562</v>
      </c>
      <c r="AF337" s="2" t="e">
        <f ca="1">IF(Post2020_Derivation!N379="","",Post2020_Derivation!N379)</f>
        <v>#NAME?</v>
      </c>
      <c r="AG337" s="2">
        <f>Post2020_Derivation!S379</f>
        <v>87412</v>
      </c>
      <c r="AH337" s="2" t="e">
        <f ca="1">IF(Post2020_Derivation!T379="","",Post2020_Derivation!T379)</f>
        <v>#NAME?</v>
      </c>
    </row>
    <row r="338" spans="1:34">
      <c r="A338" t="s">
        <v>746</v>
      </c>
      <c r="B338" t="s">
        <v>747</v>
      </c>
      <c r="C338" s="2" t="s">
        <v>43</v>
      </c>
      <c r="D338" s="2" t="s">
        <v>44</v>
      </c>
      <c r="E338" s="2">
        <v>15296</v>
      </c>
      <c r="F338" s="2"/>
      <c r="G338" s="2">
        <v>14787</v>
      </c>
      <c r="H338" s="2"/>
      <c r="I338" s="2">
        <v>16776</v>
      </c>
      <c r="J338" s="2"/>
      <c r="K338" s="2">
        <v>16790</v>
      </c>
      <c r="L338" s="2"/>
      <c r="M338" s="2">
        <v>16670</v>
      </c>
      <c r="N338" s="2"/>
      <c r="O338" s="2">
        <v>17095</v>
      </c>
      <c r="P338" s="2"/>
      <c r="Q338" s="2">
        <v>17847</v>
      </c>
      <c r="R338" s="2"/>
      <c r="S338" s="2">
        <v>19427</v>
      </c>
      <c r="T338" s="2"/>
      <c r="U338" s="2">
        <v>21207</v>
      </c>
      <c r="V338" s="2"/>
      <c r="W338" s="2">
        <v>24862</v>
      </c>
      <c r="X338" s="2"/>
      <c r="Y338" s="2">
        <v>25161</v>
      </c>
      <c r="Z338" s="2"/>
      <c r="AA338" s="2">
        <v>22960</v>
      </c>
      <c r="AB338" s="2"/>
      <c r="AC338" s="2">
        <f>Post2020_Derivation!G380</f>
        <v>24662</v>
      </c>
      <c r="AD338" s="2" t="e">
        <f ca="1">IF(Post2020_Derivation!H380="","",Post2020_Derivation!H380)</f>
        <v>#NAME?</v>
      </c>
      <c r="AE338" s="2">
        <f>Post2020_Derivation!M380</f>
        <v>23922</v>
      </c>
      <c r="AF338" s="2" t="e">
        <f ca="1">IF(Post2020_Derivation!N380="","",Post2020_Derivation!N380)</f>
        <v>#NAME?</v>
      </c>
      <c r="AG338" s="2">
        <f>Post2020_Derivation!S380</f>
        <v>24850</v>
      </c>
      <c r="AH338" s="2" t="e">
        <f ca="1">IF(Post2020_Derivation!T380="","",Post2020_Derivation!T380)</f>
        <v>#NAME?</v>
      </c>
    </row>
    <row r="339" spans="1:34">
      <c r="A339" t="s">
        <v>748</v>
      </c>
      <c r="B339" t="s">
        <v>749</v>
      </c>
      <c r="C339" s="2" t="s">
        <v>43</v>
      </c>
      <c r="D339" s="2" t="s">
        <v>44</v>
      </c>
      <c r="E339" s="2" t="s">
        <v>43</v>
      </c>
      <c r="F339" s="2" t="s">
        <v>44</v>
      </c>
      <c r="G339" s="2" t="s">
        <v>43</v>
      </c>
      <c r="H339" s="2" t="s">
        <v>44</v>
      </c>
      <c r="I339" s="2" t="s">
        <v>43</v>
      </c>
      <c r="J339" s="2" t="s">
        <v>44</v>
      </c>
      <c r="K339" s="2" t="s">
        <v>43</v>
      </c>
      <c r="L339" s="2" t="s">
        <v>44</v>
      </c>
      <c r="M339" s="2" t="s">
        <v>43</v>
      </c>
      <c r="N339" s="2" t="s">
        <v>44</v>
      </c>
      <c r="O339" s="2" t="s">
        <v>43</v>
      </c>
      <c r="P339" s="2" t="s">
        <v>44</v>
      </c>
      <c r="Q339" s="2" t="s">
        <v>43</v>
      </c>
      <c r="R339" s="2" t="s">
        <v>44</v>
      </c>
      <c r="S339" s="2" t="s">
        <v>43</v>
      </c>
      <c r="T339" s="2" t="s">
        <v>44</v>
      </c>
      <c r="U339" s="2" t="s">
        <v>43</v>
      </c>
      <c r="V339" s="2" t="s">
        <v>44</v>
      </c>
      <c r="W339" s="2">
        <v>16995</v>
      </c>
      <c r="X339" s="2"/>
      <c r="Y339" s="2">
        <v>17213</v>
      </c>
      <c r="Z339" s="2"/>
      <c r="AA339" s="2">
        <v>16736</v>
      </c>
      <c r="AB339" s="2"/>
      <c r="AC339" s="2">
        <f>Post2020_Derivation!G381</f>
        <v>18612</v>
      </c>
      <c r="AD339" s="2" t="e">
        <f ca="1">IF(Post2020_Derivation!H381="","",Post2020_Derivation!H381)</f>
        <v>#NAME?</v>
      </c>
      <c r="AE339" s="2">
        <f>Post2020_Derivation!M381</f>
        <v>18011</v>
      </c>
      <c r="AF339" s="2" t="e">
        <f ca="1">IF(Post2020_Derivation!N381="","",Post2020_Derivation!N381)</f>
        <v>#NAME?</v>
      </c>
      <c r="AG339" s="2">
        <f>Post2020_Derivation!S381</f>
        <v>19125</v>
      </c>
      <c r="AH339" s="2" t="e">
        <f ca="1">IF(Post2020_Derivation!T381="","",Post2020_Derivation!T381)</f>
        <v>#NAME?</v>
      </c>
    </row>
    <row r="340" spans="1:34">
      <c r="A340" t="s">
        <v>750</v>
      </c>
      <c r="B340" t="s">
        <v>751</v>
      </c>
      <c r="C340" s="2">
        <v>7869</v>
      </c>
      <c r="D340" s="2"/>
      <c r="E340" s="2">
        <v>6357</v>
      </c>
      <c r="F340" s="2"/>
      <c r="G340" s="2" t="s">
        <v>43</v>
      </c>
      <c r="H340" s="2" t="s">
        <v>44</v>
      </c>
      <c r="I340" s="2" t="s">
        <v>43</v>
      </c>
      <c r="J340" s="2" t="s">
        <v>44</v>
      </c>
      <c r="K340" s="2" t="s">
        <v>43</v>
      </c>
      <c r="L340" s="2" t="s">
        <v>44</v>
      </c>
      <c r="M340" s="2" t="s">
        <v>43</v>
      </c>
      <c r="N340" s="2" t="s">
        <v>44</v>
      </c>
      <c r="O340" s="2" t="s">
        <v>43</v>
      </c>
      <c r="P340" s="2" t="s">
        <v>44</v>
      </c>
      <c r="Q340" s="2" t="s">
        <v>43</v>
      </c>
      <c r="R340" s="2" t="s">
        <v>44</v>
      </c>
      <c r="S340" s="2" t="s">
        <v>43</v>
      </c>
      <c r="T340" s="2" t="s">
        <v>44</v>
      </c>
      <c r="U340" s="2" t="s">
        <v>43</v>
      </c>
      <c r="V340" s="2" t="s">
        <v>44</v>
      </c>
      <c r="W340" s="2">
        <v>7867</v>
      </c>
      <c r="X340" s="2"/>
      <c r="Y340" s="2">
        <v>7948</v>
      </c>
      <c r="Z340" s="2"/>
      <c r="AA340" s="2">
        <v>6224</v>
      </c>
      <c r="AB340" s="2"/>
      <c r="AC340" s="2">
        <f>Post2020_Derivation!G382</f>
        <v>6160</v>
      </c>
      <c r="AD340" s="2" t="e">
        <f ca="1">IF(Post2020_Derivation!H382="","",Post2020_Derivation!H382)</f>
        <v>#NAME?</v>
      </c>
      <c r="AE340" s="2">
        <f>Post2020_Derivation!M382</f>
        <v>5650</v>
      </c>
      <c r="AF340" s="2" t="e">
        <f ca="1">IF(Post2020_Derivation!N382="","",Post2020_Derivation!N382)</f>
        <v>#NAME?</v>
      </c>
      <c r="AG340" s="2">
        <f>Post2020_Derivation!S382</f>
        <v>5566</v>
      </c>
      <c r="AH340" s="2" t="e">
        <f ca="1">IF(Post2020_Derivation!T382="","",Post2020_Derivation!T382)</f>
        <v>#NAME?</v>
      </c>
    </row>
    <row r="341" spans="1:34">
      <c r="A341" t="s">
        <v>752</v>
      </c>
      <c r="B341" t="s">
        <v>753</v>
      </c>
      <c r="C341" s="2">
        <v>58839</v>
      </c>
      <c r="D341" s="2"/>
      <c r="E341" s="2">
        <v>51058</v>
      </c>
      <c r="F341" s="2"/>
      <c r="G341" s="2">
        <v>45982</v>
      </c>
      <c r="H341" s="2"/>
      <c r="I341" s="2">
        <v>48061</v>
      </c>
      <c r="J341" s="2"/>
      <c r="K341" s="2">
        <v>43967</v>
      </c>
      <c r="L341" s="2"/>
      <c r="M341" s="2">
        <v>43942</v>
      </c>
      <c r="N341" s="2"/>
      <c r="O341" s="2">
        <v>44853</v>
      </c>
      <c r="P341" s="2"/>
      <c r="Q341" s="2">
        <v>47436</v>
      </c>
      <c r="R341" s="2"/>
      <c r="S341" s="2">
        <v>50018</v>
      </c>
      <c r="T341" s="2"/>
      <c r="U341" s="2">
        <v>54960</v>
      </c>
      <c r="V341" s="2"/>
      <c r="W341" s="2">
        <v>62932</v>
      </c>
      <c r="X341" s="2"/>
      <c r="Y341" s="2">
        <v>64292</v>
      </c>
      <c r="Z341" s="2"/>
      <c r="AA341" s="2">
        <v>59596</v>
      </c>
      <c r="AB341" s="2"/>
      <c r="AC341" s="2">
        <f>Post2020_Derivation!G383</f>
        <v>61936</v>
      </c>
      <c r="AD341" s="2" t="e">
        <f ca="1">IF(Post2020_Derivation!H383="","",Post2020_Derivation!H383)</f>
        <v>#NAME?</v>
      </c>
      <c r="AE341" s="2">
        <f>Post2020_Derivation!M383</f>
        <v>57955</v>
      </c>
      <c r="AF341" s="2" t="e">
        <f ca="1">IF(Post2020_Derivation!N383="","",Post2020_Derivation!N383)</f>
        <v>#NAME?</v>
      </c>
      <c r="AG341" s="2">
        <f>Post2020_Derivation!S383</f>
        <v>58608</v>
      </c>
      <c r="AH341" s="2" t="e">
        <f ca="1">IF(Post2020_Derivation!T383="","",Post2020_Derivation!T383)</f>
        <v>#NAME?</v>
      </c>
    </row>
    <row r="342" spans="1:34">
      <c r="A342" t="s">
        <v>754</v>
      </c>
      <c r="B342" t="s">
        <v>755</v>
      </c>
      <c r="C342" s="2">
        <v>8421</v>
      </c>
      <c r="D342" s="2"/>
      <c r="E342" s="2">
        <v>6606</v>
      </c>
      <c r="F342" s="2"/>
      <c r="G342" s="2">
        <v>6535</v>
      </c>
      <c r="H342" s="2"/>
      <c r="I342" s="2">
        <v>6650</v>
      </c>
      <c r="J342" s="2"/>
      <c r="K342" s="2">
        <v>6099</v>
      </c>
      <c r="L342" s="2"/>
      <c r="M342" s="2">
        <v>5578</v>
      </c>
      <c r="N342" s="2"/>
      <c r="O342" s="2">
        <v>5496</v>
      </c>
      <c r="P342" s="2"/>
      <c r="Q342" s="2">
        <v>6008</v>
      </c>
      <c r="R342" s="2"/>
      <c r="S342" s="2">
        <v>6175</v>
      </c>
      <c r="T342" s="2"/>
      <c r="U342" s="2">
        <v>6591</v>
      </c>
      <c r="V342" s="2"/>
      <c r="W342" s="2">
        <v>6907</v>
      </c>
      <c r="X342" s="2"/>
      <c r="Y342" s="2">
        <v>7124</v>
      </c>
      <c r="Z342" s="2"/>
      <c r="AA342" s="2">
        <v>6433</v>
      </c>
      <c r="AB342" s="2"/>
      <c r="AC342" s="2">
        <f>Post2020_Derivation!G384</f>
        <v>7095</v>
      </c>
      <c r="AD342" s="2" t="e">
        <f ca="1">IF(Post2020_Derivation!H384="","",Post2020_Derivation!H384)</f>
        <v>#NAME?</v>
      </c>
      <c r="AE342" s="2">
        <f>Post2020_Derivation!M384</f>
        <v>7462</v>
      </c>
      <c r="AF342" s="2" t="e">
        <f ca="1">IF(Post2020_Derivation!N384="","",Post2020_Derivation!N384)</f>
        <v>#NAME?</v>
      </c>
      <c r="AG342" s="2">
        <f>Post2020_Derivation!S384</f>
        <v>6528</v>
      </c>
      <c r="AH342" s="2" t="e">
        <f ca="1">IF(Post2020_Derivation!T384="","",Post2020_Derivation!T384)</f>
        <v>#NAME?</v>
      </c>
    </row>
    <row r="343" spans="1:34">
      <c r="A343" t="s">
        <v>756</v>
      </c>
      <c r="B343" t="s">
        <v>757</v>
      </c>
      <c r="C343" s="2">
        <v>6617</v>
      </c>
      <c r="D343" s="2"/>
      <c r="E343" s="2">
        <v>5506</v>
      </c>
      <c r="F343" s="2"/>
      <c r="G343" s="2">
        <v>5382</v>
      </c>
      <c r="H343" s="2"/>
      <c r="I343" s="2">
        <v>5420</v>
      </c>
      <c r="J343" s="2"/>
      <c r="K343" s="2">
        <v>5224</v>
      </c>
      <c r="L343" s="2"/>
      <c r="M343" s="2">
        <v>5416</v>
      </c>
      <c r="N343" s="2"/>
      <c r="O343" s="2">
        <v>5580</v>
      </c>
      <c r="P343" s="2"/>
      <c r="Q343" s="2">
        <v>5606</v>
      </c>
      <c r="R343" s="2"/>
      <c r="S343" s="2">
        <v>6144</v>
      </c>
      <c r="T343" s="2"/>
      <c r="U343" s="2">
        <v>6800</v>
      </c>
      <c r="V343" s="2"/>
      <c r="W343" s="2">
        <v>6968</v>
      </c>
      <c r="X343" s="2"/>
      <c r="Y343" s="2">
        <v>6605</v>
      </c>
      <c r="Z343" s="2"/>
      <c r="AA343" s="2">
        <v>6637</v>
      </c>
      <c r="AB343" s="2"/>
      <c r="AC343" s="2">
        <f>Post2020_Derivation!G385</f>
        <v>7174</v>
      </c>
      <c r="AD343" s="2" t="e">
        <f ca="1">IF(Post2020_Derivation!H385="","",Post2020_Derivation!H385)</f>
        <v>#NAME?</v>
      </c>
      <c r="AE343" s="2">
        <f>Post2020_Derivation!M385</f>
        <v>6399</v>
      </c>
      <c r="AF343" s="2" t="e">
        <f ca="1">IF(Post2020_Derivation!N385="","",Post2020_Derivation!N385)</f>
        <v>#NAME?</v>
      </c>
      <c r="AG343" s="2">
        <f>Post2020_Derivation!S385</f>
        <v>6344</v>
      </c>
      <c r="AH343" s="2" t="e">
        <f ca="1">IF(Post2020_Derivation!T385="","",Post2020_Derivation!T385)</f>
        <v>#NAME?</v>
      </c>
    </row>
    <row r="344" spans="1:34">
      <c r="A344" t="s">
        <v>758</v>
      </c>
      <c r="B344" t="s">
        <v>759</v>
      </c>
      <c r="C344" s="2">
        <v>43801</v>
      </c>
      <c r="D344" s="2"/>
      <c r="E344" s="2">
        <v>38946</v>
      </c>
      <c r="F344" s="2"/>
      <c r="G344" s="2">
        <v>34065</v>
      </c>
      <c r="H344" s="2"/>
      <c r="I344" s="2">
        <v>35991</v>
      </c>
      <c r="J344" s="2"/>
      <c r="K344" s="2">
        <v>32644</v>
      </c>
      <c r="L344" s="2"/>
      <c r="M344" s="2">
        <v>32948</v>
      </c>
      <c r="N344" s="2"/>
      <c r="O344" s="2">
        <v>33777</v>
      </c>
      <c r="P344" s="2"/>
      <c r="Q344" s="2">
        <v>35822</v>
      </c>
      <c r="R344" s="2"/>
      <c r="S344" s="2">
        <v>37699</v>
      </c>
      <c r="T344" s="2"/>
      <c r="U344" s="2">
        <v>41569</v>
      </c>
      <c r="V344" s="2"/>
      <c r="W344" s="2">
        <v>49057</v>
      </c>
      <c r="X344" s="2"/>
      <c r="Y344" s="2">
        <v>50563</v>
      </c>
      <c r="Z344" s="2"/>
      <c r="AA344" s="2">
        <v>46526</v>
      </c>
      <c r="AB344" s="2"/>
      <c r="AC344" s="2">
        <f>Post2020_Derivation!G386</f>
        <v>48144</v>
      </c>
      <c r="AD344" s="2" t="e">
        <f ca="1">IF(Post2020_Derivation!H386="","",Post2020_Derivation!H386)</f>
        <v>#NAME?</v>
      </c>
      <c r="AE344" s="2">
        <f>Post2020_Derivation!M386</f>
        <v>43708</v>
      </c>
      <c r="AF344" s="2" t="e">
        <f ca="1">IF(Post2020_Derivation!N386="","",Post2020_Derivation!N386)</f>
        <v>#NAME?</v>
      </c>
      <c r="AG344" s="2">
        <f>Post2020_Derivation!S386</f>
        <v>45320</v>
      </c>
      <c r="AH344" s="2" t="e">
        <f ca="1">IF(Post2020_Derivation!T386="","",Post2020_Derivation!T386)</f>
        <v>#NAME?</v>
      </c>
    </row>
    <row r="345" spans="1:34">
      <c r="A345" t="s">
        <v>760</v>
      </c>
      <c r="B345" t="s">
        <v>761</v>
      </c>
      <c r="C345" s="2" t="s">
        <v>43</v>
      </c>
      <c r="D345" s="2" t="s">
        <v>44</v>
      </c>
      <c r="E345" s="2">
        <v>5858</v>
      </c>
      <c r="F345" s="2"/>
      <c r="G345" s="2">
        <v>5686</v>
      </c>
      <c r="H345" s="2"/>
      <c r="I345" s="2">
        <v>6208</v>
      </c>
      <c r="J345" s="2"/>
      <c r="K345" s="2">
        <v>6078</v>
      </c>
      <c r="L345" s="2"/>
      <c r="M345" s="2">
        <v>5784</v>
      </c>
      <c r="N345" s="2"/>
      <c r="O345" s="2">
        <v>5445</v>
      </c>
      <c r="P345" s="2"/>
      <c r="Q345" s="2">
        <v>5108</v>
      </c>
      <c r="R345" s="2"/>
      <c r="S345" s="2">
        <v>4529</v>
      </c>
      <c r="T345" s="2"/>
      <c r="U345" s="2">
        <v>4539</v>
      </c>
      <c r="V345" s="2"/>
      <c r="W345" s="2">
        <v>4782</v>
      </c>
      <c r="X345" s="2"/>
      <c r="Y345" s="2">
        <v>4656</v>
      </c>
      <c r="Z345" s="2"/>
      <c r="AA345" s="2">
        <v>3888</v>
      </c>
      <c r="AB345" s="2"/>
      <c r="AC345" s="2">
        <f>Post2020_Derivation!G387</f>
        <v>4777</v>
      </c>
      <c r="AD345" s="2" t="e">
        <f ca="1">IF(Post2020_Derivation!H387="","",Post2020_Derivation!H387)</f>
        <v>#NAME?</v>
      </c>
      <c r="AE345" s="2">
        <f>Post2020_Derivation!M387</f>
        <v>4425</v>
      </c>
      <c r="AF345" s="2" t="e">
        <f ca="1">IF(Post2020_Derivation!N387="","",Post2020_Derivation!N387)</f>
        <v>#NAME?</v>
      </c>
      <c r="AG345" s="2">
        <f>Post2020_Derivation!S387</f>
        <v>4440</v>
      </c>
      <c r="AH345" s="2" t="e">
        <f ca="1">IF(Post2020_Derivation!T387="","",Post2020_Derivation!T387)</f>
        <v>#NAME?</v>
      </c>
    </row>
    <row r="346" spans="1:34">
      <c r="A346" t="s">
        <v>762</v>
      </c>
      <c r="B346" t="s">
        <v>763</v>
      </c>
      <c r="C346" s="2">
        <v>2826</v>
      </c>
      <c r="D346" s="2"/>
      <c r="E346" s="2">
        <v>2031</v>
      </c>
      <c r="F346" s="2"/>
      <c r="G346" s="2">
        <v>1694</v>
      </c>
      <c r="H346" s="2"/>
      <c r="I346" s="2">
        <v>1686</v>
      </c>
      <c r="J346" s="2"/>
      <c r="K346" s="2">
        <v>1664</v>
      </c>
      <c r="L346" s="2"/>
      <c r="M346" s="2">
        <v>1486</v>
      </c>
      <c r="N346" s="2"/>
      <c r="O346" s="2">
        <v>1262</v>
      </c>
      <c r="P346" s="2"/>
      <c r="Q346" s="2">
        <v>1181</v>
      </c>
      <c r="R346" s="2"/>
      <c r="S346" s="2">
        <v>1005</v>
      </c>
      <c r="T346" s="2"/>
      <c r="U346" s="2">
        <v>1047</v>
      </c>
      <c r="V346" s="2"/>
      <c r="W346" s="2">
        <v>1177</v>
      </c>
      <c r="X346" s="2"/>
      <c r="Y346" s="2">
        <v>1022</v>
      </c>
      <c r="Z346" s="2"/>
      <c r="AA346" s="2">
        <v>789</v>
      </c>
      <c r="AB346" s="2"/>
      <c r="AC346" s="2">
        <f>Post2020_Derivation!G388</f>
        <v>1029</v>
      </c>
      <c r="AD346" s="2" t="e">
        <f ca="1">IF(Post2020_Derivation!H388="","",Post2020_Derivation!H388)</f>
        <v>#NAME?</v>
      </c>
      <c r="AE346" s="2">
        <f>Post2020_Derivation!M388</f>
        <v>1176</v>
      </c>
      <c r="AF346" s="2" t="e">
        <f ca="1">IF(Post2020_Derivation!N388="","",Post2020_Derivation!N388)</f>
        <v>#NAME?</v>
      </c>
      <c r="AG346" s="2">
        <f>Post2020_Derivation!S388</f>
        <v>1176</v>
      </c>
      <c r="AH346" s="2" t="e">
        <f ca="1">IF(Post2020_Derivation!T388="","",Post2020_Derivation!T388)</f>
        <v>#NAME?</v>
      </c>
    </row>
    <row r="347" spans="1:34">
      <c r="A347" t="s">
        <v>764</v>
      </c>
      <c r="B347" t="s">
        <v>765</v>
      </c>
      <c r="C347" s="2" t="s">
        <v>43</v>
      </c>
      <c r="D347" s="2" t="s">
        <v>44</v>
      </c>
      <c r="E347" s="2" t="s">
        <v>43</v>
      </c>
      <c r="F347" s="2" t="s">
        <v>44</v>
      </c>
      <c r="G347" s="2">
        <v>108</v>
      </c>
      <c r="H347" s="2"/>
      <c r="I347" s="2">
        <v>112</v>
      </c>
      <c r="J347" s="2"/>
      <c r="K347" s="2">
        <v>116</v>
      </c>
      <c r="L347" s="2"/>
      <c r="M347" s="2">
        <v>196</v>
      </c>
      <c r="N347" s="2"/>
      <c r="O347" s="2">
        <v>176</v>
      </c>
      <c r="P347" s="2"/>
      <c r="Q347" s="2">
        <v>158</v>
      </c>
      <c r="R347" s="2"/>
      <c r="S347" s="2">
        <v>151</v>
      </c>
      <c r="T347" s="2"/>
      <c r="U347" s="2">
        <v>169</v>
      </c>
      <c r="V347" s="2"/>
      <c r="W347" s="2">
        <v>227</v>
      </c>
      <c r="X347" s="2"/>
      <c r="Y347" s="2">
        <v>199</v>
      </c>
      <c r="Z347" s="2"/>
      <c r="AA347" s="2">
        <v>152</v>
      </c>
      <c r="AB347" s="2"/>
      <c r="AC347" s="2">
        <f>Post2020_Derivation!G389</f>
        <v>176</v>
      </c>
      <c r="AD347" s="2" t="e">
        <f ca="1">IF(Post2020_Derivation!H389="","",Post2020_Derivation!H389)</f>
        <v>#NAME?</v>
      </c>
      <c r="AE347" s="2">
        <f>Post2020_Derivation!M389</f>
        <v>164</v>
      </c>
      <c r="AF347" s="2" t="e">
        <f ca="1">IF(Post2020_Derivation!N389="","",Post2020_Derivation!N389)</f>
        <v>#NAME?</v>
      </c>
      <c r="AG347" s="2">
        <f>Post2020_Derivation!S389</f>
        <v>204</v>
      </c>
      <c r="AH347" s="2" t="e">
        <f ca="1">IF(Post2020_Derivation!T389="","",Post2020_Derivation!T389)</f>
        <v>#NAME?</v>
      </c>
    </row>
    <row r="348" spans="1:34">
      <c r="A348" t="s">
        <v>766</v>
      </c>
      <c r="B348" t="s">
        <v>767</v>
      </c>
      <c r="C348" s="2">
        <v>4793</v>
      </c>
      <c r="D348" s="2"/>
      <c r="E348" s="2">
        <v>3720</v>
      </c>
      <c r="F348" s="2"/>
      <c r="G348" s="2">
        <v>3884</v>
      </c>
      <c r="H348" s="2"/>
      <c r="I348" s="2">
        <v>4410</v>
      </c>
      <c r="J348" s="2"/>
      <c r="K348" s="2">
        <v>4298</v>
      </c>
      <c r="L348" s="2"/>
      <c r="M348" s="2">
        <v>4102</v>
      </c>
      <c r="N348" s="2"/>
      <c r="O348" s="2">
        <v>4007</v>
      </c>
      <c r="P348" s="2"/>
      <c r="Q348" s="2">
        <v>3769</v>
      </c>
      <c r="R348" s="2"/>
      <c r="S348" s="2">
        <v>3373</v>
      </c>
      <c r="T348" s="2"/>
      <c r="U348" s="2">
        <v>3323</v>
      </c>
      <c r="V348" s="2"/>
      <c r="W348" s="2">
        <v>3378</v>
      </c>
      <c r="X348" s="2"/>
      <c r="Y348" s="2">
        <v>3435</v>
      </c>
      <c r="Z348" s="2"/>
      <c r="AA348" s="2">
        <v>2947</v>
      </c>
      <c r="AB348" s="2"/>
      <c r="AC348" s="2">
        <f>Post2020_Derivation!G390</f>
        <v>3420</v>
      </c>
      <c r="AD348" s="2" t="e">
        <f ca="1">IF(Post2020_Derivation!H390="","",Post2020_Derivation!H390)</f>
        <v>#NAME?</v>
      </c>
      <c r="AE348" s="2">
        <f>Post2020_Derivation!M390</f>
        <v>3096</v>
      </c>
      <c r="AF348" s="2" t="e">
        <f ca="1">IF(Post2020_Derivation!N390="","",Post2020_Derivation!N390)</f>
        <v>#NAME?</v>
      </c>
      <c r="AG348" s="2">
        <f>Post2020_Derivation!S390</f>
        <v>3003</v>
      </c>
      <c r="AH348" s="2" t="e">
        <f ca="1">IF(Post2020_Derivation!T390="","",Post2020_Derivation!T390)</f>
        <v>#NAME?</v>
      </c>
    </row>
    <row r="349" spans="1:34">
      <c r="A349" t="s">
        <v>1024</v>
      </c>
      <c r="B349" t="s">
        <v>68</v>
      </c>
      <c r="C349" s="2">
        <v>0</v>
      </c>
      <c r="D349" s="2"/>
      <c r="E349" s="2" t="s">
        <v>43</v>
      </c>
      <c r="F349" s="2"/>
      <c r="G349" s="2" t="s">
        <v>43</v>
      </c>
      <c r="H349" s="2"/>
      <c r="I349" s="2" t="s">
        <v>43</v>
      </c>
      <c r="J349" s="2"/>
      <c r="K349" s="2" t="s">
        <v>43</v>
      </c>
      <c r="L349" s="2"/>
      <c r="M349" s="2" t="s">
        <v>43</v>
      </c>
      <c r="N349" s="2"/>
      <c r="O349" s="2" t="s">
        <v>43</v>
      </c>
      <c r="P349" s="2"/>
      <c r="Q349" s="2" t="s">
        <v>43</v>
      </c>
      <c r="R349" s="2"/>
      <c r="S349" s="2" t="s">
        <v>43</v>
      </c>
      <c r="T349" s="2"/>
      <c r="U349" s="2" t="s">
        <v>43</v>
      </c>
      <c r="V349" s="2"/>
      <c r="W349" s="2" t="s">
        <v>43</v>
      </c>
      <c r="X349" s="2"/>
      <c r="Y349" s="2" t="s">
        <v>43</v>
      </c>
      <c r="Z349" s="2"/>
      <c r="AA349" s="2" t="s">
        <v>43</v>
      </c>
      <c r="AB349" s="2"/>
      <c r="AC349" s="2" t="str">
        <f>""</f>
        <v/>
      </c>
      <c r="AD349" s="2" t="str">
        <f>""</f>
        <v/>
      </c>
      <c r="AE349" s="2" t="str">
        <f>""</f>
        <v/>
      </c>
      <c r="AF349" s="2" t="str">
        <f>""</f>
        <v/>
      </c>
      <c r="AG349" s="2" t="str">
        <f>""</f>
        <v/>
      </c>
      <c r="AH349" s="2" t="str">
        <f>""</f>
        <v/>
      </c>
    </row>
    <row r="350" spans="1:34">
      <c r="A350" t="s">
        <v>1025</v>
      </c>
      <c r="B350" t="s">
        <v>70</v>
      </c>
      <c r="C350" s="2">
        <v>0</v>
      </c>
      <c r="D350" s="2"/>
      <c r="E350" s="2" t="s">
        <v>43</v>
      </c>
      <c r="F350" s="2"/>
      <c r="G350" s="2" t="s">
        <v>43</v>
      </c>
      <c r="H350" s="2"/>
      <c r="I350" s="2" t="s">
        <v>43</v>
      </c>
      <c r="J350" s="2"/>
      <c r="K350" s="2" t="s">
        <v>43</v>
      </c>
      <c r="L350" s="2"/>
      <c r="M350" s="2" t="s">
        <v>43</v>
      </c>
      <c r="N350" s="2"/>
      <c r="O350" s="2" t="s">
        <v>43</v>
      </c>
      <c r="P350" s="2"/>
      <c r="Q350" s="2" t="s">
        <v>43</v>
      </c>
      <c r="R350" s="2"/>
      <c r="S350" s="2" t="s">
        <v>43</v>
      </c>
      <c r="T350" s="2"/>
      <c r="U350" s="2" t="s">
        <v>43</v>
      </c>
      <c r="V350" s="2"/>
      <c r="W350" s="2" t="s">
        <v>43</v>
      </c>
      <c r="X350" s="2"/>
      <c r="Y350" s="2" t="s">
        <v>43</v>
      </c>
      <c r="Z350" s="2"/>
      <c r="AA350" s="2" t="s">
        <v>43</v>
      </c>
      <c r="AB350" s="2"/>
      <c r="AC350" s="2" t="str">
        <f>""</f>
        <v/>
      </c>
      <c r="AD350" s="2" t="str">
        <f>""</f>
        <v/>
      </c>
      <c r="AE350" s="2" t="str">
        <f>""</f>
        <v/>
      </c>
      <c r="AF350" s="2" t="str">
        <f>""</f>
        <v/>
      </c>
      <c r="AG350" s="2" t="str">
        <f>""</f>
        <v/>
      </c>
      <c r="AH350" s="2" t="str">
        <f>""</f>
        <v/>
      </c>
    </row>
    <row r="351" spans="1:34">
      <c r="A351" t="s">
        <v>768</v>
      </c>
      <c r="B351" t="s">
        <v>769</v>
      </c>
      <c r="C351" s="2" t="s">
        <v>43</v>
      </c>
      <c r="D351" s="2"/>
      <c r="E351" s="2" t="s">
        <v>43</v>
      </c>
      <c r="F351" s="2"/>
      <c r="G351" s="2" t="s">
        <v>43</v>
      </c>
      <c r="H351" s="2"/>
      <c r="I351" s="2" t="s">
        <v>43</v>
      </c>
      <c r="J351" s="2"/>
      <c r="K351" s="2" t="s">
        <v>43</v>
      </c>
      <c r="L351" s="2"/>
      <c r="M351" s="2" t="s">
        <v>43</v>
      </c>
      <c r="N351" s="2"/>
      <c r="O351" s="2" t="s">
        <v>43</v>
      </c>
      <c r="P351" s="2"/>
      <c r="Q351" s="2">
        <v>78</v>
      </c>
      <c r="R351" s="2" t="s">
        <v>846</v>
      </c>
      <c r="S351" s="2">
        <v>78</v>
      </c>
      <c r="T351" s="2" t="s">
        <v>846</v>
      </c>
      <c r="U351" s="2">
        <v>56</v>
      </c>
      <c r="V351" s="2" t="s">
        <v>846</v>
      </c>
      <c r="W351" s="2">
        <v>56</v>
      </c>
      <c r="X351" s="2"/>
      <c r="Y351" s="2" t="s">
        <v>43</v>
      </c>
      <c r="Z351" s="2"/>
      <c r="AA351" s="2" t="s">
        <v>43</v>
      </c>
      <c r="AB351" s="2"/>
      <c r="AC351" s="2" t="str">
        <f>Post2020_Derivation!G391</f>
        <v/>
      </c>
      <c r="AD351" s="2" t="e">
        <f ca="1">IF(Post2020_Derivation!H391="","",Post2020_Derivation!H391)</f>
        <v>#NAME?</v>
      </c>
      <c r="AE351" s="2">
        <f>Post2020_Derivation!M391</f>
        <v>48</v>
      </c>
      <c r="AF351" s="2" t="e">
        <f ca="1">IF(Post2020_Derivation!N391="","",Post2020_Derivation!N391)</f>
        <v>#NAME?</v>
      </c>
      <c r="AG351" s="2">
        <f>Post2020_Derivation!S391</f>
        <v>48</v>
      </c>
      <c r="AH351" s="2" t="e">
        <f ca="1">IF(Post2020_Derivation!T391="","",Post2020_Derivation!T391)</f>
        <v>#NAME?</v>
      </c>
    </row>
    <row r="352" spans="1:34">
      <c r="A352" t="s">
        <v>770</v>
      </c>
      <c r="B352" t="s">
        <v>771</v>
      </c>
      <c r="C352" s="2" t="s">
        <v>43</v>
      </c>
      <c r="D352" s="2"/>
      <c r="E352" s="2" t="s">
        <v>43</v>
      </c>
      <c r="F352" s="2"/>
      <c r="G352" s="2" t="s">
        <v>43</v>
      </c>
      <c r="H352" s="2"/>
      <c r="I352" s="2" t="s">
        <v>43</v>
      </c>
      <c r="J352" s="2"/>
      <c r="K352" s="2" t="s">
        <v>43</v>
      </c>
      <c r="L352" s="2"/>
      <c r="M352" s="2" t="s">
        <v>43</v>
      </c>
      <c r="N352" s="2"/>
      <c r="O352" s="2" t="s">
        <v>43</v>
      </c>
      <c r="P352" s="2"/>
      <c r="Q352" s="2">
        <v>78</v>
      </c>
      <c r="R352" s="2" t="s">
        <v>846</v>
      </c>
      <c r="S352" s="2">
        <v>78</v>
      </c>
      <c r="T352" s="2" t="s">
        <v>846</v>
      </c>
      <c r="U352" s="2">
        <v>56</v>
      </c>
      <c r="V352" s="2" t="s">
        <v>846</v>
      </c>
      <c r="W352" s="2">
        <v>56</v>
      </c>
      <c r="X352" s="2"/>
      <c r="Y352" s="2" t="s">
        <v>43</v>
      </c>
      <c r="Z352" s="2"/>
      <c r="AA352" s="2" t="s">
        <v>43</v>
      </c>
      <c r="AB352" s="2"/>
      <c r="AC352" s="2" t="str">
        <f>Post2020_Derivation!G392</f>
        <v/>
      </c>
      <c r="AD352" s="2" t="e">
        <f ca="1">IF(Post2020_Derivation!H392="","",Post2020_Derivation!H392)</f>
        <v>#NAME?</v>
      </c>
      <c r="AE352" s="2">
        <f>Post2020_Derivation!M392</f>
        <v>48</v>
      </c>
      <c r="AF352" s="2" t="e">
        <f ca="1">IF(Post2020_Derivation!N392="","",Post2020_Derivation!N392)</f>
        <v>#NAME?</v>
      </c>
      <c r="AG352" s="2" t="str">
        <f>Post2020_Derivation!S392</f>
        <v/>
      </c>
      <c r="AH352" s="2" t="e">
        <f ca="1">IF(Post2020_Derivation!T392="","",Post2020_Derivation!T392)</f>
        <v>#NAME?</v>
      </c>
    </row>
    <row r="353" spans="1:34">
      <c r="A353" t="s">
        <v>772</v>
      </c>
      <c r="B353" t="s">
        <v>771</v>
      </c>
      <c r="C353" s="2" t="s">
        <v>43</v>
      </c>
      <c r="D353" s="2"/>
      <c r="E353" s="2" t="s">
        <v>43</v>
      </c>
      <c r="F353" s="2"/>
      <c r="G353" s="2" t="s">
        <v>43</v>
      </c>
      <c r="H353" s="2"/>
      <c r="I353" s="2" t="s">
        <v>43</v>
      </c>
      <c r="J353" s="2"/>
      <c r="K353" s="2" t="s">
        <v>43</v>
      </c>
      <c r="L353" s="2"/>
      <c r="M353" s="2" t="s">
        <v>43</v>
      </c>
      <c r="N353" s="2"/>
      <c r="O353" s="2" t="s">
        <v>43</v>
      </c>
      <c r="P353" s="2"/>
      <c r="Q353" s="2">
        <v>78</v>
      </c>
      <c r="R353" s="2" t="s">
        <v>846</v>
      </c>
      <c r="S353" s="2">
        <v>78</v>
      </c>
      <c r="T353" s="2" t="s">
        <v>846</v>
      </c>
      <c r="U353" s="2">
        <v>56</v>
      </c>
      <c r="V353" s="2" t="s">
        <v>846</v>
      </c>
      <c r="W353" s="2">
        <v>56</v>
      </c>
      <c r="X353" s="2"/>
      <c r="Y353" s="2" t="s">
        <v>43</v>
      </c>
      <c r="Z353" s="2"/>
      <c r="AA353" s="2" t="s">
        <v>43</v>
      </c>
      <c r="AB353" s="2"/>
      <c r="AC353" s="2" t="str">
        <f>Post2020_Derivation!G393</f>
        <v/>
      </c>
      <c r="AD353" s="2" t="e">
        <f ca="1">IF(Post2020_Derivation!H393="","",Post2020_Derivation!H393)</f>
        <v>#NAME?</v>
      </c>
      <c r="AE353" s="2">
        <f>Post2020_Derivation!M393</f>
        <v>48</v>
      </c>
      <c r="AF353" s="2" t="e">
        <f ca="1">IF(Post2020_Derivation!N393="","",Post2020_Derivation!N393)</f>
        <v>#NAME?</v>
      </c>
      <c r="AG353" s="2" t="str">
        <f>Post2020_Derivation!S393</f>
        <v/>
      </c>
      <c r="AH353" s="2" t="e">
        <f ca="1">IF(Post2020_Derivation!T393="","",Post2020_Derivation!T393)</f>
        <v>#NAME?</v>
      </c>
    </row>
    <row r="354" spans="1:34">
      <c r="A354" t="s">
        <v>773</v>
      </c>
      <c r="B354" t="s">
        <v>774</v>
      </c>
      <c r="C354" s="2">
        <v>4502</v>
      </c>
      <c r="D354" s="2"/>
      <c r="E354" s="2">
        <v>3362</v>
      </c>
      <c r="F354" s="2"/>
      <c r="G354" s="2">
        <v>3141</v>
      </c>
      <c r="H354" s="2"/>
      <c r="I354" s="2">
        <v>3192</v>
      </c>
      <c r="J354" s="2"/>
      <c r="K354" s="2">
        <v>3292</v>
      </c>
      <c r="L354" s="2"/>
      <c r="M354" s="2">
        <v>3300</v>
      </c>
      <c r="N354" s="2"/>
      <c r="O354" s="2">
        <v>2948</v>
      </c>
      <c r="P354" s="2"/>
      <c r="Q354" s="2">
        <v>2649</v>
      </c>
      <c r="R354" s="2"/>
      <c r="S354" s="2">
        <v>2774</v>
      </c>
      <c r="T354" s="2"/>
      <c r="U354" s="2">
        <v>2840</v>
      </c>
      <c r="V354" s="2"/>
      <c r="W354" s="2">
        <v>2844</v>
      </c>
      <c r="X354" s="2"/>
      <c r="Y354" s="2">
        <v>2903</v>
      </c>
      <c r="Z354" s="2"/>
      <c r="AA354" s="2">
        <v>2704</v>
      </c>
      <c r="AB354" s="2"/>
      <c r="AC354" s="2">
        <f>Post2020_Derivation!G394</f>
        <v>2808</v>
      </c>
      <c r="AD354" s="2" t="e">
        <f ca="1">IF(Post2020_Derivation!H394="","",Post2020_Derivation!H394)</f>
        <v>#NAME?</v>
      </c>
      <c r="AE354" s="2">
        <f>Post2020_Derivation!M394</f>
        <v>3059</v>
      </c>
      <c r="AF354" s="2" t="e">
        <f ca="1">IF(Post2020_Derivation!N394="","",Post2020_Derivation!N394)</f>
        <v>#NAME?</v>
      </c>
      <c r="AG354" s="2">
        <f>Post2020_Derivation!S394</f>
        <v>2839</v>
      </c>
      <c r="AH354" s="2" t="e">
        <f ca="1">IF(Post2020_Derivation!T394="","",Post2020_Derivation!T394)</f>
        <v>#NAME?</v>
      </c>
    </row>
    <row r="355" spans="1:34">
      <c r="A355" t="s">
        <v>1026</v>
      </c>
      <c r="B355" t="s">
        <v>1027</v>
      </c>
      <c r="C355" s="2">
        <v>4502</v>
      </c>
      <c r="D355" s="2"/>
      <c r="E355" s="2">
        <v>3362</v>
      </c>
      <c r="F355" s="2"/>
      <c r="G355" s="2">
        <v>3141</v>
      </c>
      <c r="H355" s="2"/>
      <c r="I355" s="2">
        <v>3192</v>
      </c>
      <c r="J355" s="2"/>
      <c r="K355" s="2">
        <v>3292</v>
      </c>
      <c r="L355" s="2"/>
      <c r="M355" s="2">
        <v>3300</v>
      </c>
      <c r="N355" s="2"/>
      <c r="O355" s="2">
        <v>2948</v>
      </c>
      <c r="P355" s="2"/>
      <c r="Q355" s="2">
        <v>2649</v>
      </c>
      <c r="R355" s="2"/>
      <c r="S355" s="2">
        <v>2774</v>
      </c>
      <c r="T355" s="2"/>
      <c r="U355" s="2">
        <v>2840</v>
      </c>
      <c r="V355" s="2"/>
      <c r="W355" s="2">
        <v>2844</v>
      </c>
      <c r="X355" s="2"/>
      <c r="Y355" s="2">
        <v>2903</v>
      </c>
      <c r="Z355" s="2"/>
      <c r="AA355" s="2">
        <v>2704</v>
      </c>
      <c r="AB355" s="2"/>
      <c r="AC355" s="2" t="str">
        <f>""</f>
        <v/>
      </c>
      <c r="AD355" s="2" t="str">
        <f>""</f>
        <v/>
      </c>
      <c r="AE355" s="2" t="str">
        <f>""</f>
        <v/>
      </c>
      <c r="AF355" s="2" t="str">
        <f>""</f>
        <v/>
      </c>
      <c r="AG355" s="2" t="str">
        <f>""</f>
        <v/>
      </c>
      <c r="AH355" s="2" t="str">
        <f>""</f>
        <v/>
      </c>
    </row>
    <row r="356" spans="1:34">
      <c r="A356" t="s">
        <v>1028</v>
      </c>
      <c r="B356" t="s">
        <v>1029</v>
      </c>
      <c r="C356" s="2">
        <v>302</v>
      </c>
      <c r="D356" s="2"/>
      <c r="E356" s="2">
        <v>271</v>
      </c>
      <c r="F356" s="2"/>
      <c r="G356" s="2">
        <v>205</v>
      </c>
      <c r="H356" s="2"/>
      <c r="I356" s="2">
        <v>171</v>
      </c>
      <c r="J356" s="2"/>
      <c r="K356" s="2">
        <v>242</v>
      </c>
      <c r="L356" s="2"/>
      <c r="M356" s="2">
        <v>144</v>
      </c>
      <c r="N356" s="2"/>
      <c r="O356" s="2">
        <v>149</v>
      </c>
      <c r="P356" s="2"/>
      <c r="Q356" s="2">
        <v>140</v>
      </c>
      <c r="R356" s="2"/>
      <c r="S356" s="2">
        <v>141</v>
      </c>
      <c r="T356" s="2"/>
      <c r="U356" s="2">
        <v>146</v>
      </c>
      <c r="V356" s="2"/>
      <c r="W356" s="2">
        <v>167</v>
      </c>
      <c r="X356" s="2"/>
      <c r="Y356" s="2" t="s">
        <v>43</v>
      </c>
      <c r="Z356" s="2"/>
      <c r="AA356" s="2" t="s">
        <v>43</v>
      </c>
      <c r="AB356" s="2"/>
      <c r="AC356" s="2" t="str">
        <f>""</f>
        <v/>
      </c>
      <c r="AD356" s="2" t="str">
        <f>""</f>
        <v/>
      </c>
      <c r="AE356" s="2" t="str">
        <f>""</f>
        <v/>
      </c>
      <c r="AF356" s="2" t="str">
        <f>""</f>
        <v/>
      </c>
      <c r="AG356" s="2" t="str">
        <f>""</f>
        <v/>
      </c>
      <c r="AH356" s="2" t="str">
        <f>""</f>
        <v/>
      </c>
    </row>
    <row r="357" spans="1:34">
      <c r="A357" t="s">
        <v>775</v>
      </c>
      <c r="B357" t="s">
        <v>776</v>
      </c>
      <c r="C357" s="2">
        <v>1554</v>
      </c>
      <c r="D357" s="2"/>
      <c r="E357" s="2">
        <v>1201</v>
      </c>
      <c r="F357" s="2"/>
      <c r="G357" s="2">
        <v>1128</v>
      </c>
      <c r="H357" s="2"/>
      <c r="I357" s="2">
        <v>1159</v>
      </c>
      <c r="J357" s="2"/>
      <c r="K357" s="2">
        <v>1147</v>
      </c>
      <c r="L357" s="2"/>
      <c r="M357" s="2">
        <v>1195</v>
      </c>
      <c r="N357" s="2"/>
      <c r="O357" s="2">
        <v>722</v>
      </c>
      <c r="P357" s="2"/>
      <c r="Q357" s="2">
        <v>722</v>
      </c>
      <c r="R357" s="2"/>
      <c r="S357" s="2">
        <v>760</v>
      </c>
      <c r="T357" s="2"/>
      <c r="U357" s="2">
        <v>809</v>
      </c>
      <c r="V357" s="2"/>
      <c r="W357" s="2">
        <v>887</v>
      </c>
      <c r="X357" s="2"/>
      <c r="Y357" s="2">
        <v>945</v>
      </c>
      <c r="Z357" s="2"/>
      <c r="AA357" s="2">
        <v>845</v>
      </c>
      <c r="AB357" s="2"/>
      <c r="AC357" s="2">
        <f>Post2020_Derivation!G395</f>
        <v>860</v>
      </c>
      <c r="AD357" s="2" t="e">
        <f ca="1">IF(Post2020_Derivation!H395="","",Post2020_Derivation!H395)</f>
        <v>#NAME?</v>
      </c>
      <c r="AE357" s="2">
        <f>Post2020_Derivation!M395</f>
        <v>880</v>
      </c>
      <c r="AF357" s="2" t="e">
        <f ca="1">IF(Post2020_Derivation!N395="","",Post2020_Derivation!N395)</f>
        <v>#NAME?</v>
      </c>
      <c r="AG357" s="2">
        <f>Post2020_Derivation!S395</f>
        <v>903</v>
      </c>
      <c r="AH357" s="2" t="e">
        <f ca="1">IF(Post2020_Derivation!T395="","",Post2020_Derivation!T395)</f>
        <v>#NAME?</v>
      </c>
    </row>
    <row r="358" spans="1:34">
      <c r="A358" t="s">
        <v>1030</v>
      </c>
      <c r="B358" t="s">
        <v>1031</v>
      </c>
      <c r="C358" s="2">
        <v>1128</v>
      </c>
      <c r="D358" s="2"/>
      <c r="E358" s="2">
        <v>926</v>
      </c>
      <c r="F358" s="2"/>
      <c r="G358" s="2">
        <v>898</v>
      </c>
      <c r="H358" s="2"/>
      <c r="I358" s="2">
        <v>978</v>
      </c>
      <c r="J358" s="2"/>
      <c r="K358" s="2">
        <v>970</v>
      </c>
      <c r="L358" s="2"/>
      <c r="M358" s="2">
        <v>992</v>
      </c>
      <c r="N358" s="2"/>
      <c r="O358" s="2">
        <v>1059</v>
      </c>
      <c r="P358" s="2"/>
      <c r="Q358" s="2">
        <v>1060</v>
      </c>
      <c r="R358" s="2"/>
      <c r="S358" s="2">
        <v>1089</v>
      </c>
      <c r="T358" s="2"/>
      <c r="U358" s="2">
        <v>1078</v>
      </c>
      <c r="V358" s="2"/>
      <c r="W358" s="2">
        <v>995</v>
      </c>
      <c r="X358" s="2"/>
      <c r="Y358" s="2" t="s">
        <v>43</v>
      </c>
      <c r="Z358" s="2"/>
      <c r="AA358" s="2" t="s">
        <v>43</v>
      </c>
      <c r="AB358" s="2"/>
      <c r="AC358" s="2" t="str">
        <f>""</f>
        <v/>
      </c>
      <c r="AD358" s="2" t="str">
        <f>""</f>
        <v/>
      </c>
      <c r="AE358" s="2" t="str">
        <f>""</f>
        <v/>
      </c>
      <c r="AF358" s="2" t="str">
        <f>""</f>
        <v/>
      </c>
      <c r="AG358" s="2" t="str">
        <f>""</f>
        <v/>
      </c>
      <c r="AH358" s="2" t="str">
        <f>""</f>
        <v/>
      </c>
    </row>
    <row r="359" spans="1:34">
      <c r="A359" t="s">
        <v>1032</v>
      </c>
      <c r="B359" t="s">
        <v>1033</v>
      </c>
      <c r="C359" s="2">
        <v>435</v>
      </c>
      <c r="D359" s="2"/>
      <c r="E359" s="2">
        <v>297</v>
      </c>
      <c r="F359" s="2"/>
      <c r="G359" s="2">
        <v>369</v>
      </c>
      <c r="H359" s="2"/>
      <c r="I359" s="2">
        <v>371</v>
      </c>
      <c r="J359" s="2"/>
      <c r="K359" s="2">
        <v>396</v>
      </c>
      <c r="L359" s="2"/>
      <c r="M359" s="2">
        <v>457</v>
      </c>
      <c r="N359" s="2"/>
      <c r="O359" s="2">
        <v>535</v>
      </c>
      <c r="P359" s="2"/>
      <c r="Q359" s="2">
        <v>207</v>
      </c>
      <c r="R359" s="2"/>
      <c r="S359" s="2">
        <v>211</v>
      </c>
      <c r="T359" s="2"/>
      <c r="U359" s="2">
        <v>225</v>
      </c>
      <c r="V359" s="2"/>
      <c r="W359" s="2">
        <v>225</v>
      </c>
      <c r="X359" s="2"/>
      <c r="Y359" s="2" t="s">
        <v>43</v>
      </c>
      <c r="Z359" s="2"/>
      <c r="AA359" s="2" t="s">
        <v>43</v>
      </c>
      <c r="AB359" s="2"/>
      <c r="AC359" s="2" t="str">
        <f>""</f>
        <v/>
      </c>
      <c r="AD359" s="2" t="str">
        <f>""</f>
        <v/>
      </c>
      <c r="AE359" s="2" t="str">
        <f>""</f>
        <v/>
      </c>
      <c r="AF359" s="2" t="str">
        <f>""</f>
        <v/>
      </c>
      <c r="AG359" s="2" t="str">
        <f>""</f>
        <v/>
      </c>
      <c r="AH359" s="2" t="str">
        <f>""</f>
        <v/>
      </c>
    </row>
    <row r="360" spans="1:34">
      <c r="A360" t="s">
        <v>1034</v>
      </c>
      <c r="B360" t="s">
        <v>1035</v>
      </c>
      <c r="C360" s="2">
        <v>810</v>
      </c>
      <c r="D360" s="2"/>
      <c r="E360" s="2">
        <v>402</v>
      </c>
      <c r="F360" s="2"/>
      <c r="G360" s="2">
        <v>339</v>
      </c>
      <c r="H360" s="2"/>
      <c r="I360" s="2">
        <v>301</v>
      </c>
      <c r="J360" s="2"/>
      <c r="K360" s="2">
        <v>306</v>
      </c>
      <c r="L360" s="2"/>
      <c r="M360" s="2">
        <v>282</v>
      </c>
      <c r="N360" s="2"/>
      <c r="O360" s="2">
        <v>294</v>
      </c>
      <c r="P360" s="2"/>
      <c r="Q360" s="2">
        <v>314</v>
      </c>
      <c r="R360" s="2"/>
      <c r="S360" s="2">
        <v>337</v>
      </c>
      <c r="T360" s="2"/>
      <c r="U360" s="2">
        <v>357</v>
      </c>
      <c r="V360" s="2"/>
      <c r="W360" s="2">
        <v>350</v>
      </c>
      <c r="X360" s="2"/>
      <c r="Y360" s="2" t="s">
        <v>43</v>
      </c>
      <c r="Z360" s="2"/>
      <c r="AA360" s="2" t="s">
        <v>43</v>
      </c>
      <c r="AB360" s="2"/>
      <c r="AC360" s="2" t="str">
        <f>""</f>
        <v/>
      </c>
      <c r="AD360" s="2" t="str">
        <f>""</f>
        <v/>
      </c>
      <c r="AE360" s="2" t="str">
        <f>""</f>
        <v/>
      </c>
      <c r="AF360" s="2" t="str">
        <f>""</f>
        <v/>
      </c>
      <c r="AG360" s="2" t="str">
        <f>""</f>
        <v/>
      </c>
      <c r="AH360" s="2" t="str">
        <f>""</f>
        <v/>
      </c>
    </row>
    <row r="361" spans="1:34">
      <c r="A361" t="s">
        <v>777</v>
      </c>
      <c r="B361" t="s">
        <v>778</v>
      </c>
      <c r="C361" s="2">
        <v>227</v>
      </c>
      <c r="D361" s="2"/>
      <c r="E361" s="2">
        <v>231</v>
      </c>
      <c r="F361" s="2"/>
      <c r="G361" s="2">
        <v>171</v>
      </c>
      <c r="H361" s="2"/>
      <c r="I361" s="2">
        <v>175</v>
      </c>
      <c r="J361" s="2"/>
      <c r="K361" s="2">
        <v>186</v>
      </c>
      <c r="L361" s="2"/>
      <c r="M361" s="2">
        <v>187</v>
      </c>
      <c r="N361" s="2"/>
      <c r="O361" s="2">
        <v>152</v>
      </c>
      <c r="P361" s="2"/>
      <c r="Q361" s="2">
        <v>164</v>
      </c>
      <c r="R361" s="2"/>
      <c r="S361" s="2">
        <v>187</v>
      </c>
      <c r="T361" s="2"/>
      <c r="U361" s="2">
        <v>174</v>
      </c>
      <c r="V361" s="2"/>
      <c r="W361" s="2">
        <v>163</v>
      </c>
      <c r="X361" s="2"/>
      <c r="Y361" s="2">
        <v>167</v>
      </c>
      <c r="Z361" s="2"/>
      <c r="AA361" s="2">
        <v>195</v>
      </c>
      <c r="AB361" s="2"/>
      <c r="AC361" s="2">
        <f>Post2020_Derivation!G396</f>
        <v>198</v>
      </c>
      <c r="AD361" s="2" t="e">
        <f ca="1">IF(Post2020_Derivation!H396="","",Post2020_Derivation!H396)</f>
        <v>#NAME?</v>
      </c>
      <c r="AE361" s="2">
        <f>Post2020_Derivation!M396</f>
        <v>192</v>
      </c>
      <c r="AF361" s="2" t="e">
        <f ca="1">IF(Post2020_Derivation!N396="","",Post2020_Derivation!N396)</f>
        <v>#NAME?</v>
      </c>
      <c r="AG361" s="2">
        <f>Post2020_Derivation!S396</f>
        <v>187</v>
      </c>
      <c r="AH361" s="2" t="e">
        <f ca="1">IF(Post2020_Derivation!T396="","",Post2020_Derivation!T396)</f>
        <v>#NAME?</v>
      </c>
    </row>
    <row r="362" spans="1:34">
      <c r="A362" t="s">
        <v>779</v>
      </c>
      <c r="B362" t="s">
        <v>780</v>
      </c>
      <c r="C362" s="2">
        <v>46</v>
      </c>
      <c r="D362" s="2"/>
      <c r="E362" s="2">
        <v>34</v>
      </c>
      <c r="F362" s="2"/>
      <c r="G362" s="2">
        <v>31</v>
      </c>
      <c r="H362" s="2"/>
      <c r="I362" s="2">
        <v>37</v>
      </c>
      <c r="J362" s="2"/>
      <c r="K362" s="2">
        <v>45</v>
      </c>
      <c r="L362" s="2"/>
      <c r="M362" s="2">
        <v>43</v>
      </c>
      <c r="N362" s="2"/>
      <c r="O362" s="2">
        <v>37</v>
      </c>
      <c r="P362" s="2"/>
      <c r="Q362" s="2">
        <v>42</v>
      </c>
      <c r="R362" s="2"/>
      <c r="S362" s="2">
        <v>49</v>
      </c>
      <c r="T362" s="2"/>
      <c r="U362" s="2">
        <v>51</v>
      </c>
      <c r="V362" s="2"/>
      <c r="W362" s="2">
        <v>57</v>
      </c>
      <c r="X362" s="2"/>
      <c r="Y362" s="2">
        <v>62</v>
      </c>
      <c r="Z362" s="2"/>
      <c r="AA362" s="2">
        <v>63</v>
      </c>
      <c r="AB362" s="2"/>
      <c r="AC362" s="2">
        <f>Post2020_Derivation!G397</f>
        <v>63</v>
      </c>
      <c r="AD362" s="2" t="e">
        <f ca="1">IF(Post2020_Derivation!H397="","",Post2020_Derivation!H397)</f>
        <v>#NAME?</v>
      </c>
      <c r="AE362" s="2">
        <f>Post2020_Derivation!M397</f>
        <v>54</v>
      </c>
      <c r="AF362" s="2" t="e">
        <f ca="1">IF(Post2020_Derivation!N397="","",Post2020_Derivation!N397)</f>
        <v>#NAME?</v>
      </c>
      <c r="AG362" s="2">
        <f>Post2020_Derivation!S397</f>
        <v>54</v>
      </c>
      <c r="AH362" s="2" t="e">
        <f ca="1">IF(Post2020_Derivation!T397="","",Post2020_Derivation!T397)</f>
        <v>#NAME?</v>
      </c>
    </row>
    <row r="363" spans="1:34">
      <c r="A363" t="s">
        <v>781</v>
      </c>
      <c r="B363" t="s">
        <v>782</v>
      </c>
      <c r="C363" s="2" t="s">
        <v>43</v>
      </c>
      <c r="D363" s="2"/>
      <c r="E363" s="2" t="s">
        <v>43</v>
      </c>
      <c r="F363" s="2"/>
      <c r="G363" s="2" t="s">
        <v>43</v>
      </c>
      <c r="H363" s="2"/>
      <c r="I363" s="2" t="s">
        <v>43</v>
      </c>
      <c r="J363" s="2"/>
      <c r="K363" s="2" t="s">
        <v>43</v>
      </c>
      <c r="L363" s="2"/>
      <c r="M363" s="2" t="s">
        <v>43</v>
      </c>
      <c r="N363" s="2"/>
      <c r="O363" s="2" t="s">
        <v>43</v>
      </c>
      <c r="P363" s="2"/>
      <c r="Q363" s="2" t="s">
        <v>43</v>
      </c>
      <c r="R363" s="2"/>
      <c r="S363" s="2" t="s">
        <v>43</v>
      </c>
      <c r="T363" s="2"/>
      <c r="U363" s="2" t="s">
        <v>43</v>
      </c>
      <c r="V363" s="2"/>
      <c r="W363" s="2" t="s">
        <v>43</v>
      </c>
      <c r="X363" s="2"/>
      <c r="Y363" s="2">
        <v>918</v>
      </c>
      <c r="Z363" s="2"/>
      <c r="AA363" s="2">
        <v>868</v>
      </c>
      <c r="AB363" s="2"/>
      <c r="AC363" s="2">
        <f>Post2020_Derivation!G398</f>
        <v>765</v>
      </c>
      <c r="AD363" s="2" t="e">
        <f ca="1">IF(Post2020_Derivation!H398="","",Post2020_Derivation!H398)</f>
        <v>#NAME?</v>
      </c>
      <c r="AE363" s="2">
        <f>Post2020_Derivation!M398</f>
        <v>954</v>
      </c>
      <c r="AF363" s="2" t="e">
        <f ca="1">IF(Post2020_Derivation!N398="","",Post2020_Derivation!N398)</f>
        <v>#NAME?</v>
      </c>
      <c r="AG363" s="2">
        <f>Post2020_Derivation!S398</f>
        <v>990</v>
      </c>
      <c r="AH363" s="2" t="e">
        <f ca="1">IF(Post2020_Derivation!T398="","",Post2020_Derivation!T398)</f>
        <v>#NAME?</v>
      </c>
    </row>
    <row r="364" spans="1:34">
      <c r="A364" t="s">
        <v>783</v>
      </c>
      <c r="B364" t="s">
        <v>784</v>
      </c>
      <c r="C364" s="2" t="s">
        <v>43</v>
      </c>
      <c r="D364" s="2"/>
      <c r="E364" s="2" t="s">
        <v>43</v>
      </c>
      <c r="F364" s="2"/>
      <c r="G364" s="2" t="s">
        <v>43</v>
      </c>
      <c r="H364" s="2"/>
      <c r="I364" s="2" t="s">
        <v>43</v>
      </c>
      <c r="J364" s="2"/>
      <c r="K364" s="2" t="s">
        <v>43</v>
      </c>
      <c r="L364" s="2"/>
      <c r="M364" s="2" t="s">
        <v>43</v>
      </c>
      <c r="N364" s="2"/>
      <c r="O364" s="2" t="s">
        <v>43</v>
      </c>
      <c r="P364" s="2"/>
      <c r="Q364" s="2" t="s">
        <v>43</v>
      </c>
      <c r="R364" s="2"/>
      <c r="S364" s="2" t="s">
        <v>43</v>
      </c>
      <c r="T364" s="2"/>
      <c r="U364" s="2" t="s">
        <v>43</v>
      </c>
      <c r="V364" s="2"/>
      <c r="W364" s="2" t="s">
        <v>43</v>
      </c>
      <c r="X364" s="2"/>
      <c r="Y364" s="2">
        <v>486</v>
      </c>
      <c r="Z364" s="2"/>
      <c r="AA364" s="2">
        <v>326</v>
      </c>
      <c r="AB364" s="2"/>
      <c r="AC364" s="2">
        <f>Post2020_Derivation!G399</f>
        <v>312</v>
      </c>
      <c r="AD364" s="2" t="e">
        <f ca="1">IF(Post2020_Derivation!H399="","",Post2020_Derivation!H399)</f>
        <v>#NAME?</v>
      </c>
      <c r="AE364" s="2">
        <f>Post2020_Derivation!M399</f>
        <v>312</v>
      </c>
      <c r="AF364" s="2" t="e">
        <f ca="1">IF(Post2020_Derivation!N399="","",Post2020_Derivation!N399)</f>
        <v>#NAME?</v>
      </c>
      <c r="AG364" s="2">
        <f>Post2020_Derivation!S399</f>
        <v>324</v>
      </c>
      <c r="AH364" s="2" t="e">
        <f ca="1">IF(Post2020_Derivation!T399="","",Post2020_Derivation!T399)</f>
        <v>#NAME?</v>
      </c>
    </row>
    <row r="365" spans="1:34">
      <c r="A365" t="s">
        <v>785</v>
      </c>
      <c r="B365" t="s">
        <v>786</v>
      </c>
      <c r="C365" s="2" t="s">
        <v>43</v>
      </c>
      <c r="D365" s="2"/>
      <c r="E365" s="2" t="s">
        <v>43</v>
      </c>
      <c r="F365" s="2"/>
      <c r="G365" s="2" t="s">
        <v>43</v>
      </c>
      <c r="H365" s="2"/>
      <c r="I365" s="2" t="s">
        <v>43</v>
      </c>
      <c r="J365" s="2"/>
      <c r="K365" s="2" t="s">
        <v>43</v>
      </c>
      <c r="L365" s="2"/>
      <c r="M365" s="2" t="s">
        <v>43</v>
      </c>
      <c r="N365" s="2"/>
      <c r="O365" s="2" t="s">
        <v>43</v>
      </c>
      <c r="P365" s="2"/>
      <c r="Q365" s="2" t="s">
        <v>43</v>
      </c>
      <c r="R365" s="2"/>
      <c r="S365" s="2" t="s">
        <v>43</v>
      </c>
      <c r="T365" s="2"/>
      <c r="U365" s="2" t="s">
        <v>43</v>
      </c>
      <c r="V365" s="2"/>
      <c r="W365" s="2" t="s">
        <v>43</v>
      </c>
      <c r="X365" s="2"/>
      <c r="Y365" s="2">
        <v>325</v>
      </c>
      <c r="Z365" s="2"/>
      <c r="AA365" s="2">
        <v>407</v>
      </c>
      <c r="AB365" s="2"/>
      <c r="AC365" s="2">
        <f>Post2020_Derivation!G400</f>
        <v>512</v>
      </c>
      <c r="AD365" s="2" t="e">
        <f ca="1">IF(Post2020_Derivation!H400="","",Post2020_Derivation!H400)</f>
        <v>#NAME?</v>
      </c>
      <c r="AE365" s="2">
        <f>Post2020_Derivation!M400</f>
        <v>665</v>
      </c>
      <c r="AF365" s="2" t="e">
        <f ca="1">IF(Post2020_Derivation!N400="","",Post2020_Derivation!N400)</f>
        <v>#NAME?</v>
      </c>
      <c r="AG365" s="2">
        <f>Post2020_Derivation!S400</f>
        <v>380</v>
      </c>
      <c r="AH365" s="2" t="e">
        <f ca="1">IF(Post2020_Derivation!T400="","",Post2020_Derivation!T400)</f>
        <v>#NAME?</v>
      </c>
    </row>
    <row r="366" spans="1:34">
      <c r="A366" t="s">
        <v>787</v>
      </c>
      <c r="B366" t="s">
        <v>788</v>
      </c>
      <c r="C366" s="2" t="s">
        <v>43</v>
      </c>
      <c r="D366" s="2"/>
      <c r="E366" s="2" t="s">
        <v>43</v>
      </c>
      <c r="F366" s="2"/>
      <c r="G366" s="2" t="s">
        <v>43</v>
      </c>
      <c r="H366" s="2"/>
      <c r="I366" s="2" t="s">
        <v>43</v>
      </c>
      <c r="J366" s="2"/>
      <c r="K366" s="2" t="s">
        <v>43</v>
      </c>
      <c r="L366" s="2"/>
      <c r="M366" s="2" t="s">
        <v>43</v>
      </c>
      <c r="N366" s="2"/>
      <c r="O366" s="2" t="s">
        <v>43</v>
      </c>
      <c r="P366" s="2"/>
      <c r="Q366" s="2" t="s">
        <v>43</v>
      </c>
      <c r="R366" s="2"/>
      <c r="S366" s="2" t="s">
        <v>43</v>
      </c>
      <c r="T366" s="2"/>
      <c r="U366" s="2" t="s">
        <v>43</v>
      </c>
      <c r="V366" s="2"/>
      <c r="W366" s="2" t="s">
        <v>43</v>
      </c>
      <c r="X366" s="2"/>
      <c r="Y366" s="2">
        <v>0</v>
      </c>
      <c r="Z366" s="2"/>
      <c r="AA366" s="2">
        <v>0</v>
      </c>
      <c r="AB366" s="2"/>
      <c r="AC366" s="2" t="str">
        <f>Post2020_Derivation!G401</f>
        <v/>
      </c>
      <c r="AD366" s="2" t="e">
        <f ca="1">IF(Post2020_Derivation!H401="","",Post2020_Derivation!H401)</f>
        <v>#NAME?</v>
      </c>
      <c r="AE366" s="2" t="str">
        <f>Post2020_Derivation!M401</f>
        <v/>
      </c>
      <c r="AF366" s="2" t="e">
        <f ca="1">IF(Post2020_Derivation!N401="","",Post2020_Derivation!N401)</f>
        <v>#NAME?</v>
      </c>
      <c r="AG366" s="2" t="str">
        <f>Post2020_Derivation!S401</f>
        <v/>
      </c>
      <c r="AH366" s="2" t="e">
        <f ca="1">IF(Post2020_Derivation!T401="","",Post2020_Derivation!T401)</f>
        <v>#NAME?</v>
      </c>
    </row>
    <row r="367" spans="1:34">
      <c r="A367" t="s">
        <v>1036</v>
      </c>
      <c r="B367" t="s">
        <v>1037</v>
      </c>
      <c r="C367" s="2">
        <v>168848</v>
      </c>
      <c r="D367" s="2"/>
      <c r="E367" s="2">
        <v>155769</v>
      </c>
      <c r="F367" s="2"/>
      <c r="G367" s="2">
        <v>136282</v>
      </c>
      <c r="H367" s="2"/>
      <c r="I367" s="2">
        <v>125095</v>
      </c>
      <c r="J367" s="2"/>
      <c r="K367" s="2">
        <v>130497</v>
      </c>
      <c r="L367" s="2"/>
      <c r="M367" s="2">
        <v>138656</v>
      </c>
      <c r="N367" s="2"/>
      <c r="O367" s="2">
        <v>145611</v>
      </c>
      <c r="P367" s="2"/>
      <c r="Q367" s="2">
        <v>149171</v>
      </c>
      <c r="R367" s="2"/>
      <c r="S367" s="2">
        <v>154667</v>
      </c>
      <c r="T367" s="2" t="s">
        <v>334</v>
      </c>
      <c r="U367" s="2">
        <v>149107</v>
      </c>
      <c r="V367" s="2"/>
      <c r="W367" s="2">
        <v>161428</v>
      </c>
      <c r="X367" s="2"/>
      <c r="Y367" s="2" t="s">
        <v>43</v>
      </c>
      <c r="Z367" s="2"/>
      <c r="AA367" s="2" t="s">
        <v>43</v>
      </c>
      <c r="AB367" s="2"/>
      <c r="AC367" s="2" t="str">
        <f>""</f>
        <v/>
      </c>
      <c r="AD367" s="2" t="str">
        <f>""</f>
        <v/>
      </c>
      <c r="AE367" s="2" t="str">
        <f>""</f>
        <v/>
      </c>
      <c r="AF367" s="2" t="str">
        <f>""</f>
        <v/>
      </c>
      <c r="AG367" s="2" t="str">
        <f>""</f>
        <v/>
      </c>
      <c r="AH367" s="2" t="str">
        <f>""</f>
        <v/>
      </c>
    </row>
    <row r="368" spans="1:34">
      <c r="A368" t="s">
        <v>1038</v>
      </c>
      <c r="B368" t="s">
        <v>1039</v>
      </c>
      <c r="C368" s="2">
        <v>13741</v>
      </c>
      <c r="D368" s="2"/>
      <c r="E368" s="2">
        <v>14054</v>
      </c>
      <c r="F368" s="2"/>
      <c r="G368" s="2">
        <v>11667</v>
      </c>
      <c r="H368" s="2"/>
      <c r="I368" s="2">
        <v>11948</v>
      </c>
      <c r="J368" s="2"/>
      <c r="K368" s="2">
        <v>11056</v>
      </c>
      <c r="L368" s="2"/>
      <c r="M368" s="2">
        <v>13102</v>
      </c>
      <c r="N368" s="2"/>
      <c r="O368" s="2">
        <v>13575</v>
      </c>
      <c r="P368" s="2"/>
      <c r="Q368" s="2">
        <v>12882</v>
      </c>
      <c r="R368" s="2"/>
      <c r="S368" s="2">
        <v>13747</v>
      </c>
      <c r="T368" s="2" t="s">
        <v>334</v>
      </c>
      <c r="U368" s="2">
        <v>14695</v>
      </c>
      <c r="V368" s="2"/>
      <c r="W368" s="2">
        <v>16136</v>
      </c>
      <c r="X368" s="2"/>
      <c r="Y368" s="2" t="s">
        <v>43</v>
      </c>
      <c r="Z368" s="2"/>
      <c r="AA368" s="2" t="s">
        <v>43</v>
      </c>
      <c r="AB368" s="2"/>
      <c r="AC368" s="2" t="str">
        <f>""</f>
        <v/>
      </c>
      <c r="AD368" s="2" t="str">
        <f>""</f>
        <v/>
      </c>
      <c r="AE368" s="2" t="str">
        <f>""</f>
        <v/>
      </c>
      <c r="AF368" s="2" t="str">
        <f>""</f>
        <v/>
      </c>
      <c r="AG368" s="2" t="str">
        <f>""</f>
        <v/>
      </c>
      <c r="AH368" s="2" t="str">
        <f>""</f>
        <v/>
      </c>
    </row>
    <row r="369" spans="1:34">
      <c r="A369" t="s">
        <v>1040</v>
      </c>
      <c r="B369" t="s">
        <v>1041</v>
      </c>
      <c r="C369" s="2">
        <v>3858</v>
      </c>
      <c r="D369" s="2"/>
      <c r="E369" s="2">
        <v>3553</v>
      </c>
      <c r="F369" s="2"/>
      <c r="G369" s="2">
        <v>2871</v>
      </c>
      <c r="H369" s="2"/>
      <c r="I369" s="2">
        <v>2791</v>
      </c>
      <c r="J369" s="2"/>
      <c r="K369" s="2">
        <v>1467</v>
      </c>
      <c r="L369" s="2"/>
      <c r="M369" s="2">
        <v>2209</v>
      </c>
      <c r="N369" s="2"/>
      <c r="O369" s="2">
        <v>2122</v>
      </c>
      <c r="P369" s="2"/>
      <c r="Q369" s="2">
        <v>2283</v>
      </c>
      <c r="R369" s="2"/>
      <c r="S369" s="2">
        <v>2321</v>
      </c>
      <c r="T369" s="2" t="s">
        <v>334</v>
      </c>
      <c r="U369" s="2">
        <v>2633</v>
      </c>
      <c r="V369" s="2"/>
      <c r="W369" s="2">
        <v>4161</v>
      </c>
      <c r="X369" s="2"/>
      <c r="Y369" s="2" t="s">
        <v>43</v>
      </c>
      <c r="Z369" s="2"/>
      <c r="AA369" s="2" t="s">
        <v>43</v>
      </c>
      <c r="AB369" s="2"/>
      <c r="AC369" s="2" t="str">
        <f>""</f>
        <v/>
      </c>
      <c r="AD369" s="2" t="str">
        <f>""</f>
        <v/>
      </c>
      <c r="AE369" s="2" t="str">
        <f>""</f>
        <v/>
      </c>
      <c r="AF369" s="2" t="str">
        <f>""</f>
        <v/>
      </c>
      <c r="AG369" s="2" t="str">
        <f>""</f>
        <v/>
      </c>
      <c r="AH369" s="2" t="str">
        <f>""</f>
        <v/>
      </c>
    </row>
    <row r="370" spans="1:34">
      <c r="A370" t="s">
        <v>1042</v>
      </c>
      <c r="B370" t="s">
        <v>1043</v>
      </c>
      <c r="C370" s="2">
        <v>9883</v>
      </c>
      <c r="D370" s="2"/>
      <c r="E370" s="2">
        <v>10501</v>
      </c>
      <c r="F370" s="2"/>
      <c r="G370" s="2">
        <v>8796</v>
      </c>
      <c r="H370" s="2"/>
      <c r="I370" s="2">
        <v>9157</v>
      </c>
      <c r="J370" s="2"/>
      <c r="K370" s="2">
        <v>9590</v>
      </c>
      <c r="L370" s="2"/>
      <c r="M370" s="2">
        <v>10893</v>
      </c>
      <c r="N370" s="2"/>
      <c r="O370" s="2">
        <v>11453</v>
      </c>
      <c r="P370" s="2"/>
      <c r="Q370" s="2">
        <v>10599</v>
      </c>
      <c r="R370" s="2"/>
      <c r="S370" s="2">
        <v>11425</v>
      </c>
      <c r="T370" s="2" t="s">
        <v>334</v>
      </c>
      <c r="U370" s="2">
        <v>12062</v>
      </c>
      <c r="V370" s="2"/>
      <c r="W370" s="2">
        <v>11974</v>
      </c>
      <c r="X370" s="2"/>
      <c r="Y370" s="2" t="s">
        <v>43</v>
      </c>
      <c r="Z370" s="2"/>
      <c r="AA370" s="2" t="s">
        <v>43</v>
      </c>
      <c r="AB370" s="2"/>
      <c r="AC370" s="2" t="str">
        <f>""</f>
        <v/>
      </c>
      <c r="AD370" s="2" t="str">
        <f>""</f>
        <v/>
      </c>
      <c r="AE370" s="2" t="str">
        <f>""</f>
        <v/>
      </c>
      <c r="AF370" s="2" t="str">
        <f>""</f>
        <v/>
      </c>
      <c r="AG370" s="2" t="str">
        <f>""</f>
        <v/>
      </c>
      <c r="AH370" s="2" t="str">
        <f>""</f>
        <v/>
      </c>
    </row>
    <row r="371" spans="1:34">
      <c r="A371" t="s">
        <v>1044</v>
      </c>
      <c r="B371" t="s">
        <v>1045</v>
      </c>
      <c r="C371" s="2" t="s">
        <v>43</v>
      </c>
      <c r="D371" s="2" t="s">
        <v>44</v>
      </c>
      <c r="E371" s="2">
        <v>20184</v>
      </c>
      <c r="F371" s="2"/>
      <c r="G371" s="2">
        <v>17528</v>
      </c>
      <c r="H371" s="2"/>
      <c r="I371" s="2">
        <v>15480</v>
      </c>
      <c r="J371" s="2"/>
      <c r="K371" s="2">
        <v>16027</v>
      </c>
      <c r="L371" s="2"/>
      <c r="M371" s="2">
        <v>18951</v>
      </c>
      <c r="N371" s="2"/>
      <c r="O371" s="2">
        <v>17700</v>
      </c>
      <c r="P371" s="2"/>
      <c r="Q371" s="2">
        <v>18753</v>
      </c>
      <c r="R371" s="2"/>
      <c r="S371" s="2">
        <v>22436</v>
      </c>
      <c r="T371" s="2" t="s">
        <v>334</v>
      </c>
      <c r="U371" s="2">
        <v>22424</v>
      </c>
      <c r="V371" s="2"/>
      <c r="W371" s="2">
        <v>22214</v>
      </c>
      <c r="X371" s="2"/>
      <c r="Y371" s="2" t="s">
        <v>43</v>
      </c>
      <c r="Z371" s="2"/>
      <c r="AA371" s="2" t="s">
        <v>43</v>
      </c>
      <c r="AB371" s="2"/>
      <c r="AC371" s="2" t="str">
        <f>""</f>
        <v/>
      </c>
      <c r="AD371" s="2" t="str">
        <f>""</f>
        <v/>
      </c>
      <c r="AE371" s="2" t="str">
        <f>""</f>
        <v/>
      </c>
      <c r="AF371" s="2" t="str">
        <f>""</f>
        <v/>
      </c>
      <c r="AG371" s="2" t="str">
        <f>""</f>
        <v/>
      </c>
      <c r="AH371" s="2" t="str">
        <f>""</f>
        <v/>
      </c>
    </row>
    <row r="372" spans="1:34">
      <c r="A372" t="s">
        <v>1046</v>
      </c>
      <c r="B372" t="s">
        <v>1047</v>
      </c>
      <c r="C372" s="2">
        <v>337</v>
      </c>
      <c r="D372" s="2"/>
      <c r="E372" s="2">
        <v>592</v>
      </c>
      <c r="F372" s="2"/>
      <c r="G372" s="2" t="s">
        <v>43</v>
      </c>
      <c r="H372" s="2" t="s">
        <v>44</v>
      </c>
      <c r="I372" s="2">
        <v>143</v>
      </c>
      <c r="J372" s="2"/>
      <c r="K372" s="2">
        <v>131</v>
      </c>
      <c r="L372" s="2"/>
      <c r="M372" s="2" t="s">
        <v>43</v>
      </c>
      <c r="N372" s="2" t="s">
        <v>44</v>
      </c>
      <c r="O372" s="2">
        <v>130</v>
      </c>
      <c r="P372" s="2"/>
      <c r="Q372" s="2">
        <v>125</v>
      </c>
      <c r="R372" s="2"/>
      <c r="S372" s="2">
        <v>204</v>
      </c>
      <c r="T372" s="2" t="s">
        <v>334</v>
      </c>
      <c r="U372" s="2">
        <v>176</v>
      </c>
      <c r="V372" s="2"/>
      <c r="W372" s="2">
        <v>191</v>
      </c>
      <c r="X372" s="2"/>
      <c r="Y372" s="2" t="s">
        <v>43</v>
      </c>
      <c r="Z372" s="2"/>
      <c r="AA372" s="2" t="s">
        <v>43</v>
      </c>
      <c r="AB372" s="2"/>
      <c r="AC372" s="2" t="str">
        <f>""</f>
        <v/>
      </c>
      <c r="AD372" s="2" t="str">
        <f>""</f>
        <v/>
      </c>
      <c r="AE372" s="2" t="str">
        <f>""</f>
        <v/>
      </c>
      <c r="AF372" s="2" t="str">
        <f>""</f>
        <v/>
      </c>
      <c r="AG372" s="2" t="str">
        <f>""</f>
        <v/>
      </c>
      <c r="AH372" s="2" t="str">
        <f>""</f>
        <v/>
      </c>
    </row>
    <row r="373" spans="1:34">
      <c r="A373" t="s">
        <v>1048</v>
      </c>
      <c r="B373" t="s">
        <v>1049</v>
      </c>
      <c r="C373" s="2" t="s">
        <v>43</v>
      </c>
      <c r="D373" s="2" t="s">
        <v>44</v>
      </c>
      <c r="E373" s="2">
        <v>8120</v>
      </c>
      <c r="F373" s="2"/>
      <c r="G373" s="2" t="s">
        <v>43</v>
      </c>
      <c r="H373" s="2" t="s">
        <v>44</v>
      </c>
      <c r="I373" s="2" t="s">
        <v>43</v>
      </c>
      <c r="J373" s="2"/>
      <c r="K373" s="2" t="s">
        <v>43</v>
      </c>
      <c r="L373" s="2"/>
      <c r="M373" s="2" t="s">
        <v>43</v>
      </c>
      <c r="N373" s="2"/>
      <c r="O373" s="2" t="s">
        <v>43</v>
      </c>
      <c r="P373" s="2"/>
      <c r="Q373" s="2" t="s">
        <v>43</v>
      </c>
      <c r="R373" s="2"/>
      <c r="S373" s="2" t="s">
        <v>43</v>
      </c>
      <c r="T373" s="2"/>
      <c r="U373" s="2" t="s">
        <v>43</v>
      </c>
      <c r="V373" s="2"/>
      <c r="W373" s="2" t="s">
        <v>43</v>
      </c>
      <c r="X373" s="2"/>
      <c r="Y373" s="2" t="s">
        <v>43</v>
      </c>
      <c r="Z373" s="2"/>
      <c r="AA373" s="2" t="s">
        <v>43</v>
      </c>
      <c r="AB373" s="2"/>
      <c r="AC373" s="2" t="str">
        <f>""</f>
        <v/>
      </c>
      <c r="AD373" s="2" t="str">
        <f>""</f>
        <v/>
      </c>
      <c r="AE373" s="2" t="str">
        <f>""</f>
        <v/>
      </c>
      <c r="AF373" s="2" t="str">
        <f>""</f>
        <v/>
      </c>
      <c r="AG373" s="2" t="str">
        <f>""</f>
        <v/>
      </c>
      <c r="AH373" s="2" t="str">
        <f>""</f>
        <v/>
      </c>
    </row>
    <row r="374" spans="1:34">
      <c r="A374" t="s">
        <v>1050</v>
      </c>
      <c r="B374" t="s">
        <v>1051</v>
      </c>
      <c r="C374" s="2">
        <v>2102</v>
      </c>
      <c r="D374" s="2"/>
      <c r="E374" s="2">
        <v>2751</v>
      </c>
      <c r="F374" s="2"/>
      <c r="G374" s="2">
        <v>2086</v>
      </c>
      <c r="H374" s="2"/>
      <c r="I374" s="2">
        <v>1965</v>
      </c>
      <c r="J374" s="2"/>
      <c r="K374" s="2">
        <v>1902</v>
      </c>
      <c r="L374" s="2"/>
      <c r="M374" s="2">
        <v>2821</v>
      </c>
      <c r="N374" s="2"/>
      <c r="O374" s="2">
        <v>2267</v>
      </c>
      <c r="P374" s="2"/>
      <c r="Q374" s="2">
        <v>2689</v>
      </c>
      <c r="R374" s="2"/>
      <c r="S374" s="2">
        <v>3813</v>
      </c>
      <c r="T374" s="2" t="s">
        <v>334</v>
      </c>
      <c r="U374" s="2">
        <v>3271</v>
      </c>
      <c r="V374" s="2"/>
      <c r="W374" s="2">
        <v>3294</v>
      </c>
      <c r="X374" s="2"/>
      <c r="Y374" s="2" t="s">
        <v>43</v>
      </c>
      <c r="Z374" s="2"/>
      <c r="AA374" s="2" t="s">
        <v>43</v>
      </c>
      <c r="AB374" s="2"/>
      <c r="AC374" s="2" t="str">
        <f>""</f>
        <v/>
      </c>
      <c r="AD374" s="2" t="str">
        <f>""</f>
        <v/>
      </c>
      <c r="AE374" s="2" t="str">
        <f>""</f>
        <v/>
      </c>
      <c r="AF374" s="2" t="str">
        <f>""</f>
        <v/>
      </c>
      <c r="AG374" s="2" t="str">
        <f>""</f>
        <v/>
      </c>
      <c r="AH374" s="2" t="str">
        <f>""</f>
        <v/>
      </c>
    </row>
    <row r="375" spans="1:34">
      <c r="A375" t="s">
        <v>1052</v>
      </c>
      <c r="B375" t="s">
        <v>1053</v>
      </c>
      <c r="C375" s="2">
        <v>4021</v>
      </c>
      <c r="D375" s="2"/>
      <c r="E375" s="2">
        <v>4301</v>
      </c>
      <c r="F375" s="2"/>
      <c r="G375" s="2">
        <v>3915</v>
      </c>
      <c r="H375" s="2"/>
      <c r="I375" s="2">
        <v>3428</v>
      </c>
      <c r="J375" s="2"/>
      <c r="K375" s="2">
        <v>3443</v>
      </c>
      <c r="L375" s="2"/>
      <c r="M375" s="2">
        <v>4008</v>
      </c>
      <c r="N375" s="2"/>
      <c r="O375" s="2">
        <v>2928</v>
      </c>
      <c r="P375" s="2"/>
      <c r="Q375" s="2">
        <v>3332</v>
      </c>
      <c r="R375" s="2"/>
      <c r="S375" s="2">
        <v>4130</v>
      </c>
      <c r="T375" s="2" t="s">
        <v>334</v>
      </c>
      <c r="U375" s="2">
        <v>4511</v>
      </c>
      <c r="V375" s="2"/>
      <c r="W375" s="2">
        <v>4506</v>
      </c>
      <c r="X375" s="2"/>
      <c r="Y375" s="2" t="s">
        <v>43</v>
      </c>
      <c r="Z375" s="2"/>
      <c r="AA375" s="2" t="s">
        <v>43</v>
      </c>
      <c r="AB375" s="2"/>
      <c r="AC375" s="2" t="str">
        <f>""</f>
        <v/>
      </c>
      <c r="AD375" s="2" t="str">
        <f>""</f>
        <v/>
      </c>
      <c r="AE375" s="2" t="str">
        <f>""</f>
        <v/>
      </c>
      <c r="AF375" s="2" t="str">
        <f>""</f>
        <v/>
      </c>
      <c r="AG375" s="2" t="str">
        <f>""</f>
        <v/>
      </c>
      <c r="AH375" s="2" t="str">
        <f>""</f>
        <v/>
      </c>
    </row>
    <row r="376" spans="1:34">
      <c r="A376" t="s">
        <v>1054</v>
      </c>
      <c r="B376" t="s">
        <v>1055</v>
      </c>
      <c r="C376" s="2">
        <v>3839</v>
      </c>
      <c r="D376" s="2"/>
      <c r="E376" s="2">
        <v>4419</v>
      </c>
      <c r="F376" s="2"/>
      <c r="G376" s="2">
        <v>3923</v>
      </c>
      <c r="H376" s="2"/>
      <c r="I376" s="2" t="s">
        <v>43</v>
      </c>
      <c r="J376" s="2"/>
      <c r="K376" s="2" t="s">
        <v>43</v>
      </c>
      <c r="L376" s="2"/>
      <c r="M376" s="2" t="s">
        <v>43</v>
      </c>
      <c r="N376" s="2"/>
      <c r="O376" s="2" t="s">
        <v>43</v>
      </c>
      <c r="P376" s="2"/>
      <c r="Q376" s="2" t="s">
        <v>43</v>
      </c>
      <c r="R376" s="2"/>
      <c r="S376" s="2" t="s">
        <v>43</v>
      </c>
      <c r="T376" s="2"/>
      <c r="U376" s="2" t="s">
        <v>43</v>
      </c>
      <c r="V376" s="2"/>
      <c r="W376" s="2" t="s">
        <v>43</v>
      </c>
      <c r="X376" s="2"/>
      <c r="Y376" s="2" t="s">
        <v>43</v>
      </c>
      <c r="Z376" s="2"/>
      <c r="AA376" s="2" t="s">
        <v>43</v>
      </c>
      <c r="AB376" s="2"/>
      <c r="AC376" s="2" t="str">
        <f>""</f>
        <v/>
      </c>
      <c r="AD376" s="2" t="str">
        <f>""</f>
        <v/>
      </c>
      <c r="AE376" s="2" t="str">
        <f>""</f>
        <v/>
      </c>
      <c r="AF376" s="2" t="str">
        <f>""</f>
        <v/>
      </c>
      <c r="AG376" s="2" t="str">
        <f>""</f>
        <v/>
      </c>
      <c r="AH376" s="2" t="str">
        <f>""</f>
        <v/>
      </c>
    </row>
    <row r="377" spans="1:34">
      <c r="A377" t="s">
        <v>1056</v>
      </c>
      <c r="B377" t="s">
        <v>1057</v>
      </c>
      <c r="C377" s="2" t="s">
        <v>43</v>
      </c>
      <c r="D377" s="2"/>
      <c r="E377" s="2" t="s">
        <v>43</v>
      </c>
      <c r="F377" s="2"/>
      <c r="G377" s="2" t="s">
        <v>43</v>
      </c>
      <c r="H377" s="2"/>
      <c r="I377" s="2">
        <v>6544</v>
      </c>
      <c r="J377" s="2"/>
      <c r="K377" s="2">
        <v>6332</v>
      </c>
      <c r="L377" s="2"/>
      <c r="M377" s="2" t="s">
        <v>43</v>
      </c>
      <c r="N377" s="2" t="s">
        <v>44</v>
      </c>
      <c r="O377" s="2">
        <v>6346</v>
      </c>
      <c r="P377" s="2"/>
      <c r="Q377" s="2">
        <v>6406</v>
      </c>
      <c r="R377" s="2"/>
      <c r="S377" s="2">
        <v>7408</v>
      </c>
      <c r="T377" s="2" t="s">
        <v>334</v>
      </c>
      <c r="U377" s="2">
        <v>7540</v>
      </c>
      <c r="V377" s="2"/>
      <c r="W377" s="2">
        <v>6767</v>
      </c>
      <c r="X377" s="2"/>
      <c r="Y377" s="2" t="s">
        <v>43</v>
      </c>
      <c r="Z377" s="2"/>
      <c r="AA377" s="2" t="s">
        <v>43</v>
      </c>
      <c r="AB377" s="2"/>
      <c r="AC377" s="2" t="str">
        <f>""</f>
        <v/>
      </c>
      <c r="AD377" s="2" t="str">
        <f>""</f>
        <v/>
      </c>
      <c r="AE377" s="2" t="str">
        <f>""</f>
        <v/>
      </c>
      <c r="AF377" s="2" t="str">
        <f>""</f>
        <v/>
      </c>
      <c r="AG377" s="2" t="str">
        <f>""</f>
        <v/>
      </c>
      <c r="AH377" s="2" t="str">
        <f>""</f>
        <v/>
      </c>
    </row>
    <row r="378" spans="1:34">
      <c r="A378" t="s">
        <v>1058</v>
      </c>
      <c r="B378" t="s">
        <v>1059</v>
      </c>
      <c r="C378" s="2" t="s">
        <v>43</v>
      </c>
      <c r="D378" s="2"/>
      <c r="E378" s="2" t="s">
        <v>43</v>
      </c>
      <c r="F378" s="2"/>
      <c r="G378" s="2" t="s">
        <v>43</v>
      </c>
      <c r="H378" s="2"/>
      <c r="I378" s="2">
        <v>3400</v>
      </c>
      <c r="J378" s="2"/>
      <c r="K378" s="2">
        <v>4219</v>
      </c>
      <c r="L378" s="2"/>
      <c r="M378" s="2">
        <v>5393</v>
      </c>
      <c r="N378" s="2"/>
      <c r="O378" s="2">
        <v>6029</v>
      </c>
      <c r="P378" s="2"/>
      <c r="Q378" s="2">
        <v>6201</v>
      </c>
      <c r="R378" s="2"/>
      <c r="S378" s="2">
        <v>6881</v>
      </c>
      <c r="T378" s="2" t="s">
        <v>334</v>
      </c>
      <c r="U378" s="2">
        <v>6926</v>
      </c>
      <c r="V378" s="2"/>
      <c r="W378" s="2">
        <v>7456</v>
      </c>
      <c r="X378" s="2"/>
      <c r="Y378" s="2" t="s">
        <v>43</v>
      </c>
      <c r="Z378" s="2"/>
      <c r="AA378" s="2" t="s">
        <v>43</v>
      </c>
      <c r="AB378" s="2"/>
      <c r="AC378" s="2" t="str">
        <f>""</f>
        <v/>
      </c>
      <c r="AD378" s="2" t="str">
        <f>""</f>
        <v/>
      </c>
      <c r="AE378" s="2" t="str">
        <f>""</f>
        <v/>
      </c>
      <c r="AF378" s="2" t="str">
        <f>""</f>
        <v/>
      </c>
      <c r="AG378" s="2" t="str">
        <f>""</f>
        <v/>
      </c>
      <c r="AH378" s="2" t="str">
        <f>""</f>
        <v/>
      </c>
    </row>
    <row r="379" spans="1:34">
      <c r="A379" t="s">
        <v>1060</v>
      </c>
      <c r="B379" t="s">
        <v>1061</v>
      </c>
      <c r="C379" s="2" t="s">
        <v>43</v>
      </c>
      <c r="D379" s="2" t="s">
        <v>44</v>
      </c>
      <c r="E379" s="2">
        <v>11813</v>
      </c>
      <c r="F379" s="2"/>
      <c r="G379" s="2">
        <v>8820</v>
      </c>
      <c r="H379" s="2"/>
      <c r="I379" s="2">
        <v>9811</v>
      </c>
      <c r="J379" s="2"/>
      <c r="K379" s="2">
        <v>10472</v>
      </c>
      <c r="L379" s="2"/>
      <c r="M379" s="2">
        <v>8003</v>
      </c>
      <c r="N379" s="2"/>
      <c r="O379" s="2">
        <v>11666</v>
      </c>
      <c r="P379" s="2"/>
      <c r="Q379" s="2">
        <v>11355</v>
      </c>
      <c r="R379" s="2"/>
      <c r="S379" s="2">
        <v>7122</v>
      </c>
      <c r="T379" s="2" t="s">
        <v>334</v>
      </c>
      <c r="U379" s="2">
        <v>9229</v>
      </c>
      <c r="V379" s="2"/>
      <c r="W379" s="2">
        <v>12659</v>
      </c>
      <c r="X379" s="2"/>
      <c r="Y379" s="2" t="s">
        <v>43</v>
      </c>
      <c r="Z379" s="2"/>
      <c r="AA379" s="2" t="s">
        <v>43</v>
      </c>
      <c r="AB379" s="2"/>
      <c r="AC379" s="2" t="str">
        <f>""</f>
        <v/>
      </c>
      <c r="AD379" s="2" t="str">
        <f>""</f>
        <v/>
      </c>
      <c r="AE379" s="2" t="str">
        <f>""</f>
        <v/>
      </c>
      <c r="AF379" s="2" t="str">
        <f>""</f>
        <v/>
      </c>
      <c r="AG379" s="2" t="str">
        <f>""</f>
        <v/>
      </c>
      <c r="AH379" s="2" t="str">
        <f>""</f>
        <v/>
      </c>
    </row>
    <row r="380" spans="1:34">
      <c r="A380" t="s">
        <v>1062</v>
      </c>
      <c r="B380" t="s">
        <v>1063</v>
      </c>
      <c r="C380" s="2">
        <v>4922</v>
      </c>
      <c r="D380" s="2"/>
      <c r="E380" s="2">
        <v>3804</v>
      </c>
      <c r="F380" s="2"/>
      <c r="G380" s="2">
        <v>3266</v>
      </c>
      <c r="H380" s="2"/>
      <c r="I380" s="2">
        <v>3434</v>
      </c>
      <c r="J380" s="2"/>
      <c r="K380" s="2">
        <v>3313</v>
      </c>
      <c r="L380" s="2"/>
      <c r="M380" s="2" t="s">
        <v>43</v>
      </c>
      <c r="N380" s="2" t="s">
        <v>44</v>
      </c>
      <c r="O380" s="2">
        <v>3550</v>
      </c>
      <c r="P380" s="2"/>
      <c r="Q380" s="2">
        <v>2876</v>
      </c>
      <c r="R380" s="2"/>
      <c r="S380" s="2">
        <v>1934</v>
      </c>
      <c r="T380" s="2" t="s">
        <v>334</v>
      </c>
      <c r="U380" s="2">
        <v>2769</v>
      </c>
      <c r="V380" s="2"/>
      <c r="W380" s="2">
        <v>3610</v>
      </c>
      <c r="X380" s="2"/>
      <c r="Y380" s="2" t="s">
        <v>43</v>
      </c>
      <c r="Z380" s="2"/>
      <c r="AA380" s="2" t="s">
        <v>43</v>
      </c>
      <c r="AB380" s="2"/>
      <c r="AC380" s="2" t="str">
        <f>""</f>
        <v/>
      </c>
      <c r="AD380" s="2" t="str">
        <f>""</f>
        <v/>
      </c>
      <c r="AE380" s="2" t="str">
        <f>""</f>
        <v/>
      </c>
      <c r="AF380" s="2" t="str">
        <f>""</f>
        <v/>
      </c>
      <c r="AG380" s="2" t="str">
        <f>""</f>
        <v/>
      </c>
      <c r="AH380" s="2" t="str">
        <f>""</f>
        <v/>
      </c>
    </row>
    <row r="381" spans="1:34">
      <c r="A381" t="s">
        <v>1064</v>
      </c>
      <c r="B381" t="s">
        <v>1065</v>
      </c>
      <c r="C381" s="2">
        <v>878</v>
      </c>
      <c r="D381" s="2"/>
      <c r="E381" s="2">
        <v>947</v>
      </c>
      <c r="F381" s="2"/>
      <c r="G381" s="2">
        <v>717</v>
      </c>
      <c r="H381" s="2"/>
      <c r="I381" s="2">
        <v>778</v>
      </c>
      <c r="J381" s="2"/>
      <c r="K381" s="2">
        <v>1748</v>
      </c>
      <c r="L381" s="2"/>
      <c r="M381" s="2" t="s">
        <v>43</v>
      </c>
      <c r="N381" s="2" t="s">
        <v>44</v>
      </c>
      <c r="O381" s="2">
        <v>2124</v>
      </c>
      <c r="P381" s="2"/>
      <c r="Q381" s="2">
        <v>1792</v>
      </c>
      <c r="R381" s="2"/>
      <c r="S381" s="2">
        <v>1310</v>
      </c>
      <c r="T381" s="2" t="s">
        <v>334</v>
      </c>
      <c r="U381" s="2">
        <v>1442</v>
      </c>
      <c r="V381" s="2"/>
      <c r="W381" s="2">
        <v>1812</v>
      </c>
      <c r="X381" s="2"/>
      <c r="Y381" s="2" t="s">
        <v>43</v>
      </c>
      <c r="Z381" s="2"/>
      <c r="AA381" s="2" t="s">
        <v>43</v>
      </c>
      <c r="AB381" s="2"/>
      <c r="AC381" s="2" t="str">
        <f>""</f>
        <v/>
      </c>
      <c r="AD381" s="2" t="str">
        <f>""</f>
        <v/>
      </c>
      <c r="AE381" s="2" t="str">
        <f>""</f>
        <v/>
      </c>
      <c r="AF381" s="2" t="str">
        <f>""</f>
        <v/>
      </c>
      <c r="AG381" s="2" t="str">
        <f>""</f>
        <v/>
      </c>
      <c r="AH381" s="2" t="str">
        <f>""</f>
        <v/>
      </c>
    </row>
    <row r="382" spans="1:34">
      <c r="A382" t="s">
        <v>1066</v>
      </c>
      <c r="B382" t="s">
        <v>1067</v>
      </c>
      <c r="C382" s="2">
        <v>3348</v>
      </c>
      <c r="D382" s="2"/>
      <c r="E382" s="2">
        <v>2745</v>
      </c>
      <c r="F382" s="2"/>
      <c r="G382" s="2">
        <v>2237</v>
      </c>
      <c r="H382" s="2"/>
      <c r="I382" s="2">
        <v>2516</v>
      </c>
      <c r="J382" s="2"/>
      <c r="K382" s="2">
        <v>2463</v>
      </c>
      <c r="L382" s="2"/>
      <c r="M382" s="2">
        <v>1883</v>
      </c>
      <c r="N382" s="2"/>
      <c r="O382" s="2">
        <v>2854</v>
      </c>
      <c r="P382" s="2"/>
      <c r="Q382" s="2">
        <v>3153</v>
      </c>
      <c r="R382" s="2"/>
      <c r="S382" s="2">
        <v>2064</v>
      </c>
      <c r="T382" s="2" t="s">
        <v>334</v>
      </c>
      <c r="U382" s="2">
        <v>2810</v>
      </c>
      <c r="V382" s="2"/>
      <c r="W382" s="2">
        <v>3454</v>
      </c>
      <c r="X382" s="2"/>
      <c r="Y382" s="2" t="s">
        <v>43</v>
      </c>
      <c r="Z382" s="2"/>
      <c r="AA382" s="2" t="s">
        <v>43</v>
      </c>
      <c r="AB382" s="2"/>
      <c r="AC382" s="2" t="str">
        <f>""</f>
        <v/>
      </c>
      <c r="AD382" s="2" t="str">
        <f>""</f>
        <v/>
      </c>
      <c r="AE382" s="2" t="str">
        <f>""</f>
        <v/>
      </c>
      <c r="AF382" s="2" t="str">
        <f>""</f>
        <v/>
      </c>
      <c r="AG382" s="2" t="str">
        <f>""</f>
        <v/>
      </c>
      <c r="AH382" s="2" t="str">
        <f>""</f>
        <v/>
      </c>
    </row>
    <row r="383" spans="1:34">
      <c r="A383" t="s">
        <v>1068</v>
      </c>
      <c r="B383" t="s">
        <v>1069</v>
      </c>
      <c r="C383" s="2" t="s">
        <v>43</v>
      </c>
      <c r="D383" s="2" t="s">
        <v>44</v>
      </c>
      <c r="E383" s="2">
        <v>4317</v>
      </c>
      <c r="F383" s="2"/>
      <c r="G383" s="2">
        <v>2599</v>
      </c>
      <c r="H383" s="2"/>
      <c r="I383" s="2">
        <v>3082</v>
      </c>
      <c r="J383" s="2"/>
      <c r="K383" s="2">
        <v>2949</v>
      </c>
      <c r="L383" s="2"/>
      <c r="M383" s="2">
        <v>2110</v>
      </c>
      <c r="N383" s="2"/>
      <c r="O383" s="2">
        <v>3139</v>
      </c>
      <c r="P383" s="2"/>
      <c r="Q383" s="2">
        <v>3534</v>
      </c>
      <c r="R383" s="2"/>
      <c r="S383" s="2">
        <v>1814</v>
      </c>
      <c r="T383" s="2" t="s">
        <v>334</v>
      </c>
      <c r="U383" s="2">
        <v>2208</v>
      </c>
      <c r="V383" s="2"/>
      <c r="W383" s="2">
        <v>3783</v>
      </c>
      <c r="X383" s="2"/>
      <c r="Y383" s="2" t="s">
        <v>43</v>
      </c>
      <c r="Z383" s="2"/>
      <c r="AA383" s="2" t="s">
        <v>43</v>
      </c>
      <c r="AB383" s="2"/>
      <c r="AC383" s="2" t="str">
        <f>""</f>
        <v/>
      </c>
      <c r="AD383" s="2" t="str">
        <f>""</f>
        <v/>
      </c>
      <c r="AE383" s="2" t="str">
        <f>""</f>
        <v/>
      </c>
      <c r="AF383" s="2" t="str">
        <f>""</f>
        <v/>
      </c>
      <c r="AG383" s="2" t="str">
        <f>""</f>
        <v/>
      </c>
      <c r="AH383" s="2" t="str">
        <f>""</f>
        <v/>
      </c>
    </row>
    <row r="384" spans="1:34">
      <c r="A384" t="s">
        <v>1070</v>
      </c>
      <c r="B384" t="s">
        <v>1071</v>
      </c>
      <c r="C384" s="2">
        <v>15412</v>
      </c>
      <c r="D384" s="2"/>
      <c r="E384" s="2">
        <v>12756</v>
      </c>
      <c r="F384" s="2"/>
      <c r="G384" s="2">
        <v>10244</v>
      </c>
      <c r="H384" s="2"/>
      <c r="I384" s="2">
        <v>8990</v>
      </c>
      <c r="J384" s="2"/>
      <c r="K384" s="2">
        <v>10049</v>
      </c>
      <c r="L384" s="2"/>
      <c r="M384" s="2">
        <v>9025</v>
      </c>
      <c r="N384" s="2"/>
      <c r="O384" s="2">
        <v>8071</v>
      </c>
      <c r="P384" s="2"/>
      <c r="Q384" s="2">
        <v>8379</v>
      </c>
      <c r="R384" s="2"/>
      <c r="S384" s="2">
        <v>7746</v>
      </c>
      <c r="T384" s="2" t="s">
        <v>334</v>
      </c>
      <c r="U384" s="2">
        <v>8159</v>
      </c>
      <c r="V384" s="2"/>
      <c r="W384" s="2">
        <v>9627</v>
      </c>
      <c r="X384" s="2"/>
      <c r="Y384" s="2" t="s">
        <v>43</v>
      </c>
      <c r="Z384" s="2"/>
      <c r="AA384" s="2" t="s">
        <v>43</v>
      </c>
      <c r="AB384" s="2"/>
      <c r="AC384" s="2" t="str">
        <f>""</f>
        <v/>
      </c>
      <c r="AD384" s="2" t="str">
        <f>""</f>
        <v/>
      </c>
      <c r="AE384" s="2" t="str">
        <f>""</f>
        <v/>
      </c>
      <c r="AF384" s="2" t="str">
        <f>""</f>
        <v/>
      </c>
      <c r="AG384" s="2" t="str">
        <f>""</f>
        <v/>
      </c>
      <c r="AH384" s="2" t="str">
        <f>""</f>
        <v/>
      </c>
    </row>
    <row r="385" spans="1:34">
      <c r="A385" t="s">
        <v>1072</v>
      </c>
      <c r="B385" t="s">
        <v>1073</v>
      </c>
      <c r="C385" s="2">
        <v>7997</v>
      </c>
      <c r="D385" s="2"/>
      <c r="E385" s="2">
        <v>6938</v>
      </c>
      <c r="F385" s="2"/>
      <c r="G385" s="2">
        <v>5467</v>
      </c>
      <c r="H385" s="2"/>
      <c r="I385" s="2">
        <v>4627</v>
      </c>
      <c r="J385" s="2"/>
      <c r="K385" s="2">
        <v>5107</v>
      </c>
      <c r="L385" s="2"/>
      <c r="M385" s="2">
        <v>4513</v>
      </c>
      <c r="N385" s="2"/>
      <c r="O385" s="2">
        <v>4289</v>
      </c>
      <c r="P385" s="2"/>
      <c r="Q385" s="2">
        <v>4100</v>
      </c>
      <c r="R385" s="2"/>
      <c r="S385" s="2">
        <v>3784</v>
      </c>
      <c r="T385" s="2" t="s">
        <v>334</v>
      </c>
      <c r="U385" s="2">
        <v>3666</v>
      </c>
      <c r="V385" s="2"/>
      <c r="W385" s="2">
        <v>4299</v>
      </c>
      <c r="X385" s="2"/>
      <c r="Y385" s="2" t="s">
        <v>43</v>
      </c>
      <c r="Z385" s="2"/>
      <c r="AA385" s="2" t="s">
        <v>43</v>
      </c>
      <c r="AB385" s="2"/>
      <c r="AC385" s="2" t="str">
        <f>""</f>
        <v/>
      </c>
      <c r="AD385" s="2" t="str">
        <f>""</f>
        <v/>
      </c>
      <c r="AE385" s="2" t="str">
        <f>""</f>
        <v/>
      </c>
      <c r="AF385" s="2" t="str">
        <f>""</f>
        <v/>
      </c>
      <c r="AG385" s="2" t="str">
        <f>""</f>
        <v/>
      </c>
      <c r="AH385" s="2" t="str">
        <f>""</f>
        <v/>
      </c>
    </row>
    <row r="386" spans="1:34">
      <c r="A386" t="s">
        <v>1074</v>
      </c>
      <c r="B386" t="s">
        <v>1075</v>
      </c>
      <c r="C386" s="2">
        <v>6222</v>
      </c>
      <c r="D386" s="2"/>
      <c r="E386" s="2">
        <v>4841</v>
      </c>
      <c r="F386" s="2"/>
      <c r="G386" s="2">
        <v>3943</v>
      </c>
      <c r="H386" s="2"/>
      <c r="I386" s="2">
        <v>3492</v>
      </c>
      <c r="J386" s="2"/>
      <c r="K386" s="2">
        <v>3892</v>
      </c>
      <c r="L386" s="2"/>
      <c r="M386" s="2">
        <v>3628</v>
      </c>
      <c r="N386" s="2"/>
      <c r="O386" s="2">
        <v>3162</v>
      </c>
      <c r="P386" s="2"/>
      <c r="Q386" s="2">
        <v>3389</v>
      </c>
      <c r="R386" s="2"/>
      <c r="S386" s="2">
        <v>3159</v>
      </c>
      <c r="T386" s="2" t="s">
        <v>334</v>
      </c>
      <c r="U386" s="2">
        <v>3549</v>
      </c>
      <c r="V386" s="2"/>
      <c r="W386" s="2">
        <v>3885</v>
      </c>
      <c r="X386" s="2"/>
      <c r="Y386" s="2" t="s">
        <v>43</v>
      </c>
      <c r="Z386" s="2"/>
      <c r="AA386" s="2" t="s">
        <v>43</v>
      </c>
      <c r="AB386" s="2"/>
      <c r="AC386" s="2" t="str">
        <f>""</f>
        <v/>
      </c>
      <c r="AD386" s="2" t="str">
        <f>""</f>
        <v/>
      </c>
      <c r="AE386" s="2" t="str">
        <f>""</f>
        <v/>
      </c>
      <c r="AF386" s="2" t="str">
        <f>""</f>
        <v/>
      </c>
      <c r="AG386" s="2" t="str">
        <f>""</f>
        <v/>
      </c>
      <c r="AH386" s="2" t="str">
        <f>""</f>
        <v/>
      </c>
    </row>
    <row r="387" spans="1:34">
      <c r="A387" t="s">
        <v>1076</v>
      </c>
      <c r="B387" t="s">
        <v>1077</v>
      </c>
      <c r="C387" s="2">
        <v>1194</v>
      </c>
      <c r="D387" s="2"/>
      <c r="E387" s="2">
        <v>977</v>
      </c>
      <c r="F387" s="2"/>
      <c r="G387" s="2">
        <v>834</v>
      </c>
      <c r="H387" s="2"/>
      <c r="I387" s="2">
        <v>870</v>
      </c>
      <c r="J387" s="2"/>
      <c r="K387" s="2">
        <v>1049</v>
      </c>
      <c r="L387" s="2"/>
      <c r="M387" s="2">
        <v>883</v>
      </c>
      <c r="N387" s="2"/>
      <c r="O387" s="2">
        <v>621</v>
      </c>
      <c r="P387" s="2"/>
      <c r="Q387" s="2">
        <v>890</v>
      </c>
      <c r="R387" s="2"/>
      <c r="S387" s="2">
        <v>802</v>
      </c>
      <c r="T387" s="2" t="s">
        <v>334</v>
      </c>
      <c r="U387" s="2">
        <v>944</v>
      </c>
      <c r="V387" s="2"/>
      <c r="W387" s="2">
        <v>1444</v>
      </c>
      <c r="X387" s="2"/>
      <c r="Y387" s="2" t="s">
        <v>43</v>
      </c>
      <c r="Z387" s="2"/>
      <c r="AA387" s="2" t="s">
        <v>43</v>
      </c>
      <c r="AB387" s="2"/>
      <c r="AC387" s="2" t="str">
        <f>""</f>
        <v/>
      </c>
      <c r="AD387" s="2" t="str">
        <f>""</f>
        <v/>
      </c>
      <c r="AE387" s="2" t="str">
        <f>""</f>
        <v/>
      </c>
      <c r="AF387" s="2" t="str">
        <f>""</f>
        <v/>
      </c>
      <c r="AG387" s="2" t="str">
        <f>""</f>
        <v/>
      </c>
      <c r="AH387" s="2" t="str">
        <f>""</f>
        <v/>
      </c>
    </row>
    <row r="388" spans="1:34">
      <c r="A388" t="s">
        <v>1078</v>
      </c>
      <c r="B388" t="s">
        <v>1079</v>
      </c>
      <c r="C388" s="2">
        <v>41625</v>
      </c>
      <c r="D388" s="2"/>
      <c r="E388" s="2">
        <v>43104</v>
      </c>
      <c r="F388" s="2"/>
      <c r="G388" s="2">
        <v>39886</v>
      </c>
      <c r="H388" s="2"/>
      <c r="I388" s="2">
        <v>32411</v>
      </c>
      <c r="J388" s="2"/>
      <c r="K388" s="2">
        <v>37242</v>
      </c>
      <c r="L388" s="2"/>
      <c r="M388" s="2">
        <v>39692</v>
      </c>
      <c r="N388" s="2"/>
      <c r="O388" s="2">
        <v>50002</v>
      </c>
      <c r="P388" s="2"/>
      <c r="Q388" s="2">
        <v>48207</v>
      </c>
      <c r="R388" s="2"/>
      <c r="S388" s="2">
        <v>50083</v>
      </c>
      <c r="T388" s="2" t="s">
        <v>334</v>
      </c>
      <c r="U388" s="2">
        <v>48336</v>
      </c>
      <c r="V388" s="2"/>
      <c r="W388" s="2">
        <v>51199</v>
      </c>
      <c r="X388" s="2"/>
      <c r="Y388" s="2" t="s">
        <v>43</v>
      </c>
      <c r="Z388" s="2"/>
      <c r="AA388" s="2" t="s">
        <v>43</v>
      </c>
      <c r="AB388" s="2"/>
      <c r="AC388" s="2" t="str">
        <f>""</f>
        <v/>
      </c>
      <c r="AD388" s="2" t="str">
        <f>""</f>
        <v/>
      </c>
      <c r="AE388" s="2" t="str">
        <f>""</f>
        <v/>
      </c>
      <c r="AF388" s="2" t="str">
        <f>""</f>
        <v/>
      </c>
      <c r="AG388" s="2" t="str">
        <f>""</f>
        <v/>
      </c>
      <c r="AH388" s="2" t="str">
        <f>""</f>
        <v/>
      </c>
    </row>
    <row r="389" spans="1:34">
      <c r="A389" t="s">
        <v>1080</v>
      </c>
      <c r="B389" t="s">
        <v>1081</v>
      </c>
      <c r="C389" s="2">
        <v>9448</v>
      </c>
      <c r="D389" s="2"/>
      <c r="E389" s="2">
        <v>9430</v>
      </c>
      <c r="F389" s="2"/>
      <c r="G389" s="2">
        <v>9986</v>
      </c>
      <c r="H389" s="2"/>
      <c r="I389" s="2">
        <v>6789</v>
      </c>
      <c r="J389" s="2"/>
      <c r="K389" s="2">
        <v>7696</v>
      </c>
      <c r="L389" s="2"/>
      <c r="M389" s="2">
        <v>7912</v>
      </c>
      <c r="N389" s="2"/>
      <c r="O389" s="2">
        <v>13495</v>
      </c>
      <c r="P389" s="2"/>
      <c r="Q389" s="2">
        <v>13541</v>
      </c>
      <c r="R389" s="2"/>
      <c r="S389" s="2">
        <v>14001</v>
      </c>
      <c r="T389" s="2" t="s">
        <v>334</v>
      </c>
      <c r="U389" s="2">
        <v>14732</v>
      </c>
      <c r="V389" s="2"/>
      <c r="W389" s="2">
        <v>16422</v>
      </c>
      <c r="X389" s="2"/>
      <c r="Y389" s="2" t="s">
        <v>43</v>
      </c>
      <c r="Z389" s="2"/>
      <c r="AA389" s="2" t="s">
        <v>43</v>
      </c>
      <c r="AB389" s="2"/>
      <c r="AC389" s="2" t="str">
        <f>""</f>
        <v/>
      </c>
      <c r="AD389" s="2" t="str">
        <f>""</f>
        <v/>
      </c>
      <c r="AE389" s="2" t="str">
        <f>""</f>
        <v/>
      </c>
      <c r="AF389" s="2" t="str">
        <f>""</f>
        <v/>
      </c>
      <c r="AG389" s="2" t="str">
        <f>""</f>
        <v/>
      </c>
      <c r="AH389" s="2" t="str">
        <f>""</f>
        <v/>
      </c>
    </row>
    <row r="390" spans="1:34">
      <c r="A390" t="s">
        <v>1082</v>
      </c>
      <c r="B390" t="s">
        <v>1083</v>
      </c>
      <c r="C390" s="2">
        <v>7238</v>
      </c>
      <c r="D390" s="2"/>
      <c r="E390" s="2">
        <v>7430</v>
      </c>
      <c r="F390" s="2"/>
      <c r="G390" s="2">
        <v>7388</v>
      </c>
      <c r="H390" s="2"/>
      <c r="I390" s="2">
        <v>5831</v>
      </c>
      <c r="J390" s="2"/>
      <c r="K390" s="2">
        <v>6382</v>
      </c>
      <c r="L390" s="2"/>
      <c r="M390" s="2">
        <v>6273</v>
      </c>
      <c r="N390" s="2"/>
      <c r="O390" s="2">
        <v>7849</v>
      </c>
      <c r="P390" s="2"/>
      <c r="Q390" s="2">
        <v>7189</v>
      </c>
      <c r="R390" s="2"/>
      <c r="S390" s="2">
        <v>7113</v>
      </c>
      <c r="T390" s="2" t="s">
        <v>334</v>
      </c>
      <c r="U390" s="2">
        <v>6698</v>
      </c>
      <c r="V390" s="2"/>
      <c r="W390" s="2">
        <v>7248</v>
      </c>
      <c r="X390" s="2"/>
      <c r="Y390" s="2" t="s">
        <v>43</v>
      </c>
      <c r="Z390" s="2"/>
      <c r="AA390" s="2" t="s">
        <v>43</v>
      </c>
      <c r="AB390" s="2"/>
      <c r="AC390" s="2" t="str">
        <f>""</f>
        <v/>
      </c>
      <c r="AD390" s="2" t="str">
        <f>""</f>
        <v/>
      </c>
      <c r="AE390" s="2" t="str">
        <f>""</f>
        <v/>
      </c>
      <c r="AF390" s="2" t="str">
        <f>""</f>
        <v/>
      </c>
      <c r="AG390" s="2" t="str">
        <f>""</f>
        <v/>
      </c>
      <c r="AH390" s="2" t="str">
        <f>""</f>
        <v/>
      </c>
    </row>
    <row r="391" spans="1:34">
      <c r="A391" t="s">
        <v>1084</v>
      </c>
      <c r="B391" t="s">
        <v>1085</v>
      </c>
      <c r="C391" s="2">
        <v>24939</v>
      </c>
      <c r="D391" s="2"/>
      <c r="E391" s="2">
        <v>26244</v>
      </c>
      <c r="F391" s="2"/>
      <c r="G391" s="2">
        <v>22511</v>
      </c>
      <c r="H391" s="2"/>
      <c r="I391" s="2">
        <v>19791</v>
      </c>
      <c r="J391" s="2"/>
      <c r="K391" s="2">
        <v>23164</v>
      </c>
      <c r="L391" s="2"/>
      <c r="M391" s="2">
        <v>25508</v>
      </c>
      <c r="N391" s="2"/>
      <c r="O391" s="2">
        <v>28659</v>
      </c>
      <c r="P391" s="2"/>
      <c r="Q391" s="2">
        <v>27476</v>
      </c>
      <c r="R391" s="2"/>
      <c r="S391" s="2">
        <v>28968</v>
      </c>
      <c r="T391" s="2" t="s">
        <v>334</v>
      </c>
      <c r="U391" s="2">
        <v>26906</v>
      </c>
      <c r="V391" s="2"/>
      <c r="W391" s="2">
        <v>27529</v>
      </c>
      <c r="X391" s="2"/>
      <c r="Y391" s="2" t="s">
        <v>43</v>
      </c>
      <c r="Z391" s="2"/>
      <c r="AA391" s="2" t="s">
        <v>43</v>
      </c>
      <c r="AB391" s="2"/>
      <c r="AC391" s="2" t="str">
        <f>""</f>
        <v/>
      </c>
      <c r="AD391" s="2" t="str">
        <f>""</f>
        <v/>
      </c>
      <c r="AE391" s="2" t="str">
        <f>""</f>
        <v/>
      </c>
      <c r="AF391" s="2" t="str">
        <f>""</f>
        <v/>
      </c>
      <c r="AG391" s="2" t="str">
        <f>""</f>
        <v/>
      </c>
      <c r="AH391" s="2" t="str">
        <f>""</f>
        <v/>
      </c>
    </row>
    <row r="392" spans="1:34">
      <c r="A392" t="s">
        <v>1086</v>
      </c>
      <c r="B392" t="s">
        <v>1087</v>
      </c>
      <c r="C392" s="2">
        <v>14535</v>
      </c>
      <c r="D392" s="2"/>
      <c r="E392" s="2">
        <v>8932</v>
      </c>
      <c r="F392" s="2"/>
      <c r="G392" s="2">
        <v>10982</v>
      </c>
      <c r="H392" s="2"/>
      <c r="I392" s="2">
        <v>9147</v>
      </c>
      <c r="J392" s="2"/>
      <c r="K392" s="2">
        <v>8603</v>
      </c>
      <c r="L392" s="2"/>
      <c r="M392" s="2">
        <v>10423</v>
      </c>
      <c r="N392" s="2"/>
      <c r="O392" s="2">
        <v>5264</v>
      </c>
      <c r="P392" s="2"/>
      <c r="Q392" s="2">
        <v>8195</v>
      </c>
      <c r="R392" s="2"/>
      <c r="S392" s="2">
        <v>8156</v>
      </c>
      <c r="T392" s="2" t="s">
        <v>334</v>
      </c>
      <c r="U392" s="2">
        <v>4425</v>
      </c>
      <c r="V392" s="2"/>
      <c r="W392" s="2">
        <v>7054</v>
      </c>
      <c r="X392" s="2"/>
      <c r="Y392" s="2" t="s">
        <v>43</v>
      </c>
      <c r="Z392" s="2"/>
      <c r="AA392" s="2" t="s">
        <v>43</v>
      </c>
      <c r="AB392" s="2"/>
      <c r="AC392" s="2" t="str">
        <f>""</f>
        <v/>
      </c>
      <c r="AD392" s="2" t="str">
        <f>""</f>
        <v/>
      </c>
      <c r="AE392" s="2" t="str">
        <f>""</f>
        <v/>
      </c>
      <c r="AF392" s="2" t="str">
        <f>""</f>
        <v/>
      </c>
      <c r="AG392" s="2" t="str">
        <f>""</f>
        <v/>
      </c>
      <c r="AH392" s="2" t="str">
        <f>""</f>
        <v/>
      </c>
    </row>
    <row r="393" spans="1:34">
      <c r="A393" t="s">
        <v>1088</v>
      </c>
      <c r="B393" t="s">
        <v>1089</v>
      </c>
      <c r="C393" s="2">
        <v>5219</v>
      </c>
      <c r="D393" s="2"/>
      <c r="E393" s="2">
        <v>2071</v>
      </c>
      <c r="F393" s="2"/>
      <c r="G393" s="2">
        <v>3301</v>
      </c>
      <c r="H393" s="2"/>
      <c r="I393" s="2">
        <v>3060</v>
      </c>
      <c r="J393" s="2"/>
      <c r="K393" s="2">
        <v>2503</v>
      </c>
      <c r="L393" s="2"/>
      <c r="M393" s="2">
        <v>3778</v>
      </c>
      <c r="N393" s="2"/>
      <c r="O393" s="2">
        <v>2441</v>
      </c>
      <c r="P393" s="2"/>
      <c r="Q393" s="2">
        <v>4008</v>
      </c>
      <c r="R393" s="2"/>
      <c r="S393" s="2">
        <v>3701</v>
      </c>
      <c r="T393" s="2" t="s">
        <v>334</v>
      </c>
      <c r="U393" s="2">
        <v>1673</v>
      </c>
      <c r="V393" s="2"/>
      <c r="W393" s="2">
        <v>3342</v>
      </c>
      <c r="X393" s="2"/>
      <c r="Y393" s="2" t="s">
        <v>43</v>
      </c>
      <c r="Z393" s="2"/>
      <c r="AA393" s="2" t="s">
        <v>43</v>
      </c>
      <c r="AB393" s="2"/>
      <c r="AC393" s="2" t="str">
        <f>""</f>
        <v/>
      </c>
      <c r="AD393" s="2" t="str">
        <f>""</f>
        <v/>
      </c>
      <c r="AE393" s="2" t="str">
        <f>""</f>
        <v/>
      </c>
      <c r="AF393" s="2" t="str">
        <f>""</f>
        <v/>
      </c>
      <c r="AG393" s="2" t="str">
        <f>""</f>
        <v/>
      </c>
      <c r="AH393" s="2" t="str">
        <f>""</f>
        <v/>
      </c>
    </row>
    <row r="394" spans="1:34">
      <c r="A394" t="s">
        <v>1090</v>
      </c>
      <c r="B394" t="s">
        <v>1091</v>
      </c>
      <c r="C394" s="2">
        <v>3758</v>
      </c>
      <c r="D394" s="2"/>
      <c r="E394" s="2" t="s">
        <v>43</v>
      </c>
      <c r="F394" s="2" t="s">
        <v>44</v>
      </c>
      <c r="G394" s="2" t="s">
        <v>43</v>
      </c>
      <c r="H394" s="2" t="s">
        <v>44</v>
      </c>
      <c r="I394" s="2">
        <v>1884</v>
      </c>
      <c r="J394" s="2"/>
      <c r="K394" s="2">
        <v>1845</v>
      </c>
      <c r="L394" s="2"/>
      <c r="M394" s="2">
        <v>2146</v>
      </c>
      <c r="N394" s="2"/>
      <c r="O394" s="2">
        <v>1611</v>
      </c>
      <c r="P394" s="2"/>
      <c r="Q394" s="2">
        <v>2523</v>
      </c>
      <c r="R394" s="2"/>
      <c r="S394" s="2">
        <v>2541</v>
      </c>
      <c r="T394" s="2" t="s">
        <v>334</v>
      </c>
      <c r="U394" s="2">
        <v>1722</v>
      </c>
      <c r="V394" s="2"/>
      <c r="W394" s="2">
        <v>2135</v>
      </c>
      <c r="X394" s="2"/>
      <c r="Y394" s="2" t="s">
        <v>43</v>
      </c>
      <c r="Z394" s="2"/>
      <c r="AA394" s="2" t="s">
        <v>43</v>
      </c>
      <c r="AB394" s="2"/>
      <c r="AC394" s="2" t="str">
        <f>""</f>
        <v/>
      </c>
      <c r="AD394" s="2" t="str">
        <f>""</f>
        <v/>
      </c>
      <c r="AE394" s="2" t="str">
        <f>""</f>
        <v/>
      </c>
      <c r="AF394" s="2" t="str">
        <f>""</f>
        <v/>
      </c>
      <c r="AG394" s="2" t="str">
        <f>""</f>
        <v/>
      </c>
      <c r="AH394" s="2" t="str">
        <f>""</f>
        <v/>
      </c>
    </row>
    <row r="395" spans="1:34">
      <c r="A395" t="s">
        <v>1092</v>
      </c>
      <c r="B395" t="s">
        <v>1093</v>
      </c>
      <c r="C395" s="2">
        <v>5557</v>
      </c>
      <c r="D395" s="2"/>
      <c r="E395" s="2" t="s">
        <v>43</v>
      </c>
      <c r="F395" s="2" t="s">
        <v>44</v>
      </c>
      <c r="G395" s="2" t="s">
        <v>43</v>
      </c>
      <c r="H395" s="2" t="s">
        <v>44</v>
      </c>
      <c r="I395" s="2">
        <v>4203</v>
      </c>
      <c r="J395" s="2"/>
      <c r="K395" s="2">
        <v>4255</v>
      </c>
      <c r="L395" s="2"/>
      <c r="M395" s="2">
        <v>4500</v>
      </c>
      <c r="N395" s="2"/>
      <c r="O395" s="2">
        <v>1212</v>
      </c>
      <c r="P395" s="2"/>
      <c r="Q395" s="2">
        <v>1663</v>
      </c>
      <c r="R395" s="2"/>
      <c r="S395" s="2">
        <v>1914</v>
      </c>
      <c r="T395" s="2" t="s">
        <v>334</v>
      </c>
      <c r="U395" s="2">
        <v>1029</v>
      </c>
      <c r="V395" s="2"/>
      <c r="W395" s="2">
        <v>1577</v>
      </c>
      <c r="X395" s="2"/>
      <c r="Y395" s="2" t="s">
        <v>43</v>
      </c>
      <c r="Z395" s="2"/>
      <c r="AA395" s="2" t="s">
        <v>43</v>
      </c>
      <c r="AB395" s="2"/>
      <c r="AC395" s="2" t="str">
        <f>""</f>
        <v/>
      </c>
      <c r="AD395" s="2" t="str">
        <f>""</f>
        <v/>
      </c>
      <c r="AE395" s="2" t="str">
        <f>""</f>
        <v/>
      </c>
      <c r="AF395" s="2" t="str">
        <f>""</f>
        <v/>
      </c>
      <c r="AG395" s="2" t="str">
        <f>""</f>
        <v/>
      </c>
      <c r="AH395" s="2" t="str">
        <f>""</f>
        <v/>
      </c>
    </row>
    <row r="396" spans="1:34">
      <c r="A396" t="s">
        <v>1094</v>
      </c>
      <c r="B396" t="s">
        <v>1095</v>
      </c>
      <c r="C396" s="2">
        <v>5931</v>
      </c>
      <c r="D396" s="2"/>
      <c r="E396" s="2">
        <v>6463</v>
      </c>
      <c r="F396" s="2"/>
      <c r="G396" s="2">
        <v>5002</v>
      </c>
      <c r="H396" s="2"/>
      <c r="I396" s="2">
        <v>4448</v>
      </c>
      <c r="J396" s="2"/>
      <c r="K396" s="2">
        <v>4259</v>
      </c>
      <c r="L396" s="2"/>
      <c r="M396" s="2">
        <v>3797</v>
      </c>
      <c r="N396" s="2"/>
      <c r="O396" s="2">
        <v>3941</v>
      </c>
      <c r="P396" s="2"/>
      <c r="Q396" s="2">
        <v>4065</v>
      </c>
      <c r="R396" s="2"/>
      <c r="S396" s="2">
        <v>4475</v>
      </c>
      <c r="T396" s="2" t="s">
        <v>334</v>
      </c>
      <c r="U396" s="2">
        <v>3523</v>
      </c>
      <c r="V396" s="2"/>
      <c r="W396" s="2">
        <v>3323</v>
      </c>
      <c r="X396" s="2"/>
      <c r="Y396" s="2" t="s">
        <v>43</v>
      </c>
      <c r="Z396" s="2"/>
      <c r="AA396" s="2" t="s">
        <v>43</v>
      </c>
      <c r="AB396" s="2"/>
      <c r="AC396" s="2" t="str">
        <f>""</f>
        <v/>
      </c>
      <c r="AD396" s="2" t="str">
        <f>""</f>
        <v/>
      </c>
      <c r="AE396" s="2" t="str">
        <f>""</f>
        <v/>
      </c>
      <c r="AF396" s="2" t="str">
        <f>""</f>
        <v/>
      </c>
      <c r="AG396" s="2" t="str">
        <f>""</f>
        <v/>
      </c>
      <c r="AH396" s="2" t="str">
        <f>""</f>
        <v/>
      </c>
    </row>
    <row r="397" spans="1:34">
      <c r="A397" t="s">
        <v>1096</v>
      </c>
      <c r="B397" t="s">
        <v>1097</v>
      </c>
      <c r="C397" s="2">
        <v>204</v>
      </c>
      <c r="D397" s="2"/>
      <c r="E397" s="2">
        <v>474</v>
      </c>
      <c r="F397" s="2"/>
      <c r="G397" s="2">
        <v>260</v>
      </c>
      <c r="H397" s="2"/>
      <c r="I397" s="2" t="s">
        <v>43</v>
      </c>
      <c r="J397" s="2" t="s">
        <v>44</v>
      </c>
      <c r="K397" s="2">
        <v>96</v>
      </c>
      <c r="L397" s="2"/>
      <c r="M397" s="2" t="s">
        <v>43</v>
      </c>
      <c r="N397" s="2"/>
      <c r="O397" s="2" t="s">
        <v>43</v>
      </c>
      <c r="P397" s="2"/>
      <c r="Q397" s="2" t="s">
        <v>43</v>
      </c>
      <c r="R397" s="2"/>
      <c r="S397" s="2" t="s">
        <v>43</v>
      </c>
      <c r="T397" s="2"/>
      <c r="U397" s="2" t="s">
        <v>43</v>
      </c>
      <c r="V397" s="2"/>
      <c r="W397" s="2" t="s">
        <v>43</v>
      </c>
      <c r="X397" s="2"/>
      <c r="Y397" s="2" t="s">
        <v>43</v>
      </c>
      <c r="Z397" s="2"/>
      <c r="AA397" s="2" t="s">
        <v>43</v>
      </c>
      <c r="AB397" s="2"/>
      <c r="AC397" s="2" t="str">
        <f>""</f>
        <v/>
      </c>
      <c r="AD397" s="2" t="str">
        <f>""</f>
        <v/>
      </c>
      <c r="AE397" s="2" t="str">
        <f>""</f>
        <v/>
      </c>
      <c r="AF397" s="2" t="str">
        <f>""</f>
        <v/>
      </c>
      <c r="AG397" s="2" t="str">
        <f>""</f>
        <v/>
      </c>
      <c r="AH397" s="2" t="str">
        <f>""</f>
        <v/>
      </c>
    </row>
    <row r="398" spans="1:34">
      <c r="A398" t="s">
        <v>1098</v>
      </c>
      <c r="B398" t="s">
        <v>1099</v>
      </c>
      <c r="C398" s="2">
        <v>5727</v>
      </c>
      <c r="D398" s="2"/>
      <c r="E398" s="2">
        <v>5988</v>
      </c>
      <c r="F398" s="2"/>
      <c r="G398" s="2">
        <v>4742</v>
      </c>
      <c r="H398" s="2"/>
      <c r="I398" s="2" t="s">
        <v>43</v>
      </c>
      <c r="J398" s="2" t="s">
        <v>44</v>
      </c>
      <c r="K398" s="2">
        <v>4162</v>
      </c>
      <c r="L398" s="2"/>
      <c r="M398" s="2" t="s">
        <v>43</v>
      </c>
      <c r="N398" s="2"/>
      <c r="O398" s="2" t="s">
        <v>43</v>
      </c>
      <c r="P398" s="2"/>
      <c r="Q398" s="2" t="s">
        <v>43</v>
      </c>
      <c r="R398" s="2"/>
      <c r="S398" s="2" t="s">
        <v>43</v>
      </c>
      <c r="T398" s="2"/>
      <c r="U398" s="2" t="s">
        <v>43</v>
      </c>
      <c r="V398" s="2"/>
      <c r="W398" s="2" t="s">
        <v>43</v>
      </c>
      <c r="X398" s="2"/>
      <c r="Y398" s="2" t="s">
        <v>43</v>
      </c>
      <c r="Z398" s="2"/>
      <c r="AA398" s="2" t="s">
        <v>43</v>
      </c>
      <c r="AB398" s="2"/>
      <c r="AC398" s="2" t="str">
        <f>""</f>
        <v/>
      </c>
      <c r="AD398" s="2" t="str">
        <f>""</f>
        <v/>
      </c>
      <c r="AE398" s="2" t="str">
        <f>""</f>
        <v/>
      </c>
      <c r="AF398" s="2" t="str">
        <f>""</f>
        <v/>
      </c>
      <c r="AG398" s="2" t="str">
        <f>""</f>
        <v/>
      </c>
      <c r="AH398" s="2" t="str">
        <f>""</f>
        <v/>
      </c>
    </row>
    <row r="399" spans="1:34">
      <c r="A399" t="s">
        <v>1100</v>
      </c>
      <c r="B399" t="s">
        <v>1101</v>
      </c>
      <c r="C399" s="2" t="s">
        <v>43</v>
      </c>
      <c r="D399" s="2"/>
      <c r="E399" s="2" t="s">
        <v>43</v>
      </c>
      <c r="F399" s="2"/>
      <c r="G399" s="2" t="s">
        <v>43</v>
      </c>
      <c r="H399" s="2"/>
      <c r="I399" s="2" t="s">
        <v>43</v>
      </c>
      <c r="J399" s="2"/>
      <c r="K399" s="2" t="s">
        <v>43</v>
      </c>
      <c r="L399" s="2"/>
      <c r="M399" s="2">
        <v>52</v>
      </c>
      <c r="N399" s="2"/>
      <c r="O399" s="2">
        <v>29</v>
      </c>
      <c r="P399" s="2"/>
      <c r="Q399" s="2">
        <v>46</v>
      </c>
      <c r="R399" s="2"/>
      <c r="S399" s="2">
        <v>181</v>
      </c>
      <c r="T399" s="2" t="s">
        <v>334</v>
      </c>
      <c r="U399" s="2">
        <v>133</v>
      </c>
      <c r="V399" s="2"/>
      <c r="W399" s="2">
        <v>96</v>
      </c>
      <c r="X399" s="2"/>
      <c r="Y399" s="2" t="s">
        <v>43</v>
      </c>
      <c r="Z399" s="2"/>
      <c r="AA399" s="2" t="s">
        <v>43</v>
      </c>
      <c r="AB399" s="2"/>
      <c r="AC399" s="2" t="str">
        <f>""</f>
        <v/>
      </c>
      <c r="AD399" s="2" t="str">
        <f>""</f>
        <v/>
      </c>
      <c r="AE399" s="2" t="str">
        <f>""</f>
        <v/>
      </c>
      <c r="AF399" s="2" t="str">
        <f>""</f>
        <v/>
      </c>
      <c r="AG399" s="2" t="str">
        <f>""</f>
        <v/>
      </c>
      <c r="AH399" s="2" t="str">
        <f>""</f>
        <v/>
      </c>
    </row>
    <row r="400" spans="1:34">
      <c r="A400" t="s">
        <v>1102</v>
      </c>
      <c r="B400" t="s">
        <v>1103</v>
      </c>
      <c r="C400" s="2" t="s">
        <v>43</v>
      </c>
      <c r="D400" s="2"/>
      <c r="E400" s="2" t="s">
        <v>43</v>
      </c>
      <c r="F400" s="2"/>
      <c r="G400" s="2" t="s">
        <v>43</v>
      </c>
      <c r="H400" s="2"/>
      <c r="I400" s="2" t="s">
        <v>43</v>
      </c>
      <c r="J400" s="2"/>
      <c r="K400" s="2" t="s">
        <v>43</v>
      </c>
      <c r="L400" s="2"/>
      <c r="M400" s="2">
        <v>89</v>
      </c>
      <c r="N400" s="2"/>
      <c r="O400" s="2">
        <v>68</v>
      </c>
      <c r="P400" s="2"/>
      <c r="Q400" s="2">
        <v>447</v>
      </c>
      <c r="R400" s="2"/>
      <c r="S400" s="2">
        <v>121</v>
      </c>
      <c r="T400" s="2" t="s">
        <v>334</v>
      </c>
      <c r="U400" s="2">
        <v>70</v>
      </c>
      <c r="V400" s="2"/>
      <c r="W400" s="2">
        <v>52</v>
      </c>
      <c r="X400" s="2"/>
      <c r="Y400" s="2" t="s">
        <v>43</v>
      </c>
      <c r="Z400" s="2"/>
      <c r="AA400" s="2" t="s">
        <v>43</v>
      </c>
      <c r="AB400" s="2"/>
      <c r="AC400" s="2" t="str">
        <f>""</f>
        <v/>
      </c>
      <c r="AD400" s="2" t="str">
        <f>""</f>
        <v/>
      </c>
      <c r="AE400" s="2" t="str">
        <f>""</f>
        <v/>
      </c>
      <c r="AF400" s="2" t="str">
        <f>""</f>
        <v/>
      </c>
      <c r="AG400" s="2" t="str">
        <f>""</f>
        <v/>
      </c>
      <c r="AH400" s="2" t="str">
        <f>""</f>
        <v/>
      </c>
    </row>
    <row r="401" spans="1:34">
      <c r="A401" t="s">
        <v>1104</v>
      </c>
      <c r="B401" t="s">
        <v>1105</v>
      </c>
      <c r="C401" s="2" t="s">
        <v>43</v>
      </c>
      <c r="D401" s="2"/>
      <c r="E401" s="2" t="s">
        <v>43</v>
      </c>
      <c r="F401" s="2"/>
      <c r="G401" s="2" t="s">
        <v>43</v>
      </c>
      <c r="H401" s="2"/>
      <c r="I401" s="2" t="s">
        <v>43</v>
      </c>
      <c r="J401" s="2"/>
      <c r="K401" s="2" t="s">
        <v>43</v>
      </c>
      <c r="L401" s="2"/>
      <c r="M401" s="2">
        <v>3261</v>
      </c>
      <c r="N401" s="2"/>
      <c r="O401" s="2" t="s">
        <v>43</v>
      </c>
      <c r="P401" s="2" t="s">
        <v>44</v>
      </c>
      <c r="Q401" s="2">
        <v>2928</v>
      </c>
      <c r="R401" s="2"/>
      <c r="S401" s="2">
        <v>3066</v>
      </c>
      <c r="T401" s="2" t="s">
        <v>334</v>
      </c>
      <c r="U401" s="2">
        <v>2829</v>
      </c>
      <c r="V401" s="2"/>
      <c r="W401" s="2">
        <v>2766</v>
      </c>
      <c r="X401" s="2"/>
      <c r="Y401" s="2" t="s">
        <v>43</v>
      </c>
      <c r="Z401" s="2"/>
      <c r="AA401" s="2" t="s">
        <v>43</v>
      </c>
      <c r="AB401" s="2"/>
      <c r="AC401" s="2" t="str">
        <f>""</f>
        <v/>
      </c>
      <c r="AD401" s="2" t="str">
        <f>""</f>
        <v/>
      </c>
      <c r="AE401" s="2" t="str">
        <f>""</f>
        <v/>
      </c>
      <c r="AF401" s="2" t="str">
        <f>""</f>
        <v/>
      </c>
      <c r="AG401" s="2" t="str">
        <f>""</f>
        <v/>
      </c>
      <c r="AH401" s="2" t="str">
        <f>""</f>
        <v/>
      </c>
    </row>
    <row r="402" spans="1:34">
      <c r="A402" t="s">
        <v>1106</v>
      </c>
      <c r="B402" t="s">
        <v>1107</v>
      </c>
      <c r="C402" s="2" t="s">
        <v>43</v>
      </c>
      <c r="D402" s="2"/>
      <c r="E402" s="2" t="s">
        <v>43</v>
      </c>
      <c r="F402" s="2"/>
      <c r="G402" s="2" t="s">
        <v>43</v>
      </c>
      <c r="H402" s="2"/>
      <c r="I402" s="2" t="s">
        <v>43</v>
      </c>
      <c r="J402" s="2"/>
      <c r="K402" s="2" t="s">
        <v>43</v>
      </c>
      <c r="L402" s="2"/>
      <c r="M402" s="2">
        <v>105</v>
      </c>
      <c r="N402" s="2"/>
      <c r="O402" s="2" t="s">
        <v>43</v>
      </c>
      <c r="P402" s="2" t="s">
        <v>44</v>
      </c>
      <c r="Q402" s="2">
        <v>104</v>
      </c>
      <c r="R402" s="2"/>
      <c r="S402" s="2">
        <v>333</v>
      </c>
      <c r="T402" s="2" t="s">
        <v>334</v>
      </c>
      <c r="U402" s="2">
        <v>113</v>
      </c>
      <c r="V402" s="2"/>
      <c r="W402" s="2">
        <v>78</v>
      </c>
      <c r="X402" s="2"/>
      <c r="Y402" s="2" t="s">
        <v>43</v>
      </c>
      <c r="Z402" s="2"/>
      <c r="AA402" s="2" t="s">
        <v>43</v>
      </c>
      <c r="AB402" s="2"/>
      <c r="AC402" s="2" t="str">
        <f>""</f>
        <v/>
      </c>
      <c r="AD402" s="2" t="str">
        <f>""</f>
        <v/>
      </c>
      <c r="AE402" s="2" t="str">
        <f>""</f>
        <v/>
      </c>
      <c r="AF402" s="2" t="str">
        <f>""</f>
        <v/>
      </c>
      <c r="AG402" s="2" t="str">
        <f>""</f>
        <v/>
      </c>
      <c r="AH402" s="2" t="str">
        <f>""</f>
        <v/>
      </c>
    </row>
    <row r="403" spans="1:34">
      <c r="A403" t="s">
        <v>1108</v>
      </c>
      <c r="B403" t="s">
        <v>1109</v>
      </c>
      <c r="C403" s="2" t="s">
        <v>43</v>
      </c>
      <c r="D403" s="2"/>
      <c r="E403" s="2" t="s">
        <v>43</v>
      </c>
      <c r="F403" s="2"/>
      <c r="G403" s="2" t="s">
        <v>43</v>
      </c>
      <c r="H403" s="2"/>
      <c r="I403" s="2" t="s">
        <v>43</v>
      </c>
      <c r="J403" s="2"/>
      <c r="K403" s="2" t="s">
        <v>43</v>
      </c>
      <c r="L403" s="2"/>
      <c r="M403" s="2">
        <v>290</v>
      </c>
      <c r="N403" s="2"/>
      <c r="O403" s="2">
        <v>628</v>
      </c>
      <c r="P403" s="2"/>
      <c r="Q403" s="2">
        <v>541</v>
      </c>
      <c r="R403" s="2"/>
      <c r="S403" s="2">
        <v>773</v>
      </c>
      <c r="T403" s="2" t="s">
        <v>334</v>
      </c>
      <c r="U403" s="2">
        <v>378</v>
      </c>
      <c r="V403" s="2"/>
      <c r="W403" s="2">
        <v>331</v>
      </c>
      <c r="X403" s="2"/>
      <c r="Y403" s="2" t="s">
        <v>43</v>
      </c>
      <c r="Z403" s="2"/>
      <c r="AA403" s="2" t="s">
        <v>43</v>
      </c>
      <c r="AB403" s="2"/>
      <c r="AC403" s="2" t="str">
        <f>""</f>
        <v/>
      </c>
      <c r="AD403" s="2" t="str">
        <f>""</f>
        <v/>
      </c>
      <c r="AE403" s="2" t="str">
        <f>""</f>
        <v/>
      </c>
      <c r="AF403" s="2" t="str">
        <f>""</f>
        <v/>
      </c>
      <c r="AG403" s="2" t="str">
        <f>""</f>
        <v/>
      </c>
      <c r="AH403" s="2" t="str">
        <f>""</f>
        <v/>
      </c>
    </row>
    <row r="404" spans="1:34">
      <c r="A404" t="s">
        <v>1110</v>
      </c>
      <c r="B404" t="s">
        <v>1111</v>
      </c>
      <c r="C404" s="2">
        <v>13386</v>
      </c>
      <c r="D404" s="2"/>
      <c r="E404" s="2">
        <v>11315</v>
      </c>
      <c r="F404" s="2"/>
      <c r="G404" s="2">
        <v>10873</v>
      </c>
      <c r="H404" s="2"/>
      <c r="I404" s="2">
        <v>11042</v>
      </c>
      <c r="J404" s="2"/>
      <c r="K404" s="2">
        <v>11234</v>
      </c>
      <c r="L404" s="2"/>
      <c r="M404" s="2">
        <v>11031</v>
      </c>
      <c r="N404" s="2"/>
      <c r="O404" s="2">
        <v>12179</v>
      </c>
      <c r="P404" s="2"/>
      <c r="Q404" s="2">
        <v>12372</v>
      </c>
      <c r="R404" s="2"/>
      <c r="S404" s="2">
        <v>14718</v>
      </c>
      <c r="T404" s="2" t="s">
        <v>334</v>
      </c>
      <c r="U404" s="2">
        <v>12987</v>
      </c>
      <c r="V404" s="2"/>
      <c r="W404" s="2">
        <v>14226</v>
      </c>
      <c r="X404" s="2"/>
      <c r="Y404" s="2" t="s">
        <v>43</v>
      </c>
      <c r="Z404" s="2"/>
      <c r="AA404" s="2" t="s">
        <v>43</v>
      </c>
      <c r="AB404" s="2"/>
      <c r="AC404" s="2" t="str">
        <f>""</f>
        <v/>
      </c>
      <c r="AD404" s="2" t="str">
        <f>""</f>
        <v/>
      </c>
      <c r="AE404" s="2" t="str">
        <f>""</f>
        <v/>
      </c>
      <c r="AF404" s="2" t="str">
        <f>""</f>
        <v/>
      </c>
      <c r="AG404" s="2" t="str">
        <f>""</f>
        <v/>
      </c>
      <c r="AH404" s="2" t="str">
        <f>""</f>
        <v/>
      </c>
    </row>
    <row r="405" spans="1:34">
      <c r="A405" t="s">
        <v>1112</v>
      </c>
      <c r="B405" t="s">
        <v>1113</v>
      </c>
      <c r="C405" s="2">
        <v>5576</v>
      </c>
      <c r="D405" s="2"/>
      <c r="E405" s="2">
        <v>5574</v>
      </c>
      <c r="F405" s="2"/>
      <c r="G405" s="2">
        <v>4874</v>
      </c>
      <c r="H405" s="2"/>
      <c r="I405" s="2">
        <v>4822</v>
      </c>
      <c r="J405" s="2"/>
      <c r="K405" s="2">
        <v>4771</v>
      </c>
      <c r="L405" s="2"/>
      <c r="M405" s="2">
        <v>5025</v>
      </c>
      <c r="N405" s="2"/>
      <c r="O405" s="2">
        <v>5124</v>
      </c>
      <c r="P405" s="2"/>
      <c r="Q405" s="2">
        <v>5075</v>
      </c>
      <c r="R405" s="2"/>
      <c r="S405" s="2">
        <v>6418</v>
      </c>
      <c r="T405" s="2" t="s">
        <v>334</v>
      </c>
      <c r="U405" s="2">
        <v>6095</v>
      </c>
      <c r="V405" s="2"/>
      <c r="W405" s="2">
        <v>6174</v>
      </c>
      <c r="X405" s="2"/>
      <c r="Y405" s="2" t="s">
        <v>43</v>
      </c>
      <c r="Z405" s="2"/>
      <c r="AA405" s="2" t="s">
        <v>43</v>
      </c>
      <c r="AB405" s="2"/>
      <c r="AC405" s="2" t="str">
        <f>""</f>
        <v/>
      </c>
      <c r="AD405" s="2" t="str">
        <f>""</f>
        <v/>
      </c>
      <c r="AE405" s="2" t="str">
        <f>""</f>
        <v/>
      </c>
      <c r="AF405" s="2" t="str">
        <f>""</f>
        <v/>
      </c>
      <c r="AG405" s="2" t="str">
        <f>""</f>
        <v/>
      </c>
      <c r="AH405" s="2" t="str">
        <f>""</f>
        <v/>
      </c>
    </row>
    <row r="406" spans="1:34">
      <c r="A406" t="s">
        <v>1114</v>
      </c>
      <c r="B406" t="s">
        <v>1115</v>
      </c>
      <c r="C406" s="2">
        <v>2760</v>
      </c>
      <c r="D406" s="2"/>
      <c r="E406" s="2">
        <v>2721</v>
      </c>
      <c r="F406" s="2"/>
      <c r="G406" s="2">
        <v>2869</v>
      </c>
      <c r="H406" s="2"/>
      <c r="I406" s="2">
        <v>2948</v>
      </c>
      <c r="J406" s="2"/>
      <c r="K406" s="2">
        <v>3183</v>
      </c>
      <c r="L406" s="2"/>
      <c r="M406" s="2">
        <v>3269</v>
      </c>
      <c r="N406" s="2"/>
      <c r="O406" s="2">
        <v>3824</v>
      </c>
      <c r="P406" s="2"/>
      <c r="Q406" s="2">
        <v>4162</v>
      </c>
      <c r="R406" s="2"/>
      <c r="S406" s="2">
        <v>4882</v>
      </c>
      <c r="T406" s="2" t="s">
        <v>334</v>
      </c>
      <c r="U406" s="2">
        <v>4371</v>
      </c>
      <c r="V406" s="2"/>
      <c r="W406" s="2">
        <v>5161</v>
      </c>
      <c r="X406" s="2"/>
      <c r="Y406" s="2" t="s">
        <v>43</v>
      </c>
      <c r="Z406" s="2"/>
      <c r="AA406" s="2" t="s">
        <v>43</v>
      </c>
      <c r="AB406" s="2"/>
      <c r="AC406" s="2" t="str">
        <f>""</f>
        <v/>
      </c>
      <c r="AD406" s="2" t="str">
        <f>""</f>
        <v/>
      </c>
      <c r="AE406" s="2" t="str">
        <f>""</f>
        <v/>
      </c>
      <c r="AF406" s="2" t="str">
        <f>""</f>
        <v/>
      </c>
      <c r="AG406" s="2" t="str">
        <f>""</f>
        <v/>
      </c>
      <c r="AH406" s="2" t="str">
        <f>""</f>
        <v/>
      </c>
    </row>
    <row r="407" spans="1:34">
      <c r="A407" t="s">
        <v>1116</v>
      </c>
      <c r="B407" t="s">
        <v>1117</v>
      </c>
      <c r="C407" s="2">
        <v>2633</v>
      </c>
      <c r="D407" s="2"/>
      <c r="E407" s="2">
        <v>1869</v>
      </c>
      <c r="F407" s="2"/>
      <c r="G407" s="2">
        <v>1884</v>
      </c>
      <c r="H407" s="2"/>
      <c r="I407" s="2">
        <v>1711</v>
      </c>
      <c r="J407" s="2"/>
      <c r="K407" s="2">
        <v>1795</v>
      </c>
      <c r="L407" s="2"/>
      <c r="M407" s="2">
        <v>1324</v>
      </c>
      <c r="N407" s="2"/>
      <c r="O407" s="2">
        <v>1493</v>
      </c>
      <c r="P407" s="2"/>
      <c r="Q407" s="2">
        <v>1398</v>
      </c>
      <c r="R407" s="2"/>
      <c r="S407" s="2">
        <v>1623</v>
      </c>
      <c r="T407" s="2" t="s">
        <v>334</v>
      </c>
      <c r="U407" s="2">
        <v>1283</v>
      </c>
      <c r="V407" s="2"/>
      <c r="W407" s="2">
        <v>1484</v>
      </c>
      <c r="X407" s="2"/>
      <c r="Y407" s="2" t="s">
        <v>43</v>
      </c>
      <c r="Z407" s="2"/>
      <c r="AA407" s="2" t="s">
        <v>43</v>
      </c>
      <c r="AB407" s="2"/>
      <c r="AC407" s="2" t="str">
        <f>""</f>
        <v/>
      </c>
      <c r="AD407" s="2" t="str">
        <f>""</f>
        <v/>
      </c>
      <c r="AE407" s="2" t="str">
        <f>""</f>
        <v/>
      </c>
      <c r="AF407" s="2" t="str">
        <f>""</f>
        <v/>
      </c>
      <c r="AG407" s="2" t="str">
        <f>""</f>
        <v/>
      </c>
      <c r="AH407" s="2" t="str">
        <f>""</f>
        <v/>
      </c>
    </row>
    <row r="408" spans="1:34">
      <c r="A408" t="s">
        <v>1118</v>
      </c>
      <c r="B408" t="s">
        <v>1119</v>
      </c>
      <c r="C408" s="2">
        <v>2417</v>
      </c>
      <c r="D408" s="2"/>
      <c r="E408" s="2">
        <v>1151</v>
      </c>
      <c r="F408" s="2"/>
      <c r="G408" s="2">
        <v>1246</v>
      </c>
      <c r="H408" s="2"/>
      <c r="I408" s="2">
        <v>1562</v>
      </c>
      <c r="J408" s="2"/>
      <c r="K408" s="2">
        <v>1484</v>
      </c>
      <c r="L408" s="2"/>
      <c r="M408" s="2">
        <v>1413</v>
      </c>
      <c r="N408" s="2"/>
      <c r="O408" s="2">
        <v>1738</v>
      </c>
      <c r="P408" s="2"/>
      <c r="Q408" s="2">
        <v>1738</v>
      </c>
      <c r="R408" s="2"/>
      <c r="S408" s="2">
        <v>1795</v>
      </c>
      <c r="T408" s="2" t="s">
        <v>334</v>
      </c>
      <c r="U408" s="2">
        <v>1238</v>
      </c>
      <c r="V408" s="2"/>
      <c r="W408" s="2">
        <v>1408</v>
      </c>
      <c r="X408" s="2"/>
      <c r="Y408" s="2" t="s">
        <v>43</v>
      </c>
      <c r="Z408" s="2"/>
      <c r="AA408" s="2" t="s">
        <v>43</v>
      </c>
      <c r="AB408" s="2"/>
      <c r="AC408" s="2" t="str">
        <f>""</f>
        <v/>
      </c>
      <c r="AD408" s="2" t="str">
        <f>""</f>
        <v/>
      </c>
      <c r="AE408" s="2" t="str">
        <f>""</f>
        <v/>
      </c>
      <c r="AF408" s="2" t="str">
        <f>""</f>
        <v/>
      </c>
      <c r="AG408" s="2" t="str">
        <f>""</f>
        <v/>
      </c>
      <c r="AH408" s="2" t="str">
        <f>""</f>
        <v/>
      </c>
    </row>
    <row r="409" spans="1:34">
      <c r="A409" t="s">
        <v>1120</v>
      </c>
      <c r="B409" t="s">
        <v>1121</v>
      </c>
      <c r="C409" s="2">
        <v>11837</v>
      </c>
      <c r="D409" s="2"/>
      <c r="E409" s="2">
        <v>11008</v>
      </c>
      <c r="F409" s="2"/>
      <c r="G409" s="2">
        <v>7419</v>
      </c>
      <c r="H409" s="2"/>
      <c r="I409" s="2">
        <v>8759</v>
      </c>
      <c r="J409" s="2"/>
      <c r="K409" s="2">
        <v>7441</v>
      </c>
      <c r="L409" s="2"/>
      <c r="M409" s="2">
        <v>8734</v>
      </c>
      <c r="N409" s="2"/>
      <c r="O409" s="2">
        <v>7531</v>
      </c>
      <c r="P409" s="2"/>
      <c r="Q409" s="2">
        <v>8253</v>
      </c>
      <c r="R409" s="2"/>
      <c r="S409" s="2">
        <v>9779</v>
      </c>
      <c r="T409" s="2" t="s">
        <v>334</v>
      </c>
      <c r="U409" s="2">
        <v>7942</v>
      </c>
      <c r="V409" s="2"/>
      <c r="W409" s="2">
        <v>8820</v>
      </c>
      <c r="X409" s="2"/>
      <c r="Y409" s="2" t="s">
        <v>43</v>
      </c>
      <c r="Z409" s="2"/>
      <c r="AA409" s="2" t="s">
        <v>43</v>
      </c>
      <c r="AB409" s="2"/>
      <c r="AC409" s="2" t="str">
        <f>""</f>
        <v/>
      </c>
      <c r="AD409" s="2" t="str">
        <f>""</f>
        <v/>
      </c>
      <c r="AE409" s="2" t="str">
        <f>""</f>
        <v/>
      </c>
      <c r="AF409" s="2" t="str">
        <f>""</f>
        <v/>
      </c>
      <c r="AG409" s="2" t="str">
        <f>""</f>
        <v/>
      </c>
      <c r="AH409" s="2" t="str">
        <f>""</f>
        <v/>
      </c>
    </row>
    <row r="410" spans="1:34">
      <c r="A410" t="s">
        <v>1122</v>
      </c>
      <c r="B410" t="s">
        <v>1123</v>
      </c>
      <c r="C410" s="2">
        <v>10157</v>
      </c>
      <c r="D410" s="2"/>
      <c r="E410" s="2">
        <v>9338</v>
      </c>
      <c r="F410" s="2"/>
      <c r="G410" s="2">
        <v>6709</v>
      </c>
      <c r="H410" s="2"/>
      <c r="I410" s="2">
        <v>7370</v>
      </c>
      <c r="J410" s="2"/>
      <c r="K410" s="2">
        <v>7078</v>
      </c>
      <c r="L410" s="2"/>
      <c r="M410" s="2">
        <v>7423</v>
      </c>
      <c r="N410" s="2"/>
      <c r="O410" s="2">
        <v>6690</v>
      </c>
      <c r="P410" s="2"/>
      <c r="Q410" s="2">
        <v>6728</v>
      </c>
      <c r="R410" s="2"/>
      <c r="S410" s="2">
        <v>7839</v>
      </c>
      <c r="T410" s="2" t="s">
        <v>334</v>
      </c>
      <c r="U410" s="2">
        <v>6865</v>
      </c>
      <c r="V410" s="2"/>
      <c r="W410" s="2">
        <v>7115</v>
      </c>
      <c r="X410" s="2"/>
      <c r="Y410" s="2" t="s">
        <v>43</v>
      </c>
      <c r="Z410" s="2"/>
      <c r="AA410" s="2" t="s">
        <v>43</v>
      </c>
      <c r="AB410" s="2"/>
      <c r="AC410" s="2" t="str">
        <f>""</f>
        <v/>
      </c>
      <c r="AD410" s="2" t="str">
        <f>""</f>
        <v/>
      </c>
      <c r="AE410" s="2" t="str">
        <f>""</f>
        <v/>
      </c>
      <c r="AF410" s="2" t="str">
        <f>""</f>
        <v/>
      </c>
      <c r="AG410" s="2" t="str">
        <f>""</f>
        <v/>
      </c>
      <c r="AH410" s="2" t="str">
        <f>""</f>
        <v/>
      </c>
    </row>
    <row r="411" spans="1:34">
      <c r="A411" t="s">
        <v>1124</v>
      </c>
      <c r="B411" t="s">
        <v>1125</v>
      </c>
      <c r="C411" s="2">
        <v>936</v>
      </c>
      <c r="D411" s="2"/>
      <c r="E411" s="2">
        <v>838</v>
      </c>
      <c r="F411" s="2"/>
      <c r="G411" s="2">
        <v>390</v>
      </c>
      <c r="H411" s="2"/>
      <c r="I411" s="2">
        <v>725</v>
      </c>
      <c r="J411" s="2"/>
      <c r="K411" s="2">
        <v>168</v>
      </c>
      <c r="L411" s="2"/>
      <c r="M411" s="2">
        <v>655</v>
      </c>
      <c r="N411" s="2"/>
      <c r="O411" s="2">
        <v>373</v>
      </c>
      <c r="P411" s="2"/>
      <c r="Q411" s="2">
        <v>724</v>
      </c>
      <c r="R411" s="2"/>
      <c r="S411" s="2">
        <v>946</v>
      </c>
      <c r="T411" s="2" t="s">
        <v>334</v>
      </c>
      <c r="U411" s="2">
        <v>604</v>
      </c>
      <c r="V411" s="2"/>
      <c r="W411" s="2">
        <v>942</v>
      </c>
      <c r="X411" s="2"/>
      <c r="Y411" s="2" t="s">
        <v>43</v>
      </c>
      <c r="Z411" s="2"/>
      <c r="AA411" s="2" t="s">
        <v>43</v>
      </c>
      <c r="AB411" s="2"/>
      <c r="AC411" s="2" t="str">
        <f>""</f>
        <v/>
      </c>
      <c r="AD411" s="2" t="str">
        <f>""</f>
        <v/>
      </c>
      <c r="AE411" s="2" t="str">
        <f>""</f>
        <v/>
      </c>
      <c r="AF411" s="2" t="str">
        <f>""</f>
        <v/>
      </c>
      <c r="AG411" s="2" t="str">
        <f>""</f>
        <v/>
      </c>
      <c r="AH411" s="2" t="str">
        <f>""</f>
        <v/>
      </c>
    </row>
    <row r="412" spans="1:34">
      <c r="A412" t="s">
        <v>1126</v>
      </c>
      <c r="B412" t="s">
        <v>1127</v>
      </c>
      <c r="C412" s="2">
        <v>278</v>
      </c>
      <c r="D412" s="2"/>
      <c r="E412" s="2">
        <v>132</v>
      </c>
      <c r="F412" s="2"/>
      <c r="G412" s="2">
        <v>35</v>
      </c>
      <c r="H412" s="2"/>
      <c r="I412" s="2">
        <v>84</v>
      </c>
      <c r="J412" s="2"/>
      <c r="K412" s="2">
        <v>30</v>
      </c>
      <c r="L412" s="2"/>
      <c r="M412" s="2">
        <v>81</v>
      </c>
      <c r="N412" s="2"/>
      <c r="O412" s="2">
        <v>69</v>
      </c>
      <c r="P412" s="2"/>
      <c r="Q412" s="2">
        <v>81</v>
      </c>
      <c r="R412" s="2"/>
      <c r="S412" s="2">
        <v>119</v>
      </c>
      <c r="T412" s="2" t="s">
        <v>334</v>
      </c>
      <c r="U412" s="2">
        <v>51</v>
      </c>
      <c r="V412" s="2"/>
      <c r="W412" s="2">
        <v>188</v>
      </c>
      <c r="X412" s="2"/>
      <c r="Y412" s="2" t="s">
        <v>43</v>
      </c>
      <c r="Z412" s="2"/>
      <c r="AA412" s="2" t="s">
        <v>43</v>
      </c>
      <c r="AB412" s="2"/>
      <c r="AC412" s="2" t="str">
        <f>""</f>
        <v/>
      </c>
      <c r="AD412" s="2" t="str">
        <f>""</f>
        <v/>
      </c>
      <c r="AE412" s="2" t="str">
        <f>""</f>
        <v/>
      </c>
      <c r="AF412" s="2" t="str">
        <f>""</f>
        <v/>
      </c>
      <c r="AG412" s="2" t="str">
        <f>""</f>
        <v/>
      </c>
      <c r="AH412" s="2" t="str">
        <f>""</f>
        <v/>
      </c>
    </row>
    <row r="413" spans="1:34">
      <c r="A413" t="s">
        <v>1128</v>
      </c>
      <c r="B413" t="s">
        <v>1129</v>
      </c>
      <c r="C413" s="2">
        <v>464</v>
      </c>
      <c r="D413" s="2"/>
      <c r="E413" s="2">
        <v>701</v>
      </c>
      <c r="F413" s="2"/>
      <c r="G413" s="2">
        <v>285</v>
      </c>
      <c r="H413" s="2"/>
      <c r="I413" s="2">
        <v>580</v>
      </c>
      <c r="J413" s="2"/>
      <c r="K413" s="2">
        <v>165</v>
      </c>
      <c r="L413" s="2"/>
      <c r="M413" s="2">
        <v>576</v>
      </c>
      <c r="N413" s="2"/>
      <c r="O413" s="2">
        <v>399</v>
      </c>
      <c r="P413" s="2"/>
      <c r="Q413" s="2">
        <v>720</v>
      </c>
      <c r="R413" s="2"/>
      <c r="S413" s="2">
        <v>875</v>
      </c>
      <c r="T413" s="2" t="s">
        <v>334</v>
      </c>
      <c r="U413" s="2">
        <v>421</v>
      </c>
      <c r="V413" s="2"/>
      <c r="W413" s="2">
        <v>574</v>
      </c>
      <c r="X413" s="2"/>
      <c r="Y413" s="2" t="s">
        <v>43</v>
      </c>
      <c r="Z413" s="2"/>
      <c r="AA413" s="2" t="s">
        <v>43</v>
      </c>
      <c r="AB413" s="2"/>
      <c r="AC413" s="2" t="str">
        <f>""</f>
        <v/>
      </c>
      <c r="AD413" s="2" t="str">
        <f>""</f>
        <v/>
      </c>
      <c r="AE413" s="2" t="str">
        <f>""</f>
        <v/>
      </c>
      <c r="AF413" s="2" t="str">
        <f>""</f>
        <v/>
      </c>
      <c r="AG413" s="2" t="str">
        <f>""</f>
        <v/>
      </c>
      <c r="AH413" s="2" t="str">
        <f>""</f>
        <v/>
      </c>
    </row>
    <row r="414" spans="1:34">
      <c r="A414" t="s">
        <v>1130</v>
      </c>
      <c r="B414" t="s">
        <v>1131</v>
      </c>
      <c r="C414" s="2">
        <v>14076</v>
      </c>
      <c r="D414" s="2"/>
      <c r="E414" s="2">
        <v>10188</v>
      </c>
      <c r="F414" s="2"/>
      <c r="G414" s="2">
        <v>8612</v>
      </c>
      <c r="H414" s="2"/>
      <c r="I414" s="2">
        <v>8156</v>
      </c>
      <c r="J414" s="2"/>
      <c r="K414" s="2">
        <v>9089</v>
      </c>
      <c r="L414" s="2"/>
      <c r="M414" s="2">
        <v>10321</v>
      </c>
      <c r="N414" s="2"/>
      <c r="O414" s="2">
        <v>9430</v>
      </c>
      <c r="P414" s="2"/>
      <c r="Q414" s="2">
        <v>9532</v>
      </c>
      <c r="R414" s="2"/>
      <c r="S414" s="2">
        <v>8733</v>
      </c>
      <c r="T414" s="2" t="s">
        <v>334</v>
      </c>
      <c r="U414" s="2">
        <v>10505</v>
      </c>
      <c r="V414" s="2"/>
      <c r="W414" s="2">
        <v>9136</v>
      </c>
      <c r="X414" s="2"/>
      <c r="Y414" s="2" t="s">
        <v>43</v>
      </c>
      <c r="Z414" s="2"/>
      <c r="AA414" s="2" t="s">
        <v>43</v>
      </c>
      <c r="AB414" s="2"/>
      <c r="AC414" s="2" t="str">
        <f>""</f>
        <v/>
      </c>
      <c r="AD414" s="2" t="str">
        <f>""</f>
        <v/>
      </c>
      <c r="AE414" s="2" t="str">
        <f>""</f>
        <v/>
      </c>
      <c r="AF414" s="2" t="str">
        <f>""</f>
        <v/>
      </c>
      <c r="AG414" s="2" t="str">
        <f>""</f>
        <v/>
      </c>
      <c r="AH414" s="2" t="str">
        <f>""</f>
        <v/>
      </c>
    </row>
    <row r="415" spans="1:34">
      <c r="A415" t="s">
        <v>1132</v>
      </c>
      <c r="B415" t="s">
        <v>1133</v>
      </c>
      <c r="C415" s="2">
        <v>10850</v>
      </c>
      <c r="D415" s="2"/>
      <c r="E415" s="2">
        <v>7810</v>
      </c>
      <c r="F415" s="2"/>
      <c r="G415" s="2">
        <v>6700</v>
      </c>
      <c r="H415" s="2"/>
      <c r="I415" s="2">
        <v>6082</v>
      </c>
      <c r="J415" s="2"/>
      <c r="K415" s="2">
        <v>6826</v>
      </c>
      <c r="L415" s="2"/>
      <c r="M415" s="2">
        <v>7859</v>
      </c>
      <c r="N415" s="2"/>
      <c r="O415" s="2">
        <v>7112</v>
      </c>
      <c r="P415" s="2"/>
      <c r="Q415" s="2">
        <v>7315</v>
      </c>
      <c r="R415" s="2"/>
      <c r="S415" s="2">
        <v>6822</v>
      </c>
      <c r="T415" s="2" t="s">
        <v>334</v>
      </c>
      <c r="U415" s="2">
        <v>8167</v>
      </c>
      <c r="V415" s="2"/>
      <c r="W415" s="2">
        <v>7100</v>
      </c>
      <c r="X415" s="2"/>
      <c r="Y415" s="2" t="s">
        <v>43</v>
      </c>
      <c r="Z415" s="2"/>
      <c r="AA415" s="2" t="s">
        <v>43</v>
      </c>
      <c r="AB415" s="2"/>
      <c r="AC415" s="2" t="str">
        <f>""</f>
        <v/>
      </c>
      <c r="AD415" s="2" t="str">
        <f>""</f>
        <v/>
      </c>
      <c r="AE415" s="2" t="str">
        <f>""</f>
        <v/>
      </c>
      <c r="AF415" s="2" t="str">
        <f>""</f>
        <v/>
      </c>
      <c r="AG415" s="2" t="str">
        <f>""</f>
        <v/>
      </c>
      <c r="AH415" s="2" t="str">
        <f>""</f>
        <v/>
      </c>
    </row>
    <row r="416" spans="1:34">
      <c r="A416" t="s">
        <v>1134</v>
      </c>
      <c r="B416" t="s">
        <v>1135</v>
      </c>
      <c r="C416" s="2">
        <v>3226</v>
      </c>
      <c r="D416" s="2"/>
      <c r="E416" s="2">
        <v>2378</v>
      </c>
      <c r="F416" s="2"/>
      <c r="G416" s="2">
        <v>1912</v>
      </c>
      <c r="H416" s="2"/>
      <c r="I416" s="2">
        <v>2074</v>
      </c>
      <c r="J416" s="2"/>
      <c r="K416" s="2">
        <v>2263</v>
      </c>
      <c r="L416" s="2"/>
      <c r="M416" s="2">
        <v>2462</v>
      </c>
      <c r="N416" s="2"/>
      <c r="O416" s="2">
        <v>2317</v>
      </c>
      <c r="P416" s="2"/>
      <c r="Q416" s="2">
        <v>2217</v>
      </c>
      <c r="R416" s="2"/>
      <c r="S416" s="2">
        <v>1911</v>
      </c>
      <c r="T416" s="2" t="s">
        <v>334</v>
      </c>
      <c r="U416" s="2">
        <v>2338</v>
      </c>
      <c r="V416" s="2"/>
      <c r="W416" s="2">
        <v>2036</v>
      </c>
      <c r="X416" s="2"/>
      <c r="Y416" s="2" t="s">
        <v>43</v>
      </c>
      <c r="Z416" s="2"/>
      <c r="AA416" s="2" t="s">
        <v>43</v>
      </c>
      <c r="AB416" s="2"/>
      <c r="AC416" s="2" t="str">
        <f>""</f>
        <v/>
      </c>
      <c r="AD416" s="2" t="str">
        <f>""</f>
        <v/>
      </c>
      <c r="AE416" s="2" t="str">
        <f>""</f>
        <v/>
      </c>
      <c r="AF416" s="2" t="str">
        <f>""</f>
        <v/>
      </c>
      <c r="AG416" s="2" t="str">
        <f>""</f>
        <v/>
      </c>
      <c r="AH416" s="2" t="str">
        <f>""</f>
        <v/>
      </c>
    </row>
    <row r="417" spans="1:34">
      <c r="A417" t="s">
        <v>1136</v>
      </c>
      <c r="B417" t="s">
        <v>1137</v>
      </c>
      <c r="C417" s="2">
        <v>3894</v>
      </c>
      <c r="D417" s="2"/>
      <c r="E417" s="2">
        <v>2648</v>
      </c>
      <c r="F417" s="2"/>
      <c r="G417" s="2">
        <v>2584</v>
      </c>
      <c r="H417" s="2"/>
      <c r="I417" s="2">
        <v>1950</v>
      </c>
      <c r="J417" s="2"/>
      <c r="K417" s="2">
        <v>1975</v>
      </c>
      <c r="L417" s="2"/>
      <c r="M417" s="2">
        <v>2053</v>
      </c>
      <c r="N417" s="2"/>
      <c r="O417" s="2">
        <v>2472</v>
      </c>
      <c r="P417" s="2"/>
      <c r="Q417" s="2">
        <v>3443</v>
      </c>
      <c r="R417" s="2"/>
      <c r="S417" s="2">
        <v>3792</v>
      </c>
      <c r="T417" s="2" t="s">
        <v>334</v>
      </c>
      <c r="U417" s="2">
        <v>3198</v>
      </c>
      <c r="V417" s="2"/>
      <c r="W417" s="2">
        <v>3295</v>
      </c>
      <c r="X417" s="2"/>
      <c r="Y417" s="2" t="s">
        <v>43</v>
      </c>
      <c r="Z417" s="2"/>
      <c r="AA417" s="2" t="s">
        <v>43</v>
      </c>
      <c r="AB417" s="2"/>
      <c r="AC417" s="2" t="str">
        <f>""</f>
        <v/>
      </c>
      <c r="AD417" s="2" t="str">
        <f>""</f>
        <v/>
      </c>
      <c r="AE417" s="2" t="str">
        <f>""</f>
        <v/>
      </c>
      <c r="AF417" s="2" t="str">
        <f>""</f>
        <v/>
      </c>
      <c r="AG417" s="2" t="str">
        <f>""</f>
        <v/>
      </c>
      <c r="AH417" s="2" t="str">
        <f>""</f>
        <v/>
      </c>
    </row>
    <row r="418" spans="1:34">
      <c r="A418" t="s">
        <v>1138</v>
      </c>
      <c r="B418" t="s">
        <v>1139</v>
      </c>
      <c r="C418" s="2" t="s">
        <v>43</v>
      </c>
      <c r="D418" s="2" t="s">
        <v>44</v>
      </c>
      <c r="E418" s="2">
        <v>1186</v>
      </c>
      <c r="F418" s="2"/>
      <c r="G418" s="2" t="s">
        <v>43</v>
      </c>
      <c r="H418" s="2" t="s">
        <v>44</v>
      </c>
      <c r="I418" s="2" t="s">
        <v>43</v>
      </c>
      <c r="J418" s="2" t="s">
        <v>44</v>
      </c>
      <c r="K418" s="2">
        <v>563</v>
      </c>
      <c r="L418" s="2"/>
      <c r="M418" s="2">
        <v>639</v>
      </c>
      <c r="N418" s="2"/>
      <c r="O418" s="2">
        <v>980</v>
      </c>
      <c r="P418" s="2"/>
      <c r="Q418" s="2">
        <v>1564</v>
      </c>
      <c r="R418" s="2"/>
      <c r="S418" s="2" t="s">
        <v>43</v>
      </c>
      <c r="T418" s="2"/>
      <c r="U418" s="2" t="s">
        <v>43</v>
      </c>
      <c r="V418" s="2"/>
      <c r="W418" s="2" t="s">
        <v>43</v>
      </c>
      <c r="X418" s="2"/>
      <c r="Y418" s="2" t="s">
        <v>43</v>
      </c>
      <c r="Z418" s="2"/>
      <c r="AA418" s="2" t="s">
        <v>43</v>
      </c>
      <c r="AB418" s="2"/>
      <c r="AC418" s="2" t="str">
        <f>""</f>
        <v/>
      </c>
      <c r="AD418" s="2" t="str">
        <f>""</f>
        <v/>
      </c>
      <c r="AE418" s="2" t="str">
        <f>""</f>
        <v/>
      </c>
      <c r="AF418" s="2" t="str">
        <f>""</f>
        <v/>
      </c>
      <c r="AG418" s="2" t="str">
        <f>""</f>
        <v/>
      </c>
      <c r="AH418" s="2" t="str">
        <f>""</f>
        <v/>
      </c>
    </row>
    <row r="419" spans="1:34">
      <c r="A419" t="s">
        <v>1140</v>
      </c>
      <c r="B419" t="s">
        <v>1141</v>
      </c>
      <c r="C419" s="2">
        <v>1431</v>
      </c>
      <c r="D419" s="2"/>
      <c r="E419" s="2">
        <v>905</v>
      </c>
      <c r="F419" s="2"/>
      <c r="G419" s="2">
        <v>868</v>
      </c>
      <c r="H419" s="2"/>
      <c r="I419" s="2">
        <v>974</v>
      </c>
      <c r="J419" s="2"/>
      <c r="K419" s="2" t="s">
        <v>43</v>
      </c>
      <c r="L419" s="2" t="s">
        <v>44</v>
      </c>
      <c r="M419" s="2" t="s">
        <v>43</v>
      </c>
      <c r="N419" s="2" t="s">
        <v>44</v>
      </c>
      <c r="O419" s="2" t="s">
        <v>43</v>
      </c>
      <c r="P419" s="2" t="s">
        <v>44</v>
      </c>
      <c r="Q419" s="2">
        <v>1390</v>
      </c>
      <c r="R419" s="2"/>
      <c r="S419" s="2" t="s">
        <v>43</v>
      </c>
      <c r="T419" s="2"/>
      <c r="U419" s="2" t="s">
        <v>43</v>
      </c>
      <c r="V419" s="2"/>
      <c r="W419" s="2" t="s">
        <v>43</v>
      </c>
      <c r="X419" s="2"/>
      <c r="Y419" s="2" t="s">
        <v>43</v>
      </c>
      <c r="Z419" s="2"/>
      <c r="AA419" s="2" t="s">
        <v>43</v>
      </c>
      <c r="AB419" s="2"/>
      <c r="AC419" s="2" t="str">
        <f>""</f>
        <v/>
      </c>
      <c r="AD419" s="2" t="str">
        <f>""</f>
        <v/>
      </c>
      <c r="AE419" s="2" t="str">
        <f>""</f>
        <v/>
      </c>
      <c r="AF419" s="2" t="str">
        <f>""</f>
        <v/>
      </c>
      <c r="AG419" s="2" t="str">
        <f>""</f>
        <v/>
      </c>
      <c r="AH419" s="2" t="str">
        <f>""</f>
        <v/>
      </c>
    </row>
    <row r="420" spans="1:34">
      <c r="A420" t="s">
        <v>1142</v>
      </c>
      <c r="B420" t="s">
        <v>1143</v>
      </c>
      <c r="C420" s="2" t="s">
        <v>43</v>
      </c>
      <c r="D420" s="2" t="s">
        <v>44</v>
      </c>
      <c r="E420" s="2">
        <v>540</v>
      </c>
      <c r="F420" s="2"/>
      <c r="G420" s="2" t="s">
        <v>43</v>
      </c>
      <c r="H420" s="2" t="s">
        <v>44</v>
      </c>
      <c r="I420" s="2" t="s">
        <v>43</v>
      </c>
      <c r="J420" s="2" t="s">
        <v>44</v>
      </c>
      <c r="K420" s="2" t="s">
        <v>43</v>
      </c>
      <c r="L420" s="2" t="s">
        <v>44</v>
      </c>
      <c r="M420" s="2" t="s">
        <v>43</v>
      </c>
      <c r="N420" s="2" t="s">
        <v>44</v>
      </c>
      <c r="O420" s="2" t="s">
        <v>43</v>
      </c>
      <c r="P420" s="2" t="s">
        <v>44</v>
      </c>
      <c r="Q420" s="2">
        <v>475</v>
      </c>
      <c r="R420" s="2"/>
      <c r="S420" s="2">
        <v>505</v>
      </c>
      <c r="T420" s="2" t="s">
        <v>334</v>
      </c>
      <c r="U420" s="2">
        <v>500</v>
      </c>
      <c r="V420" s="2"/>
      <c r="W420" s="2">
        <v>476</v>
      </c>
      <c r="X420" s="2"/>
      <c r="Y420" s="2" t="s">
        <v>43</v>
      </c>
      <c r="Z420" s="2"/>
      <c r="AA420" s="2" t="s">
        <v>43</v>
      </c>
      <c r="AB420" s="2"/>
      <c r="AC420" s="2" t="str">
        <f>""</f>
        <v/>
      </c>
      <c r="AD420" s="2" t="str">
        <f>""</f>
        <v/>
      </c>
      <c r="AE420" s="2" t="str">
        <f>""</f>
        <v/>
      </c>
      <c r="AF420" s="2" t="str">
        <f>""</f>
        <v/>
      </c>
      <c r="AG420" s="2" t="str">
        <f>""</f>
        <v/>
      </c>
      <c r="AH420" s="2" t="str">
        <f>""</f>
        <v/>
      </c>
    </row>
    <row r="421" spans="1:34">
      <c r="A421" t="s">
        <v>1144</v>
      </c>
      <c r="B421" t="s">
        <v>1145</v>
      </c>
      <c r="C421" s="2">
        <v>60</v>
      </c>
      <c r="D421" s="2"/>
      <c r="E421" s="2">
        <v>17</v>
      </c>
      <c r="F421" s="2"/>
      <c r="G421" s="2">
        <v>11</v>
      </c>
      <c r="H421" s="2"/>
      <c r="I421" s="2">
        <v>7</v>
      </c>
      <c r="J421" s="2"/>
      <c r="K421" s="2">
        <v>6</v>
      </c>
      <c r="L421" s="2"/>
      <c r="M421" s="2">
        <v>5</v>
      </c>
      <c r="N421" s="2"/>
      <c r="O421" s="2">
        <v>11</v>
      </c>
      <c r="P421" s="2"/>
      <c r="Q421" s="2">
        <v>14</v>
      </c>
      <c r="R421" s="2"/>
      <c r="S421" s="2">
        <v>14</v>
      </c>
      <c r="T421" s="2" t="s">
        <v>334</v>
      </c>
      <c r="U421" s="2">
        <v>12</v>
      </c>
      <c r="V421" s="2"/>
      <c r="W421" s="2">
        <v>17</v>
      </c>
      <c r="X421" s="2"/>
      <c r="Y421" s="2" t="s">
        <v>43</v>
      </c>
      <c r="Z421" s="2"/>
      <c r="AA421" s="2" t="s">
        <v>43</v>
      </c>
      <c r="AB421" s="2"/>
      <c r="AC421" s="2" t="str">
        <f>""</f>
        <v/>
      </c>
      <c r="AD421" s="2" t="str">
        <f>""</f>
        <v/>
      </c>
      <c r="AE421" s="2" t="str">
        <f>""</f>
        <v/>
      </c>
      <c r="AF421" s="2" t="str">
        <f>""</f>
        <v/>
      </c>
      <c r="AG421" s="2" t="str">
        <f>""</f>
        <v/>
      </c>
      <c r="AH421" s="2" t="str">
        <f>""</f>
        <v/>
      </c>
    </row>
    <row r="422" spans="1:34">
      <c r="A422" t="s">
        <v>1146</v>
      </c>
      <c r="B422" t="s">
        <v>1147</v>
      </c>
      <c r="C422" s="2" t="s">
        <v>43</v>
      </c>
      <c r="D422" s="2"/>
      <c r="E422" s="2" t="s">
        <v>43</v>
      </c>
      <c r="F422" s="2"/>
      <c r="G422" s="2" t="s">
        <v>43</v>
      </c>
      <c r="H422" s="2"/>
      <c r="I422" s="2" t="s">
        <v>43</v>
      </c>
      <c r="J422" s="2"/>
      <c r="K422" s="2" t="s">
        <v>43</v>
      </c>
      <c r="L422" s="2"/>
      <c r="M422" s="2" t="s">
        <v>43</v>
      </c>
      <c r="N422" s="2"/>
      <c r="O422" s="2" t="s">
        <v>43</v>
      </c>
      <c r="P422" s="2"/>
      <c r="Q422" s="2" t="s">
        <v>43</v>
      </c>
      <c r="R422" s="2"/>
      <c r="S422" s="2">
        <v>1730</v>
      </c>
      <c r="T422" s="2" t="s">
        <v>334</v>
      </c>
      <c r="U422" s="2">
        <v>1392</v>
      </c>
      <c r="V422" s="2"/>
      <c r="W422" s="2">
        <v>1447</v>
      </c>
      <c r="X422" s="2"/>
      <c r="Y422" s="2" t="s">
        <v>43</v>
      </c>
      <c r="Z422" s="2"/>
      <c r="AA422" s="2" t="s">
        <v>43</v>
      </c>
      <c r="AB422" s="2"/>
      <c r="AC422" s="2" t="str">
        <f>""</f>
        <v/>
      </c>
      <c r="AD422" s="2" t="str">
        <f>""</f>
        <v/>
      </c>
      <c r="AE422" s="2" t="str">
        <f>""</f>
        <v/>
      </c>
      <c r="AF422" s="2" t="str">
        <f>""</f>
        <v/>
      </c>
      <c r="AG422" s="2" t="str">
        <f>""</f>
        <v/>
      </c>
      <c r="AH422" s="2" t="str">
        <f>""</f>
        <v/>
      </c>
    </row>
    <row r="423" spans="1:34">
      <c r="A423" t="s">
        <v>1148</v>
      </c>
      <c r="B423" t="s">
        <v>1149</v>
      </c>
      <c r="C423" s="2" t="s">
        <v>43</v>
      </c>
      <c r="D423" s="2"/>
      <c r="E423" s="2" t="s">
        <v>43</v>
      </c>
      <c r="F423" s="2"/>
      <c r="G423" s="2" t="s">
        <v>43</v>
      </c>
      <c r="H423" s="2"/>
      <c r="I423" s="2" t="s">
        <v>43</v>
      </c>
      <c r="J423" s="2"/>
      <c r="K423" s="2" t="s">
        <v>43</v>
      </c>
      <c r="L423" s="2"/>
      <c r="M423" s="2" t="s">
        <v>43</v>
      </c>
      <c r="N423" s="2"/>
      <c r="O423" s="2" t="s">
        <v>43</v>
      </c>
      <c r="P423" s="2"/>
      <c r="Q423" s="2" t="s">
        <v>43</v>
      </c>
      <c r="R423" s="2"/>
      <c r="S423" s="2">
        <v>1038</v>
      </c>
      <c r="T423" s="2" t="s">
        <v>334</v>
      </c>
      <c r="U423" s="2">
        <v>847</v>
      </c>
      <c r="V423" s="2"/>
      <c r="W423" s="2">
        <v>976</v>
      </c>
      <c r="X423" s="2"/>
      <c r="Y423" s="2" t="s">
        <v>43</v>
      </c>
      <c r="Z423" s="2"/>
      <c r="AA423" s="2" t="s">
        <v>43</v>
      </c>
      <c r="AB423" s="2"/>
      <c r="AC423" s="2" t="str">
        <f>""</f>
        <v/>
      </c>
      <c r="AD423" s="2" t="str">
        <f>""</f>
        <v/>
      </c>
      <c r="AE423" s="2" t="str">
        <f>""</f>
        <v/>
      </c>
      <c r="AF423" s="2" t="str">
        <f>""</f>
        <v/>
      </c>
      <c r="AG423" s="2" t="str">
        <f>""</f>
        <v/>
      </c>
      <c r="AH423" s="2" t="str">
        <f>""</f>
        <v/>
      </c>
    </row>
    <row r="424" spans="1:34">
      <c r="A424" t="s">
        <v>1150</v>
      </c>
      <c r="B424" t="s">
        <v>1151</v>
      </c>
      <c r="C424" s="2" t="s">
        <v>43</v>
      </c>
      <c r="D424" s="2"/>
      <c r="E424" s="2" t="s">
        <v>43</v>
      </c>
      <c r="F424" s="2"/>
      <c r="G424" s="2" t="s">
        <v>43</v>
      </c>
      <c r="H424" s="2"/>
      <c r="I424" s="2" t="s">
        <v>43</v>
      </c>
      <c r="J424" s="2"/>
      <c r="K424" s="2" t="s">
        <v>43</v>
      </c>
      <c r="L424" s="2"/>
      <c r="M424" s="2" t="s">
        <v>43</v>
      </c>
      <c r="N424" s="2"/>
      <c r="O424" s="2" t="s">
        <v>43</v>
      </c>
      <c r="P424" s="2"/>
      <c r="Q424" s="2" t="s">
        <v>43</v>
      </c>
      <c r="R424" s="2"/>
      <c r="S424" s="2">
        <v>505</v>
      </c>
      <c r="T424" s="2" t="s">
        <v>334</v>
      </c>
      <c r="U424" s="2">
        <v>447</v>
      </c>
      <c r="V424" s="2"/>
      <c r="W424" s="2">
        <v>379</v>
      </c>
      <c r="X424" s="2"/>
      <c r="Y424" s="2" t="s">
        <v>43</v>
      </c>
      <c r="Z424" s="2"/>
      <c r="AA424" s="2" t="s">
        <v>43</v>
      </c>
      <c r="AB424" s="2"/>
      <c r="AC424" s="2" t="str">
        <f>""</f>
        <v/>
      </c>
      <c r="AD424" s="2" t="str">
        <f>""</f>
        <v/>
      </c>
      <c r="AE424" s="2" t="str">
        <f>""</f>
        <v/>
      </c>
      <c r="AF424" s="2" t="str">
        <f>""</f>
        <v/>
      </c>
      <c r="AG424" s="2" t="str">
        <f>""</f>
        <v/>
      </c>
      <c r="AH424" s="2" t="str">
        <f>""</f>
        <v/>
      </c>
    </row>
    <row r="425" spans="1:34">
      <c r="A425" t="s">
        <v>1152</v>
      </c>
      <c r="B425" t="s">
        <v>1153</v>
      </c>
      <c r="C425" s="2">
        <v>3624</v>
      </c>
      <c r="D425" s="2"/>
      <c r="E425" s="2">
        <v>3304</v>
      </c>
      <c r="F425" s="2"/>
      <c r="G425" s="2">
        <v>2665</v>
      </c>
      <c r="H425" s="2"/>
      <c r="I425" s="2">
        <v>2952</v>
      </c>
      <c r="J425" s="2"/>
      <c r="K425" s="2">
        <v>3050</v>
      </c>
      <c r="L425" s="2"/>
      <c r="M425" s="2">
        <v>3522</v>
      </c>
      <c r="N425" s="2"/>
      <c r="O425" s="2">
        <v>3781</v>
      </c>
      <c r="P425" s="2"/>
      <c r="Q425" s="2">
        <v>3735</v>
      </c>
      <c r="R425" s="2"/>
      <c r="S425" s="2">
        <v>3880</v>
      </c>
      <c r="T425" s="2" t="s">
        <v>334</v>
      </c>
      <c r="U425" s="2">
        <v>3685</v>
      </c>
      <c r="V425" s="2"/>
      <c r="W425" s="2">
        <v>3739</v>
      </c>
      <c r="X425" s="2"/>
      <c r="Y425" s="2" t="s">
        <v>43</v>
      </c>
      <c r="Z425" s="2"/>
      <c r="AA425" s="2" t="s">
        <v>43</v>
      </c>
      <c r="AB425" s="2"/>
      <c r="AC425" s="2" t="str">
        <f>""</f>
        <v/>
      </c>
      <c r="AD425" s="2" t="str">
        <f>""</f>
        <v/>
      </c>
      <c r="AE425" s="2" t="str">
        <f>""</f>
        <v/>
      </c>
      <c r="AF425" s="2" t="str">
        <f>""</f>
        <v/>
      </c>
      <c r="AG425" s="2" t="str">
        <f>""</f>
        <v/>
      </c>
      <c r="AH425" s="2" t="str">
        <f>""</f>
        <v/>
      </c>
    </row>
    <row r="426" spans="1:34">
      <c r="A426" t="s">
        <v>1154</v>
      </c>
      <c r="B426" t="s">
        <v>1153</v>
      </c>
      <c r="C426" s="2">
        <v>3624</v>
      </c>
      <c r="D426" s="2"/>
      <c r="E426" s="2">
        <v>3304</v>
      </c>
      <c r="F426" s="2"/>
      <c r="G426" s="2">
        <v>2665</v>
      </c>
      <c r="H426" s="2"/>
      <c r="I426" s="2">
        <v>2952</v>
      </c>
      <c r="J426" s="2"/>
      <c r="K426" s="2">
        <v>3050</v>
      </c>
      <c r="L426" s="2"/>
      <c r="M426" s="2">
        <v>3522</v>
      </c>
      <c r="N426" s="2"/>
      <c r="O426" s="2">
        <v>3781</v>
      </c>
      <c r="P426" s="2"/>
      <c r="Q426" s="2">
        <v>3735</v>
      </c>
      <c r="R426" s="2"/>
      <c r="S426" s="2">
        <v>3880</v>
      </c>
      <c r="T426" s="2" t="s">
        <v>334</v>
      </c>
      <c r="U426" s="2">
        <v>3685</v>
      </c>
      <c r="V426" s="2"/>
      <c r="W426" s="2">
        <v>3739</v>
      </c>
      <c r="X426" s="2"/>
      <c r="Y426" s="2" t="s">
        <v>43</v>
      </c>
      <c r="Z426" s="2"/>
      <c r="AA426" s="2" t="s">
        <v>43</v>
      </c>
      <c r="AB426" s="2"/>
      <c r="AC426" s="2" t="str">
        <f>""</f>
        <v/>
      </c>
      <c r="AD426" s="2" t="str">
        <f>""</f>
        <v/>
      </c>
      <c r="AE426" s="2" t="str">
        <f>""</f>
        <v/>
      </c>
      <c r="AF426" s="2" t="str">
        <f>""</f>
        <v/>
      </c>
      <c r="AG426" s="2" t="str">
        <f>""</f>
        <v/>
      </c>
      <c r="AH426" s="2" t="str">
        <f>""</f>
        <v/>
      </c>
    </row>
    <row r="427" spans="1:34">
      <c r="A427" t="s">
        <v>808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 t="str">
        <f>Post2020_Derivation!G412</f>
        <v/>
      </c>
      <c r="AD427" s="2" t="e">
        <f ca="1">IF(Post2020_Derivation!H412="","",Post2020_Derivation!H412)</f>
        <v>#NAME?</v>
      </c>
      <c r="AE427" s="2" t="str">
        <f>Post2020_Derivation!M412</f>
        <v/>
      </c>
      <c r="AF427" s="2" t="e">
        <f ca="1">IF(Post2020_Derivation!N412="","",Post2020_Derivation!N412)</f>
        <v>#NAME?</v>
      </c>
      <c r="AG427" s="2" t="str">
        <f>Post2020_Derivation!S412</f>
        <v/>
      </c>
      <c r="AH427" s="2" t="e">
        <f ca="1">IF(Post2020_Derivation!T412="","",Post2020_Derivation!T412)</f>
        <v>#NAME?</v>
      </c>
    </row>
    <row r="428" spans="1:34">
      <c r="A428" t="s">
        <v>43</v>
      </c>
      <c r="B428" t="s">
        <v>809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 t="str">
        <f>Post2020_Derivation!G413</f>
        <v/>
      </c>
      <c r="AD428" s="2" t="e">
        <f ca="1">IF(Post2020_Derivation!H413="","",Post2020_Derivation!H413)</f>
        <v>#NAME?</v>
      </c>
      <c r="AE428" s="2" t="str">
        <f>Post2020_Derivation!M413</f>
        <v/>
      </c>
      <c r="AF428" s="2" t="e">
        <f ca="1">IF(Post2020_Derivation!N413="","",Post2020_Derivation!N413)</f>
        <v>#NAME?</v>
      </c>
      <c r="AG428" s="2" t="str">
        <f>Post2020_Derivation!S413</f>
        <v/>
      </c>
      <c r="AH428" s="2" t="e">
        <f ca="1">IF(Post2020_Derivation!T413="","",Post2020_Derivation!T413)</f>
        <v>#NAME?</v>
      </c>
    </row>
    <row r="429" spans="1:34">
      <c r="A429" t="s">
        <v>810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 t="str">
        <f>Post2020_Derivation!G414</f>
        <v/>
      </c>
      <c r="AD429" s="2" t="e">
        <f ca="1">IF(Post2020_Derivation!H414="","",Post2020_Derivation!H414)</f>
        <v>#NAME?</v>
      </c>
      <c r="AE429" s="2" t="str">
        <f>Post2020_Derivation!M414</f>
        <v/>
      </c>
      <c r="AF429" s="2" t="e">
        <f ca="1">IF(Post2020_Derivation!N414="","",Post2020_Derivation!N414)</f>
        <v>#NAME?</v>
      </c>
      <c r="AG429" s="2" t="str">
        <f>Post2020_Derivation!S414</f>
        <v/>
      </c>
      <c r="AH429" s="2" t="e">
        <f ca="1">IF(Post2020_Derivation!T414="","",Post2020_Derivation!T414)</f>
        <v>#NAME?</v>
      </c>
    </row>
    <row r="430" spans="1:34">
      <c r="A430" t="s">
        <v>334</v>
      </c>
      <c r="B430" t="s">
        <v>811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 t="str">
        <f>Post2020_Derivation!G415</f>
        <v/>
      </c>
      <c r="AD430" s="2" t="e">
        <f ca="1">IF(Post2020_Derivation!H415="","",Post2020_Derivation!H415)</f>
        <v>#NAME?</v>
      </c>
      <c r="AE430" s="2" t="str">
        <f>Post2020_Derivation!M415</f>
        <v/>
      </c>
      <c r="AF430" s="2" t="e">
        <f ca="1">IF(Post2020_Derivation!N415="","",Post2020_Derivation!N415)</f>
        <v>#NAME?</v>
      </c>
      <c r="AG430" s="2" t="str">
        <f>Post2020_Derivation!S415</f>
        <v/>
      </c>
      <c r="AH430" s="2" t="e">
        <f ca="1">IF(Post2020_Derivation!T415="","",Post2020_Derivation!T415)</f>
        <v>#NAME?</v>
      </c>
    </row>
    <row r="431" spans="1:34">
      <c r="A431" t="s">
        <v>847</v>
      </c>
      <c r="B431" t="s">
        <v>1155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 t="str">
        <f>""</f>
        <v/>
      </c>
      <c r="AD431" s="2" t="str">
        <f>""</f>
        <v/>
      </c>
      <c r="AE431" s="2" t="str">
        <f>""</f>
        <v/>
      </c>
      <c r="AF431" s="2" t="str">
        <f>""</f>
        <v/>
      </c>
      <c r="AG431" s="2" t="str">
        <f>""</f>
        <v/>
      </c>
      <c r="AH431" s="2" t="str">
        <f>""</f>
        <v/>
      </c>
    </row>
    <row r="432" spans="1:34">
      <c r="A432" t="s">
        <v>846</v>
      </c>
      <c r="B432" t="s">
        <v>1156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 t="str">
        <f>""</f>
        <v/>
      </c>
      <c r="AD432" s="2" t="str">
        <f>""</f>
        <v/>
      </c>
      <c r="AE432" s="2" t="str">
        <f>""</f>
        <v/>
      </c>
      <c r="AF432" s="2" t="str">
        <f>""</f>
        <v/>
      </c>
      <c r="AG432" s="2" t="str">
        <f>""</f>
        <v/>
      </c>
      <c r="AH432" s="2" t="str">
        <f>""</f>
        <v/>
      </c>
    </row>
    <row r="433" spans="1:34">
      <c r="A433" t="s">
        <v>812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 t="str">
        <f>Post2020_Derivation!G416</f>
        <v/>
      </c>
      <c r="AD433" s="2" t="e">
        <f ca="1">IF(Post2020_Derivation!H416="","",Post2020_Derivation!H416)</f>
        <v>#NAME?</v>
      </c>
      <c r="AE433" s="2" t="str">
        <f>Post2020_Derivation!M416</f>
        <v/>
      </c>
      <c r="AF433" s="2" t="e">
        <f ca="1">IF(Post2020_Derivation!N416="","",Post2020_Derivation!N416)</f>
        <v>#NAME?</v>
      </c>
      <c r="AG433" s="2" t="str">
        <f>Post2020_Derivation!S416</f>
        <v/>
      </c>
      <c r="AH433" s="2" t="e">
        <f ca="1">IF(Post2020_Derivation!T416="","",Post2020_Derivation!T416)</f>
        <v>#NAME?</v>
      </c>
    </row>
    <row r="434" spans="1:34">
      <c r="A434" t="s">
        <v>44</v>
      </c>
      <c r="B434" t="s">
        <v>813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 t="str">
        <f>Post2020_Derivation!G417</f>
        <v/>
      </c>
      <c r="AD434" s="2" t="e">
        <f ca="1">IF(Post2020_Derivation!H417="","",Post2020_Derivation!H417)</f>
        <v>#NAME?</v>
      </c>
      <c r="AE434" s="2" t="str">
        <f>Post2020_Derivation!M417</f>
        <v/>
      </c>
      <c r="AF434" s="2" t="e">
        <f ca="1">IF(Post2020_Derivation!N417="","",Post2020_Derivation!N417)</f>
        <v>#NAME?</v>
      </c>
      <c r="AG434" s="2" t="str">
        <f>Post2020_Derivation!S417</f>
        <v/>
      </c>
      <c r="AH434" s="2" t="e">
        <f ca="1">IF(Post2020_Derivation!T417="","",Post2020_Derivation!T417)</f>
        <v>#NAME?</v>
      </c>
    </row>
    <row r="435" spans="1:34">
      <c r="A435" t="s">
        <v>886</v>
      </c>
      <c r="B435" t="s">
        <v>1157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 t="str">
        <f>""</f>
        <v/>
      </c>
      <c r="AD435" s="2" t="str">
        <f>""</f>
        <v/>
      </c>
      <c r="AE435" s="2" t="str">
        <f>""</f>
        <v/>
      </c>
      <c r="AF435" s="2" t="str">
        <f>""</f>
        <v/>
      </c>
      <c r="AG435" s="2" t="str">
        <f>""</f>
        <v/>
      </c>
      <c r="AH435" s="2" t="str">
        <f>""</f>
        <v/>
      </c>
    </row>
    <row r="436" spans="1:34">
      <c r="A436" t="s">
        <v>887</v>
      </c>
      <c r="B436" t="s">
        <v>1158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 t="str">
        <f>""</f>
        <v/>
      </c>
      <c r="AD436" s="2" t="str">
        <f>""</f>
        <v/>
      </c>
      <c r="AE436" s="2" t="str">
        <f>""</f>
        <v/>
      </c>
      <c r="AF436" s="2" t="str">
        <f>""</f>
        <v/>
      </c>
      <c r="AG436" s="2" t="str">
        <f>""</f>
        <v/>
      </c>
      <c r="AH436" s="2" t="str">
        <f>""</f>
        <v/>
      </c>
    </row>
    <row r="437" spans="1:34">
      <c r="A437" t="s">
        <v>888</v>
      </c>
      <c r="B437" t="s">
        <v>1159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 t="str">
        <f>""</f>
        <v/>
      </c>
      <c r="AD437" s="2" t="str">
        <f>""</f>
        <v/>
      </c>
      <c r="AE437" s="2" t="str">
        <f>""</f>
        <v/>
      </c>
      <c r="AF437" s="2" t="str">
        <f>""</f>
        <v/>
      </c>
      <c r="AG437" s="2" t="str">
        <f>""</f>
        <v/>
      </c>
      <c r="AH437" s="2" t="str">
        <f>""</f>
        <v/>
      </c>
    </row>
    <row r="438" spans="1:34">
      <c r="A438" t="s">
        <v>67</v>
      </c>
      <c r="B438" t="s">
        <v>68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 t="str">
        <f>Post2020_Derivation!G17</f>
        <v/>
      </c>
      <c r="AD438" s="2" t="e">
        <f ca="1">IF(Post2020_Derivation!H17="","",Post2020_Derivation!H17)</f>
        <v>#NAME?</v>
      </c>
      <c r="AE438" s="2">
        <f>Post2020_Derivation!M17</f>
        <v>18</v>
      </c>
      <c r="AF438" s="2" t="e">
        <f ca="1">IF(Post2020_Derivation!N17="","",Post2020_Derivation!N17)</f>
        <v>#NAME?</v>
      </c>
      <c r="AG438" s="2">
        <f>Post2020_Derivation!S17</f>
        <v>32</v>
      </c>
      <c r="AH438" s="2" t="e">
        <f ca="1">IF(Post2020_Derivation!T17="","",Post2020_Derivation!T17)</f>
        <v>#NAME?</v>
      </c>
    </row>
    <row r="439" spans="1:34">
      <c r="A439" t="s">
        <v>69</v>
      </c>
      <c r="B439" t="s">
        <v>70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 t="str">
        <f>Post2020_Derivation!G18</f>
        <v/>
      </c>
      <c r="AD439" s="2" t="e">
        <f ca="1">IF(Post2020_Derivation!H18="","",Post2020_Derivation!H18)</f>
        <v>#NAME?</v>
      </c>
      <c r="AE439" s="2">
        <f>Post2020_Derivation!M18</f>
        <v>18</v>
      </c>
      <c r="AF439" s="2" t="e">
        <f ca="1">IF(Post2020_Derivation!N18="","",Post2020_Derivation!N18)</f>
        <v>#NAME?</v>
      </c>
      <c r="AG439" s="2">
        <f>Post2020_Derivation!S18</f>
        <v>32</v>
      </c>
      <c r="AH439" s="2" t="e">
        <f ca="1">IF(Post2020_Derivation!T18="","",Post2020_Derivation!T18)</f>
        <v>#NAME?</v>
      </c>
    </row>
    <row r="440" spans="1:34">
      <c r="A440" t="s">
        <v>125</v>
      </c>
      <c r="B440" t="s">
        <v>68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 t="str">
        <f>Post2020_Derivation!G47</f>
        <v/>
      </c>
      <c r="AD440" s="2" t="e">
        <f ca="1">IF(Post2020_Derivation!H47="","",Post2020_Derivation!H47)</f>
        <v>#NAME?</v>
      </c>
      <c r="AE440" s="2" t="str">
        <f>Post2020_Derivation!M47</f>
        <v/>
      </c>
      <c r="AF440" s="2" t="e">
        <f ca="1">IF(Post2020_Derivation!N47="","",Post2020_Derivation!N47)</f>
        <v>#NAME?</v>
      </c>
      <c r="AG440" s="2" t="str">
        <f>Post2020_Derivation!S47</f>
        <v/>
      </c>
      <c r="AH440" s="2" t="e">
        <f ca="1">IF(Post2020_Derivation!T47="","",Post2020_Derivation!T47)</f>
        <v>#NAME?</v>
      </c>
    </row>
    <row r="441" spans="1:34">
      <c r="A441" t="s">
        <v>126</v>
      </c>
      <c r="B441" t="s">
        <v>70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 t="str">
        <f>Post2020_Derivation!G48</f>
        <v/>
      </c>
      <c r="AD441" s="2" t="e">
        <f ca="1">IF(Post2020_Derivation!H48="","",Post2020_Derivation!H48)</f>
        <v>#NAME?</v>
      </c>
      <c r="AE441" s="2" t="str">
        <f>Post2020_Derivation!M48</f>
        <v/>
      </c>
      <c r="AF441" s="2" t="e">
        <f ca="1">IF(Post2020_Derivation!N48="","",Post2020_Derivation!N48)</f>
        <v>#NAME?</v>
      </c>
      <c r="AG441" s="2" t="str">
        <f>Post2020_Derivation!S48</f>
        <v/>
      </c>
      <c r="AH441" s="2" t="e">
        <f ca="1">IF(Post2020_Derivation!T48="","",Post2020_Derivation!T48)</f>
        <v>#NAME?</v>
      </c>
    </row>
    <row r="442" spans="1:34">
      <c r="A442" t="s">
        <v>233</v>
      </c>
      <c r="B442" t="s">
        <v>68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 t="str">
        <f>Post2020_Derivation!G107</f>
        <v/>
      </c>
      <c r="AD442" s="2" t="e">
        <f ca="1">IF(Post2020_Derivation!H107="","",Post2020_Derivation!H107)</f>
        <v>#NAME?</v>
      </c>
      <c r="AE442" s="2" t="str">
        <f>Post2020_Derivation!M107</f>
        <v/>
      </c>
      <c r="AF442" s="2" t="e">
        <f ca="1">IF(Post2020_Derivation!N107="","",Post2020_Derivation!N107)</f>
        <v>#NAME?</v>
      </c>
      <c r="AG442" s="2" t="str">
        <f>Post2020_Derivation!S107</f>
        <v/>
      </c>
      <c r="AH442" s="2" t="e">
        <f ca="1">IF(Post2020_Derivation!T107="","",Post2020_Derivation!T107)</f>
        <v>#NAME?</v>
      </c>
    </row>
    <row r="443" spans="1:34">
      <c r="A443" t="s">
        <v>234</v>
      </c>
      <c r="B443" t="s">
        <v>70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 t="str">
        <f>Post2020_Derivation!G108</f>
        <v/>
      </c>
      <c r="AD443" s="2" t="e">
        <f ca="1">IF(Post2020_Derivation!H108="","",Post2020_Derivation!H108)</f>
        <v>#NAME?</v>
      </c>
      <c r="AE443" s="2" t="str">
        <f>Post2020_Derivation!M108</f>
        <v/>
      </c>
      <c r="AF443" s="2" t="e">
        <f ca="1">IF(Post2020_Derivation!N108="","",Post2020_Derivation!N108)</f>
        <v>#NAME?</v>
      </c>
      <c r="AG443" s="2" t="str">
        <f>Post2020_Derivation!S108</f>
        <v/>
      </c>
      <c r="AH443" s="2" t="e">
        <f ca="1">IF(Post2020_Derivation!T108="","",Post2020_Derivation!T108)</f>
        <v>#NAME?</v>
      </c>
    </row>
    <row r="444" spans="1:34">
      <c r="A444" t="s">
        <v>558</v>
      </c>
      <c r="B444" t="s">
        <v>559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 t="str">
        <f>Post2020_Derivation!G279</f>
        <v/>
      </c>
      <c r="AD444" s="2" t="e">
        <f ca="1">IF(Post2020_Derivation!H279="","",Post2020_Derivation!H279)</f>
        <v>#NAME?</v>
      </c>
      <c r="AE444" s="2">
        <f>Post2020_Derivation!M279</f>
        <v>528</v>
      </c>
      <c r="AF444" s="2" t="e">
        <f ca="1">IF(Post2020_Derivation!N279="","",Post2020_Derivation!N279)</f>
        <v>#NAME?</v>
      </c>
      <c r="AG444" s="2">
        <f>Post2020_Derivation!S279</f>
        <v>576</v>
      </c>
      <c r="AH444" s="2" t="e">
        <f ca="1">IF(Post2020_Derivation!T279="","",Post2020_Derivation!T279)</f>
        <v>#NAME?</v>
      </c>
    </row>
    <row r="445" spans="1:34">
      <c r="A445" t="s">
        <v>560</v>
      </c>
      <c r="B445" t="s">
        <v>561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 t="str">
        <f>Post2020_Derivation!G280</f>
        <v/>
      </c>
      <c r="AD445" s="2" t="e">
        <f ca="1">IF(Post2020_Derivation!H280="","",Post2020_Derivation!H280)</f>
        <v>#NAME?</v>
      </c>
      <c r="AE445" s="2">
        <f>Post2020_Derivation!M280</f>
        <v>1904</v>
      </c>
      <c r="AF445" s="2" t="e">
        <f ca="1">IF(Post2020_Derivation!N280="","",Post2020_Derivation!N280)</f>
        <v>#NAME?</v>
      </c>
      <c r="AG445" s="2">
        <f>Post2020_Derivation!S280</f>
        <v>1768</v>
      </c>
      <c r="AH445" s="2" t="e">
        <f ca="1">IF(Post2020_Derivation!T280="","",Post2020_Derivation!T280)</f>
        <v>#NAME?</v>
      </c>
    </row>
    <row r="446" spans="1:34">
      <c r="A446" t="s">
        <v>568</v>
      </c>
      <c r="B446" t="s">
        <v>68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 t="str">
        <f>Post2020_Derivation!G284</f>
        <v/>
      </c>
      <c r="AD446" s="2" t="e">
        <f ca="1">IF(Post2020_Derivation!H284="","",Post2020_Derivation!H284)</f>
        <v>#NAME?</v>
      </c>
      <c r="AE446" s="2" t="str">
        <f>Post2020_Derivation!M284</f>
        <v/>
      </c>
      <c r="AF446" s="2" t="e">
        <f ca="1">IF(Post2020_Derivation!N284="","",Post2020_Derivation!N284)</f>
        <v>#NAME?</v>
      </c>
      <c r="AG446" s="2" t="str">
        <f>Post2020_Derivation!S284</f>
        <v/>
      </c>
      <c r="AH446" s="2" t="e">
        <f ca="1">IF(Post2020_Derivation!T284="","",Post2020_Derivation!T284)</f>
        <v>#NAME?</v>
      </c>
    </row>
    <row r="447" spans="1:34">
      <c r="A447" t="s">
        <v>569</v>
      </c>
      <c r="B447" t="s">
        <v>70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 t="str">
        <f>Post2020_Derivation!G285</f>
        <v/>
      </c>
      <c r="AD447" s="2" t="e">
        <f ca="1">IF(Post2020_Derivation!H285="","",Post2020_Derivation!H285)</f>
        <v>#NAME?</v>
      </c>
      <c r="AE447" s="2" t="str">
        <f>Post2020_Derivation!M285</f>
        <v/>
      </c>
      <c r="AF447" s="2" t="e">
        <f ca="1">IF(Post2020_Derivation!N285="","",Post2020_Derivation!N285)</f>
        <v>#NAME?</v>
      </c>
      <c r="AG447" s="2" t="str">
        <f>Post2020_Derivation!S285</f>
        <v/>
      </c>
      <c r="AH447" s="2" t="e">
        <f ca="1">IF(Post2020_Derivation!T285="","",Post2020_Derivation!T285)</f>
        <v>#NAME?</v>
      </c>
    </row>
    <row r="448" spans="1:34">
      <c r="A448" t="s">
        <v>596</v>
      </c>
      <c r="B448" t="s">
        <v>68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 t="str">
        <f>Post2020_Derivation!G299</f>
        <v/>
      </c>
      <c r="AD448" s="2" t="e">
        <f ca="1">IF(Post2020_Derivation!H299="","",Post2020_Derivation!H299)</f>
        <v>#NAME?</v>
      </c>
      <c r="AE448" s="2" t="str">
        <f>Post2020_Derivation!M299</f>
        <v/>
      </c>
      <c r="AF448" s="2" t="e">
        <f ca="1">IF(Post2020_Derivation!N299="","",Post2020_Derivation!N299)</f>
        <v>#NAME?</v>
      </c>
      <c r="AG448" s="2" t="str">
        <f>Post2020_Derivation!S299</f>
        <v/>
      </c>
      <c r="AH448" s="2" t="e">
        <f ca="1">IF(Post2020_Derivation!T299="","",Post2020_Derivation!T299)</f>
        <v>#NAME?</v>
      </c>
    </row>
    <row r="449" spans="1:34">
      <c r="A449" t="s">
        <v>597</v>
      </c>
      <c r="B449" t="s">
        <v>70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 t="str">
        <f>Post2020_Derivation!G300</f>
        <v/>
      </c>
      <c r="AD449" s="2" t="e">
        <f ca="1">IF(Post2020_Derivation!H300="","",Post2020_Derivation!H300)</f>
        <v>#NAME?</v>
      </c>
      <c r="AE449" s="2" t="str">
        <f>Post2020_Derivation!M300</f>
        <v/>
      </c>
      <c r="AF449" s="2" t="e">
        <f ca="1">IF(Post2020_Derivation!N300="","",Post2020_Derivation!N300)</f>
        <v>#NAME?</v>
      </c>
      <c r="AG449" s="2" t="str">
        <f>Post2020_Derivation!S300</f>
        <v/>
      </c>
      <c r="AH449" s="2" t="e">
        <f ca="1">IF(Post2020_Derivation!T300="","",Post2020_Derivation!T300)</f>
        <v>#NAME?</v>
      </c>
    </row>
    <row r="450" spans="1:34">
      <c r="A450" t="s">
        <v>662</v>
      </c>
      <c r="B450" t="s">
        <v>663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 t="str">
        <f>Post2020_Derivation!G333</f>
        <v/>
      </c>
      <c r="AD450" s="2" t="e">
        <f ca="1">IF(Post2020_Derivation!H333="","",Post2020_Derivation!H333)</f>
        <v>#NAME?</v>
      </c>
      <c r="AE450" s="2">
        <f>Post2020_Derivation!M333</f>
        <v>6716</v>
      </c>
      <c r="AF450" s="2" t="e">
        <f ca="1">IF(Post2020_Derivation!N333="","",Post2020_Derivation!N333)</f>
        <v>#NAME?</v>
      </c>
      <c r="AG450" s="2">
        <f>Post2020_Derivation!S333</f>
        <v>6622</v>
      </c>
      <c r="AH450" s="2" t="e">
        <f ca="1">IF(Post2020_Derivation!T333="","",Post2020_Derivation!T333)</f>
        <v>#NAME?</v>
      </c>
    </row>
    <row r="451" spans="1:34">
      <c r="A451" t="s">
        <v>664</v>
      </c>
      <c r="B451" t="s">
        <v>665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 t="str">
        <f>Post2020_Derivation!G334</f>
        <v/>
      </c>
      <c r="AD451" s="2" t="e">
        <f ca="1">IF(Post2020_Derivation!H334="","",Post2020_Derivation!H334)</f>
        <v>#NAME?</v>
      </c>
      <c r="AE451" s="2">
        <f>Post2020_Derivation!M334</f>
        <v>1022</v>
      </c>
      <c r="AF451" s="2" t="e">
        <f ca="1">IF(Post2020_Derivation!N334="","",Post2020_Derivation!N334)</f>
        <v>#NAME?</v>
      </c>
      <c r="AG451" s="2">
        <f>Post2020_Derivation!S334</f>
        <v>1110</v>
      </c>
      <c r="AH451" s="2" t="e">
        <f ca="1">IF(Post2020_Derivation!T334="","",Post2020_Derivation!T334)</f>
        <v>#NAME?</v>
      </c>
    </row>
    <row r="452" spans="1:34">
      <c r="A452" t="s">
        <v>666</v>
      </c>
      <c r="B452" t="s">
        <v>667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 t="str">
        <f>Post2020_Derivation!G335</f>
        <v/>
      </c>
      <c r="AD452" s="2" t="e">
        <f ca="1">IF(Post2020_Derivation!H335="","",Post2020_Derivation!H335)</f>
        <v>#NAME?</v>
      </c>
      <c r="AE452" s="2">
        <f>Post2020_Derivation!M335</f>
        <v>7714</v>
      </c>
      <c r="AF452" s="2" t="e">
        <f ca="1">IF(Post2020_Derivation!N335="","",Post2020_Derivation!N335)</f>
        <v>#NAME?</v>
      </c>
      <c r="AG452" s="2">
        <f>Post2020_Derivation!S335</f>
        <v>7665</v>
      </c>
      <c r="AH452" s="2" t="e">
        <f ca="1">IF(Post2020_Derivation!T335="","",Post2020_Derivation!T335)</f>
        <v>#NAME?</v>
      </c>
    </row>
    <row r="453" spans="1:34">
      <c r="A453" t="s">
        <v>668</v>
      </c>
      <c r="B453" t="s">
        <v>669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 t="str">
        <f>Post2020_Derivation!G336</f>
        <v/>
      </c>
      <c r="AD453" s="2" t="e">
        <f ca="1">IF(Post2020_Derivation!H336="","",Post2020_Derivation!H336)</f>
        <v>#NAME?</v>
      </c>
      <c r="AE453" s="2">
        <f>Post2020_Derivation!M336</f>
        <v>399</v>
      </c>
      <c r="AF453" s="2" t="e">
        <f ca="1">IF(Post2020_Derivation!N336="","",Post2020_Derivation!N336)</f>
        <v>#NAME?</v>
      </c>
      <c r="AG453" s="2">
        <f>Post2020_Derivation!S336</f>
        <v>396</v>
      </c>
      <c r="AH453" s="2" t="e">
        <f ca="1">IF(Post2020_Derivation!T336="","",Post2020_Derivation!T336)</f>
        <v>#NAME?</v>
      </c>
    </row>
    <row r="454" spans="1:34">
      <c r="A454" t="s">
        <v>670</v>
      </c>
      <c r="B454" t="s">
        <v>671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 t="str">
        <f>Post2020_Derivation!G337</f>
        <v/>
      </c>
      <c r="AD454" s="2" t="e">
        <f ca="1">IF(Post2020_Derivation!H337="","",Post2020_Derivation!H337)</f>
        <v>#NAME?</v>
      </c>
      <c r="AE454" s="2">
        <f>Post2020_Derivation!M337</f>
        <v>2716</v>
      </c>
      <c r="AF454" s="2" t="e">
        <f ca="1">IF(Post2020_Derivation!N337="","",Post2020_Derivation!N337)</f>
        <v>#NAME?</v>
      </c>
      <c r="AG454" s="2">
        <f>Post2020_Derivation!S337</f>
        <v>2880</v>
      </c>
      <c r="AH454" s="2" t="e">
        <f ca="1">IF(Post2020_Derivation!T337="","",Post2020_Derivation!T337)</f>
        <v>#NAME?</v>
      </c>
    </row>
    <row r="455" spans="1:34">
      <c r="A455" t="s">
        <v>678</v>
      </c>
      <c r="B455" t="s">
        <v>68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 t="str">
        <f>Post2020_Derivation!G342</f>
        <v/>
      </c>
      <c r="AD455" s="2" t="e">
        <f ca="1">IF(Post2020_Derivation!H342="","",Post2020_Derivation!H342)</f>
        <v>#NAME?</v>
      </c>
      <c r="AE455" s="2" t="str">
        <f>Post2020_Derivation!M342</f>
        <v/>
      </c>
      <c r="AF455" s="2" t="e">
        <f ca="1">IF(Post2020_Derivation!N342="","",Post2020_Derivation!N342)</f>
        <v>#NAME?</v>
      </c>
      <c r="AG455" s="2" t="str">
        <f>Post2020_Derivation!S342</f>
        <v/>
      </c>
      <c r="AH455" s="2" t="e">
        <f ca="1">IF(Post2020_Derivation!T342="","",Post2020_Derivation!T342)</f>
        <v>#NAME?</v>
      </c>
    </row>
    <row r="456" spans="1:34">
      <c r="A456" t="s">
        <v>679</v>
      </c>
      <c r="B456" t="s">
        <v>70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 t="str">
        <f>Post2020_Derivation!G343</f>
        <v/>
      </c>
      <c r="AD456" s="2" t="e">
        <f ca="1">IF(Post2020_Derivation!H343="","",Post2020_Derivation!H343)</f>
        <v>#NAME?</v>
      </c>
      <c r="AE456" s="2" t="str">
        <f>Post2020_Derivation!M343</f>
        <v/>
      </c>
      <c r="AF456" s="2" t="e">
        <f ca="1">IF(Post2020_Derivation!N343="","",Post2020_Derivation!N343)</f>
        <v>#NAME?</v>
      </c>
      <c r="AG456" s="2" t="str">
        <f>Post2020_Derivation!S343</f>
        <v/>
      </c>
      <c r="AH456" s="2" t="e">
        <f ca="1">IF(Post2020_Derivation!T343="","",Post2020_Derivation!T343)</f>
        <v>#NAME?</v>
      </c>
    </row>
    <row r="457" spans="1:34">
      <c r="A457" t="s">
        <v>705</v>
      </c>
      <c r="B457" t="s">
        <v>68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 t="str">
        <f>Post2020_Derivation!G357</f>
        <v/>
      </c>
      <c r="AD457" s="2" t="e">
        <f ca="1">IF(Post2020_Derivation!H357="","",Post2020_Derivation!H357)</f>
        <v>#NAME?</v>
      </c>
      <c r="AE457" s="2" t="str">
        <f>Post2020_Derivation!M357</f>
        <v/>
      </c>
      <c r="AF457" s="2" t="e">
        <f ca="1">IF(Post2020_Derivation!N357="","",Post2020_Derivation!N357)</f>
        <v>#NAME?</v>
      </c>
      <c r="AG457" s="2" t="str">
        <f>Post2020_Derivation!S357</f>
        <v/>
      </c>
      <c r="AH457" s="2" t="e">
        <f ca="1">IF(Post2020_Derivation!T357="","",Post2020_Derivation!T357)</f>
        <v>#NAME?</v>
      </c>
    </row>
    <row r="458" spans="1:34">
      <c r="A458" t="s">
        <v>706</v>
      </c>
      <c r="B458" t="s">
        <v>70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 t="str">
        <f>Post2020_Derivation!G358</f>
        <v/>
      </c>
      <c r="AD458" s="2" t="e">
        <f ca="1">IF(Post2020_Derivation!H358="","",Post2020_Derivation!H358)</f>
        <v>#NAME?</v>
      </c>
      <c r="AE458" s="2" t="str">
        <f>Post2020_Derivation!M358</f>
        <v/>
      </c>
      <c r="AF458" s="2" t="e">
        <f ca="1">IF(Post2020_Derivation!N358="","",Post2020_Derivation!N358)</f>
        <v>#NAME?</v>
      </c>
      <c r="AG458" s="2" t="str">
        <f>Post2020_Derivation!S358</f>
        <v/>
      </c>
      <c r="AH458" s="2" t="e">
        <f ca="1">IF(Post2020_Derivation!T358="","",Post2020_Derivation!T358)</f>
        <v>#NAME?</v>
      </c>
    </row>
    <row r="459" spans="1:34">
      <c r="A459" t="s">
        <v>789</v>
      </c>
      <c r="B459" t="s">
        <v>790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>
        <f>Post2020_Derivation!G402</f>
        <v>18720</v>
      </c>
      <c r="AD459" s="2" t="e">
        <f ca="1">IF(Post2020_Derivation!H402="","",Post2020_Derivation!H402)</f>
        <v>#NAME?</v>
      </c>
      <c r="AE459" s="2">
        <f>Post2020_Derivation!M402</f>
        <v>22032</v>
      </c>
      <c r="AF459" s="2" t="e">
        <f ca="1">IF(Post2020_Derivation!N402="","",Post2020_Derivation!N402)</f>
        <v>#NAME?</v>
      </c>
      <c r="AG459" s="2">
        <f>Post2020_Derivation!S402</f>
        <v>28980</v>
      </c>
      <c r="AH459" s="2" t="e">
        <f ca="1">IF(Post2020_Derivation!T402="","",Post2020_Derivation!T402)</f>
        <v>#NAME?</v>
      </c>
    </row>
    <row r="460" spans="1:34">
      <c r="A460" t="s">
        <v>791</v>
      </c>
      <c r="B460" t="s">
        <v>792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>
        <f>Post2020_Derivation!G403</f>
        <v>18720</v>
      </c>
      <c r="AD460" s="2" t="e">
        <f ca="1">IF(Post2020_Derivation!H403="","",Post2020_Derivation!H403)</f>
        <v>#NAME?</v>
      </c>
      <c r="AE460" s="2">
        <f>Post2020_Derivation!M403</f>
        <v>22032</v>
      </c>
      <c r="AF460" s="2" t="e">
        <f ca="1">IF(Post2020_Derivation!N403="","",Post2020_Derivation!N403)</f>
        <v>#NAME?</v>
      </c>
      <c r="AG460" s="2">
        <f>Post2020_Derivation!S403</f>
        <v>28980</v>
      </c>
      <c r="AH460" s="2" t="e">
        <f ca="1">IF(Post2020_Derivation!T403="","",Post2020_Derivation!T403)</f>
        <v>#NAME?</v>
      </c>
    </row>
    <row r="461" spans="1:34">
      <c r="A461" t="s">
        <v>793</v>
      </c>
      <c r="B461" t="s">
        <v>792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>
        <f>Post2020_Derivation!G404</f>
        <v>18720</v>
      </c>
      <c r="AD461" s="2" t="e">
        <f ca="1">IF(Post2020_Derivation!H404="","",Post2020_Derivation!H404)</f>
        <v>#NAME?</v>
      </c>
      <c r="AE461" s="2">
        <f>Post2020_Derivation!M404</f>
        <v>22032</v>
      </c>
      <c r="AF461" s="2" t="e">
        <f ca="1">IF(Post2020_Derivation!N404="","",Post2020_Derivation!N404)</f>
        <v>#NAME?</v>
      </c>
      <c r="AG461" s="2">
        <f>Post2020_Derivation!S404</f>
        <v>28980</v>
      </c>
      <c r="AH461" s="2" t="e">
        <f ca="1">IF(Post2020_Derivation!T404="","",Post2020_Derivation!T404)</f>
        <v>#NAME?</v>
      </c>
    </row>
    <row r="462" spans="1:34">
      <c r="A462" t="s">
        <v>794</v>
      </c>
      <c r="B462" t="s">
        <v>795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 t="str">
        <f>Post2020_Derivation!G405</f>
        <v/>
      </c>
      <c r="AD462" s="2" t="e">
        <f ca="1">IF(Post2020_Derivation!H405="","",Post2020_Derivation!H405)</f>
        <v>#NAME?</v>
      </c>
      <c r="AE462" s="2" t="str">
        <f>Post2020_Derivation!M405</f>
        <v/>
      </c>
      <c r="AF462" s="2" t="e">
        <f ca="1">IF(Post2020_Derivation!N405="","",Post2020_Derivation!N405)</f>
        <v>#NAME?</v>
      </c>
      <c r="AG462" s="2">
        <f>Post2020_Derivation!S405</f>
        <v>67660</v>
      </c>
      <c r="AH462" s="2" t="e">
        <f ca="1">IF(Post2020_Derivation!T405="","",Post2020_Derivation!T405)</f>
        <v>#NAME?</v>
      </c>
    </row>
    <row r="463" spans="1:34">
      <c r="A463" t="s">
        <v>796</v>
      </c>
      <c r="B463" t="s">
        <v>797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 t="str">
        <f>Post2020_Derivation!G406</f>
        <v/>
      </c>
      <c r="AD463" s="2" t="e">
        <f ca="1">IF(Post2020_Derivation!H406="","",Post2020_Derivation!H406)</f>
        <v>#NAME?</v>
      </c>
      <c r="AE463" s="2" t="str">
        <f>Post2020_Derivation!M406</f>
        <v/>
      </c>
      <c r="AF463" s="2" t="e">
        <f ca="1">IF(Post2020_Derivation!N406="","",Post2020_Derivation!N406)</f>
        <v>#NAME?</v>
      </c>
      <c r="AG463" s="2">
        <f>Post2020_Derivation!S406</f>
        <v>20880</v>
      </c>
      <c r="AH463" s="2" t="e">
        <f ca="1">IF(Post2020_Derivation!T406="","",Post2020_Derivation!T406)</f>
        <v>#NAME?</v>
      </c>
    </row>
    <row r="464" spans="1:34">
      <c r="A464" t="s">
        <v>798</v>
      </c>
      <c r="B464" t="s">
        <v>799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 t="str">
        <f>Post2020_Derivation!G407</f>
        <v/>
      </c>
      <c r="AD464" s="2" t="e">
        <f ca="1">IF(Post2020_Derivation!H407="","",Post2020_Derivation!H407)</f>
        <v>#NAME?</v>
      </c>
      <c r="AE464" s="2" t="str">
        <f>Post2020_Derivation!M407</f>
        <v/>
      </c>
      <c r="AF464" s="2" t="e">
        <f ca="1">IF(Post2020_Derivation!N407="","",Post2020_Derivation!N407)</f>
        <v>#NAME?</v>
      </c>
      <c r="AG464" s="2">
        <f>Post2020_Derivation!S407</f>
        <v>4556</v>
      </c>
      <c r="AH464" s="2" t="e">
        <f ca="1">IF(Post2020_Derivation!T407="","",Post2020_Derivation!T407)</f>
        <v>#NAME?</v>
      </c>
    </row>
    <row r="465" spans="1:34">
      <c r="A465" t="s">
        <v>800</v>
      </c>
      <c r="B465" t="s">
        <v>801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 t="str">
        <f>Post2020_Derivation!G408</f>
        <v/>
      </c>
      <c r="AD465" s="2" t="e">
        <f ca="1">IF(Post2020_Derivation!H408="","",Post2020_Derivation!H408)</f>
        <v>#NAME?</v>
      </c>
      <c r="AE465" s="2" t="str">
        <f>Post2020_Derivation!M408</f>
        <v/>
      </c>
      <c r="AF465" s="2" t="e">
        <f ca="1">IF(Post2020_Derivation!N408="","",Post2020_Derivation!N408)</f>
        <v>#NAME?</v>
      </c>
      <c r="AG465" s="2">
        <f>Post2020_Derivation!S408</f>
        <v>16324</v>
      </c>
      <c r="AH465" s="2" t="e">
        <f ca="1">IF(Post2020_Derivation!T408="","",Post2020_Derivation!T408)</f>
        <v>#NAME?</v>
      </c>
    </row>
    <row r="466" spans="1:34">
      <c r="A466" t="s">
        <v>802</v>
      </c>
      <c r="B466" t="s">
        <v>803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 t="str">
        <f>Post2020_Derivation!G409</f>
        <v/>
      </c>
      <c r="AD466" s="2" t="e">
        <f ca="1">IF(Post2020_Derivation!H409="","",Post2020_Derivation!H409)</f>
        <v>#NAME?</v>
      </c>
      <c r="AE466" s="2" t="str">
        <f>Post2020_Derivation!M409</f>
        <v/>
      </c>
      <c r="AF466" s="2" t="e">
        <f ca="1">IF(Post2020_Derivation!N409="","",Post2020_Derivation!N409)</f>
        <v>#NAME?</v>
      </c>
      <c r="AG466" s="2">
        <f>Post2020_Derivation!S409</f>
        <v>46605</v>
      </c>
      <c r="AH466" s="2" t="e">
        <f ca="1">IF(Post2020_Derivation!T409="","",Post2020_Derivation!T409)</f>
        <v>#NAME?</v>
      </c>
    </row>
    <row r="467" spans="1:34">
      <c r="A467" t="s">
        <v>804</v>
      </c>
      <c r="B467" t="s">
        <v>805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 t="str">
        <f>Post2020_Derivation!G410</f>
        <v/>
      </c>
      <c r="AD467" s="2" t="e">
        <f ca="1">IF(Post2020_Derivation!H410="","",Post2020_Derivation!H410)</f>
        <v>#NAME?</v>
      </c>
      <c r="AE467" s="2" t="str">
        <f>Post2020_Derivation!M410</f>
        <v/>
      </c>
      <c r="AF467" s="2" t="e">
        <f ca="1">IF(Post2020_Derivation!N410="","",Post2020_Derivation!N410)</f>
        <v>#NAME?</v>
      </c>
      <c r="AG467" s="2">
        <f>Post2020_Derivation!S410</f>
        <v>21714</v>
      </c>
      <c r="AH467" s="2" t="e">
        <f ca="1">IF(Post2020_Derivation!T410="","",Post2020_Derivation!T410)</f>
        <v>#NAME?</v>
      </c>
    </row>
    <row r="468" spans="1:34">
      <c r="A468" t="s">
        <v>806</v>
      </c>
      <c r="B468" t="s">
        <v>807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 t="str">
        <f>Post2020_Derivation!G411</f>
        <v/>
      </c>
      <c r="AD468" s="2" t="e">
        <f ca="1">IF(Post2020_Derivation!H411="","",Post2020_Derivation!H411)</f>
        <v>#NAME?</v>
      </c>
      <c r="AE468" s="2" t="str">
        <f>Post2020_Derivation!M411</f>
        <v/>
      </c>
      <c r="AF468" s="2" t="e">
        <f ca="1">IF(Post2020_Derivation!N411="","",Post2020_Derivation!N411)</f>
        <v>#NAME?</v>
      </c>
      <c r="AG468" s="2">
        <f>Post2020_Derivation!S411</f>
        <v>24948</v>
      </c>
      <c r="AH468" s="2" t="e">
        <f ca="1">IF(Post2020_Derivation!T411="","",Post2020_Derivation!T411)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79"/>
  <sheetViews>
    <sheetView workbookViewId="0"/>
  </sheetViews>
  <sheetFormatPr baseColWidth="10" defaultColWidth="8.83203125" defaultRowHeight="14"/>
  <cols>
    <col min="1" max="1" width="12" customWidth="1"/>
    <col min="2" max="2" width="40" customWidth="1"/>
  </cols>
  <sheetData>
    <row r="1" spans="1:34" ht="15">
      <c r="A1" s="1" t="s">
        <v>16</v>
      </c>
      <c r="B1" s="1" t="s">
        <v>17</v>
      </c>
      <c r="C1" s="1" t="s">
        <v>814</v>
      </c>
      <c r="D1" s="1" t="s">
        <v>815</v>
      </c>
      <c r="E1" s="1" t="s">
        <v>816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  <c r="K1" s="1" t="s">
        <v>822</v>
      </c>
      <c r="L1" s="1" t="s">
        <v>823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834</v>
      </c>
      <c r="X1" s="1" t="s">
        <v>835</v>
      </c>
      <c r="Y1" s="1" t="s">
        <v>836</v>
      </c>
      <c r="Z1" s="1" t="s">
        <v>837</v>
      </c>
      <c r="AA1" s="1" t="s">
        <v>838</v>
      </c>
      <c r="AB1" s="1" t="s">
        <v>839</v>
      </c>
      <c r="AC1" s="1" t="s">
        <v>840</v>
      </c>
      <c r="AD1" s="1" t="s">
        <v>841</v>
      </c>
      <c r="AE1" s="1" t="s">
        <v>842</v>
      </c>
      <c r="AF1" s="1" t="s">
        <v>843</v>
      </c>
      <c r="AG1" s="1" t="s">
        <v>844</v>
      </c>
      <c r="AH1" s="1" t="s">
        <v>845</v>
      </c>
    </row>
    <row r="2" spans="1:34">
      <c r="A2" t="s">
        <v>36</v>
      </c>
      <c r="B2" t="s">
        <v>37</v>
      </c>
      <c r="C2" s="2">
        <v>583</v>
      </c>
      <c r="D2" s="2"/>
      <c r="E2" s="2">
        <v>469</v>
      </c>
      <c r="F2" s="2"/>
      <c r="G2" s="2">
        <v>553</v>
      </c>
      <c r="H2" s="2"/>
      <c r="I2" s="2">
        <v>441</v>
      </c>
      <c r="J2" s="2"/>
      <c r="K2" s="2">
        <v>383</v>
      </c>
      <c r="L2" s="2"/>
      <c r="M2" s="2">
        <v>415</v>
      </c>
      <c r="N2" s="2"/>
      <c r="O2" s="2">
        <v>382</v>
      </c>
      <c r="P2" s="2"/>
      <c r="Q2" s="2">
        <v>369</v>
      </c>
      <c r="R2" s="2"/>
      <c r="S2" s="2">
        <v>350</v>
      </c>
      <c r="T2" s="2"/>
      <c r="U2" s="2">
        <v>393</v>
      </c>
      <c r="V2" s="2"/>
      <c r="W2" s="2">
        <v>425</v>
      </c>
      <c r="X2" s="2" t="s">
        <v>334</v>
      </c>
      <c r="Y2" s="2">
        <v>461</v>
      </c>
      <c r="Z2" s="2"/>
      <c r="AA2" s="2">
        <v>510</v>
      </c>
      <c r="AB2" s="2"/>
      <c r="AC2" s="2">
        <v>336</v>
      </c>
      <c r="AD2" s="2"/>
      <c r="AE2" s="2">
        <v>543</v>
      </c>
      <c r="AF2" s="2"/>
      <c r="AG2" s="2">
        <v>487</v>
      </c>
      <c r="AH2" s="2"/>
    </row>
    <row r="3" spans="1:34">
      <c r="A3" t="s">
        <v>38</v>
      </c>
      <c r="B3" t="s">
        <v>39</v>
      </c>
      <c r="C3" s="2" t="s">
        <v>43</v>
      </c>
      <c r="D3" s="2" t="s">
        <v>44</v>
      </c>
      <c r="E3" s="2">
        <v>32</v>
      </c>
      <c r="F3" s="2"/>
      <c r="G3" s="2">
        <v>30</v>
      </c>
      <c r="H3" s="2"/>
      <c r="I3" s="2">
        <v>27</v>
      </c>
      <c r="J3" s="2"/>
      <c r="K3" s="2">
        <v>21</v>
      </c>
      <c r="L3" s="2"/>
      <c r="M3" s="2">
        <v>22</v>
      </c>
      <c r="N3" s="2"/>
      <c r="O3" s="2">
        <v>18</v>
      </c>
      <c r="P3" s="2"/>
      <c r="Q3" s="2">
        <v>18</v>
      </c>
      <c r="R3" s="2"/>
      <c r="S3" s="2">
        <v>21</v>
      </c>
      <c r="T3" s="2"/>
      <c r="U3" s="2">
        <v>22</v>
      </c>
      <c r="V3" s="2"/>
      <c r="W3" s="2">
        <v>22</v>
      </c>
      <c r="X3" s="2" t="s">
        <v>334</v>
      </c>
      <c r="Y3" s="2">
        <v>30</v>
      </c>
      <c r="Z3" s="2"/>
      <c r="AA3" s="2">
        <v>30</v>
      </c>
      <c r="AB3" s="2"/>
      <c r="AC3" s="2">
        <v>17</v>
      </c>
      <c r="AD3" s="2"/>
      <c r="AE3" s="2">
        <v>28</v>
      </c>
      <c r="AF3" s="2"/>
      <c r="AG3" s="2">
        <v>25</v>
      </c>
      <c r="AH3" s="2"/>
    </row>
    <row r="4" spans="1:34">
      <c r="A4" t="s">
        <v>40</v>
      </c>
      <c r="B4" t="s">
        <v>39</v>
      </c>
      <c r="C4" s="2" t="s">
        <v>43</v>
      </c>
      <c r="D4" s="2" t="s">
        <v>44</v>
      </c>
      <c r="E4" s="2">
        <v>32</v>
      </c>
      <c r="F4" s="2"/>
      <c r="G4" s="2">
        <v>30</v>
      </c>
      <c r="H4" s="2"/>
      <c r="I4" s="2">
        <v>27</v>
      </c>
      <c r="J4" s="2"/>
      <c r="K4" s="2">
        <v>21</v>
      </c>
      <c r="L4" s="2"/>
      <c r="M4" s="2">
        <v>22</v>
      </c>
      <c r="N4" s="2"/>
      <c r="O4" s="2">
        <v>18</v>
      </c>
      <c r="P4" s="2"/>
      <c r="Q4" s="2">
        <v>18</v>
      </c>
      <c r="R4" s="2"/>
      <c r="S4" s="2">
        <v>21</v>
      </c>
      <c r="T4" s="2"/>
      <c r="U4" s="2">
        <v>22</v>
      </c>
      <c r="V4" s="2"/>
      <c r="W4" s="2">
        <v>22</v>
      </c>
      <c r="X4" s="2" t="s">
        <v>334</v>
      </c>
      <c r="Y4" s="2">
        <v>30</v>
      </c>
      <c r="Z4" s="2"/>
      <c r="AA4" s="2">
        <v>30</v>
      </c>
      <c r="AB4" s="2"/>
      <c r="AC4" s="2">
        <v>17</v>
      </c>
      <c r="AD4" s="2"/>
      <c r="AE4" s="2">
        <v>28</v>
      </c>
      <c r="AF4" s="2"/>
      <c r="AG4" s="2">
        <v>25</v>
      </c>
      <c r="AH4" s="2"/>
    </row>
    <row r="5" spans="1:34">
      <c r="A5" t="s">
        <v>41</v>
      </c>
      <c r="B5" t="s">
        <v>42</v>
      </c>
      <c r="C5" s="2" t="s">
        <v>43</v>
      </c>
      <c r="D5" s="2" t="s">
        <v>44</v>
      </c>
      <c r="E5" s="2">
        <v>326</v>
      </c>
      <c r="F5" s="2"/>
      <c r="G5" s="2">
        <v>380</v>
      </c>
      <c r="H5" s="2"/>
      <c r="I5" s="2">
        <v>308</v>
      </c>
      <c r="J5" s="2"/>
      <c r="K5" s="2">
        <v>274</v>
      </c>
      <c r="L5" s="2"/>
      <c r="M5" s="2">
        <v>294</v>
      </c>
      <c r="N5" s="2"/>
      <c r="O5" s="2">
        <v>270</v>
      </c>
      <c r="P5" s="2"/>
      <c r="Q5" s="2">
        <v>267</v>
      </c>
      <c r="R5" s="2"/>
      <c r="S5" s="2">
        <v>247</v>
      </c>
      <c r="T5" s="2"/>
      <c r="U5" s="2">
        <v>268</v>
      </c>
      <c r="V5" s="2"/>
      <c r="W5" s="2">
        <v>309</v>
      </c>
      <c r="X5" s="2" t="s">
        <v>334</v>
      </c>
      <c r="Y5" s="2">
        <v>331</v>
      </c>
      <c r="Z5" s="2"/>
      <c r="AA5" s="2">
        <v>370</v>
      </c>
      <c r="AB5" s="2"/>
      <c r="AC5" s="2" t="s">
        <v>43</v>
      </c>
      <c r="AD5" s="2" t="s">
        <v>44</v>
      </c>
      <c r="AE5" s="2">
        <v>395</v>
      </c>
      <c r="AF5" s="2"/>
      <c r="AG5" s="2">
        <v>350</v>
      </c>
      <c r="AH5" s="2"/>
    </row>
    <row r="6" spans="1:34">
      <c r="A6" t="s">
        <v>45</v>
      </c>
      <c r="B6" t="s">
        <v>46</v>
      </c>
      <c r="C6" s="2">
        <v>114</v>
      </c>
      <c r="D6" s="2"/>
      <c r="E6" s="2" t="s">
        <v>43</v>
      </c>
      <c r="F6" s="2" t="s">
        <v>44</v>
      </c>
      <c r="G6" s="2">
        <v>88</v>
      </c>
      <c r="H6" s="2"/>
      <c r="I6" s="2">
        <v>78</v>
      </c>
      <c r="J6" s="2"/>
      <c r="K6" s="2">
        <v>66</v>
      </c>
      <c r="L6" s="2"/>
      <c r="M6" s="2">
        <v>74</v>
      </c>
      <c r="N6" s="2"/>
      <c r="O6" s="2">
        <v>76</v>
      </c>
      <c r="P6" s="2"/>
      <c r="Q6" s="2">
        <v>68</v>
      </c>
      <c r="R6" s="2"/>
      <c r="S6" s="2">
        <v>63</v>
      </c>
      <c r="T6" s="2"/>
      <c r="U6" s="2">
        <v>71</v>
      </c>
      <c r="V6" s="2"/>
      <c r="W6" s="2">
        <v>68</v>
      </c>
      <c r="X6" s="2" t="s">
        <v>334</v>
      </c>
      <c r="Y6" s="2">
        <v>78</v>
      </c>
      <c r="Z6" s="2"/>
      <c r="AA6" s="2">
        <v>86</v>
      </c>
      <c r="AB6" s="2"/>
      <c r="AC6" s="2">
        <v>56</v>
      </c>
      <c r="AD6" s="2"/>
      <c r="AE6" s="2">
        <v>95</v>
      </c>
      <c r="AF6" s="2"/>
      <c r="AG6" s="2">
        <v>78</v>
      </c>
      <c r="AH6" s="2"/>
    </row>
    <row r="7" spans="1:34">
      <c r="A7" t="s">
        <v>47</v>
      </c>
      <c r="B7" t="s">
        <v>48</v>
      </c>
      <c r="C7" s="2" t="s">
        <v>43</v>
      </c>
      <c r="D7" s="2" t="s">
        <v>44</v>
      </c>
      <c r="E7" s="2" t="s">
        <v>43</v>
      </c>
      <c r="F7" s="2" t="s">
        <v>44</v>
      </c>
      <c r="G7" s="2" t="s">
        <v>43</v>
      </c>
      <c r="H7" s="2" t="s">
        <v>44</v>
      </c>
      <c r="I7" s="2">
        <v>52</v>
      </c>
      <c r="J7" s="2"/>
      <c r="K7" s="2">
        <v>50</v>
      </c>
      <c r="L7" s="2"/>
      <c r="M7" s="2">
        <v>52</v>
      </c>
      <c r="N7" s="2"/>
      <c r="O7" s="2">
        <v>45</v>
      </c>
      <c r="P7" s="2"/>
      <c r="Q7" s="2">
        <v>41</v>
      </c>
      <c r="R7" s="2"/>
      <c r="S7" s="2">
        <v>42</v>
      </c>
      <c r="T7" s="2"/>
      <c r="U7" s="2">
        <v>41</v>
      </c>
      <c r="V7" s="2"/>
      <c r="W7" s="2">
        <v>52</v>
      </c>
      <c r="X7" s="2" t="s">
        <v>334</v>
      </c>
      <c r="Y7" s="2">
        <v>56</v>
      </c>
      <c r="Z7" s="2"/>
      <c r="AA7" s="2">
        <v>54</v>
      </c>
      <c r="AB7" s="2"/>
      <c r="AC7" s="2" t="s">
        <v>43</v>
      </c>
      <c r="AD7" s="2" t="s">
        <v>44</v>
      </c>
      <c r="AE7" s="2">
        <v>70</v>
      </c>
      <c r="AF7" s="2"/>
      <c r="AG7" s="2">
        <v>66</v>
      </c>
      <c r="AH7" s="2"/>
    </row>
    <row r="8" spans="1:34">
      <c r="A8" t="s">
        <v>49</v>
      </c>
      <c r="B8" t="s">
        <v>50</v>
      </c>
      <c r="C8" s="2" t="s">
        <v>43</v>
      </c>
      <c r="D8" s="2" t="s">
        <v>44</v>
      </c>
      <c r="E8" s="2">
        <v>78</v>
      </c>
      <c r="F8" s="2"/>
      <c r="G8" s="2">
        <v>89</v>
      </c>
      <c r="H8" s="2"/>
      <c r="I8" s="2">
        <v>68</v>
      </c>
      <c r="J8" s="2"/>
      <c r="K8" s="2">
        <v>61</v>
      </c>
      <c r="L8" s="2"/>
      <c r="M8" s="2">
        <v>72</v>
      </c>
      <c r="N8" s="2"/>
      <c r="O8" s="2">
        <v>58</v>
      </c>
      <c r="P8" s="2"/>
      <c r="Q8" s="2">
        <v>71</v>
      </c>
      <c r="R8" s="2"/>
      <c r="S8" s="2">
        <v>61</v>
      </c>
      <c r="T8" s="2"/>
      <c r="U8" s="2">
        <v>73</v>
      </c>
      <c r="V8" s="2"/>
      <c r="W8" s="2">
        <v>80</v>
      </c>
      <c r="X8" s="2" t="s">
        <v>334</v>
      </c>
      <c r="Y8" s="2">
        <v>89</v>
      </c>
      <c r="Z8" s="2"/>
      <c r="AA8" s="2">
        <v>91</v>
      </c>
      <c r="AB8" s="2"/>
      <c r="AC8" s="2">
        <v>56</v>
      </c>
      <c r="AD8" s="2"/>
      <c r="AE8" s="2">
        <v>88</v>
      </c>
      <c r="AF8" s="2"/>
      <c r="AG8" s="2">
        <v>78</v>
      </c>
      <c r="AH8" s="2"/>
    </row>
    <row r="9" spans="1:34">
      <c r="A9" t="s">
        <v>51</v>
      </c>
      <c r="B9" t="s">
        <v>52</v>
      </c>
      <c r="C9" s="2" t="s">
        <v>43</v>
      </c>
      <c r="D9" s="2" t="s">
        <v>44</v>
      </c>
      <c r="E9" s="2">
        <v>31</v>
      </c>
      <c r="F9" s="2"/>
      <c r="G9" s="2" t="s">
        <v>43</v>
      </c>
      <c r="H9" s="2" t="s">
        <v>44</v>
      </c>
      <c r="I9" s="2">
        <v>32</v>
      </c>
      <c r="J9" s="2"/>
      <c r="K9" s="2">
        <v>25</v>
      </c>
      <c r="L9" s="2"/>
      <c r="M9" s="2">
        <v>33</v>
      </c>
      <c r="N9" s="2"/>
      <c r="O9" s="2">
        <v>28</v>
      </c>
      <c r="P9" s="2"/>
      <c r="Q9" s="2">
        <v>30</v>
      </c>
      <c r="R9" s="2"/>
      <c r="S9" s="2">
        <v>25</v>
      </c>
      <c r="T9" s="2"/>
      <c r="U9" s="2">
        <v>27</v>
      </c>
      <c r="V9" s="2"/>
      <c r="W9" s="2">
        <v>35</v>
      </c>
      <c r="X9" s="2" t="s">
        <v>334</v>
      </c>
      <c r="Y9" s="2">
        <v>31</v>
      </c>
      <c r="Z9" s="2"/>
      <c r="AA9" s="2">
        <v>48</v>
      </c>
      <c r="AB9" s="2"/>
      <c r="AC9" s="2">
        <v>21</v>
      </c>
      <c r="AD9" s="2"/>
      <c r="AE9" s="2">
        <v>38</v>
      </c>
      <c r="AF9" s="2"/>
      <c r="AG9" s="2">
        <v>36</v>
      </c>
      <c r="AH9" s="2"/>
    </row>
    <row r="10" spans="1:34">
      <c r="A10" t="s">
        <v>53</v>
      </c>
      <c r="B10" t="s">
        <v>54</v>
      </c>
      <c r="C10" s="2">
        <v>89</v>
      </c>
      <c r="D10" s="2"/>
      <c r="E10" s="2">
        <v>71</v>
      </c>
      <c r="F10" s="2"/>
      <c r="G10" s="2">
        <v>95</v>
      </c>
      <c r="H10" s="2"/>
      <c r="I10" s="2">
        <v>78</v>
      </c>
      <c r="J10" s="2"/>
      <c r="K10" s="2">
        <v>72</v>
      </c>
      <c r="L10" s="2"/>
      <c r="M10" s="2">
        <v>63</v>
      </c>
      <c r="N10" s="2"/>
      <c r="O10" s="2">
        <v>63</v>
      </c>
      <c r="P10" s="2"/>
      <c r="Q10" s="2">
        <v>57</v>
      </c>
      <c r="R10" s="2"/>
      <c r="S10" s="2">
        <v>56</v>
      </c>
      <c r="T10" s="2"/>
      <c r="U10" s="2">
        <v>56</v>
      </c>
      <c r="V10" s="2"/>
      <c r="W10" s="2">
        <v>74</v>
      </c>
      <c r="X10" s="2" t="s">
        <v>334</v>
      </c>
      <c r="Y10" s="2">
        <v>77</v>
      </c>
      <c r="Z10" s="2"/>
      <c r="AA10" s="2">
        <v>91</v>
      </c>
      <c r="AB10" s="2"/>
      <c r="AC10" s="2">
        <v>69</v>
      </c>
      <c r="AD10" s="2"/>
      <c r="AE10" s="2">
        <v>104</v>
      </c>
      <c r="AF10" s="2"/>
      <c r="AG10" s="2">
        <v>92</v>
      </c>
      <c r="AH10" s="2"/>
    </row>
    <row r="11" spans="1:34">
      <c r="A11" t="s">
        <v>55</v>
      </c>
      <c r="B11" t="s">
        <v>56</v>
      </c>
      <c r="C11" s="2" t="s">
        <v>43</v>
      </c>
      <c r="D11" s="2" t="s">
        <v>44</v>
      </c>
      <c r="E11" s="2">
        <v>109</v>
      </c>
      <c r="F11" s="2"/>
      <c r="G11" s="2">
        <v>139</v>
      </c>
      <c r="H11" s="2"/>
      <c r="I11" s="2">
        <v>102</v>
      </c>
      <c r="J11" s="2"/>
      <c r="K11" s="2">
        <v>87</v>
      </c>
      <c r="L11" s="2"/>
      <c r="M11" s="2">
        <v>91</v>
      </c>
      <c r="N11" s="2"/>
      <c r="O11" s="2">
        <v>87</v>
      </c>
      <c r="P11" s="2"/>
      <c r="Q11" s="2">
        <v>79</v>
      </c>
      <c r="R11" s="2"/>
      <c r="S11" s="2">
        <v>76</v>
      </c>
      <c r="T11" s="2"/>
      <c r="U11" s="2">
        <v>94</v>
      </c>
      <c r="V11" s="2"/>
      <c r="W11" s="2">
        <v>83</v>
      </c>
      <c r="X11" s="2" t="s">
        <v>334</v>
      </c>
      <c r="Y11" s="2">
        <v>90</v>
      </c>
      <c r="Z11" s="2"/>
      <c r="AA11" s="2">
        <v>104</v>
      </c>
      <c r="AB11" s="2"/>
      <c r="AC11" s="2" t="s">
        <v>43</v>
      </c>
      <c r="AD11" s="2" t="s">
        <v>44</v>
      </c>
      <c r="AE11" s="2">
        <v>114</v>
      </c>
      <c r="AF11" s="2"/>
      <c r="AG11" s="2">
        <v>104</v>
      </c>
      <c r="AH11" s="2"/>
    </row>
    <row r="12" spans="1:34">
      <c r="A12" t="s">
        <v>57</v>
      </c>
      <c r="B12" t="s">
        <v>58</v>
      </c>
      <c r="C12" s="2" t="s">
        <v>43</v>
      </c>
      <c r="D12" s="2" t="s">
        <v>44</v>
      </c>
      <c r="E12" s="2">
        <v>5</v>
      </c>
      <c r="F12" s="2"/>
      <c r="G12" s="2" t="s">
        <v>43</v>
      </c>
      <c r="H12" s="2" t="s">
        <v>44</v>
      </c>
      <c r="I12" s="2">
        <v>10</v>
      </c>
      <c r="J12" s="2"/>
      <c r="K12" s="2">
        <v>12</v>
      </c>
      <c r="L12" s="2"/>
      <c r="M12" s="2">
        <v>10</v>
      </c>
      <c r="N12" s="2"/>
      <c r="O12" s="2">
        <v>5</v>
      </c>
      <c r="P12" s="2"/>
      <c r="Q12" s="2">
        <v>4</v>
      </c>
      <c r="R12" s="2"/>
      <c r="S12" s="2">
        <v>9</v>
      </c>
      <c r="T12" s="2"/>
      <c r="U12" s="2">
        <v>9</v>
      </c>
      <c r="V12" s="2"/>
      <c r="W12" s="2" t="s">
        <v>43</v>
      </c>
      <c r="X12" s="2" t="s">
        <v>403</v>
      </c>
      <c r="Y12" s="2" t="s">
        <v>43</v>
      </c>
      <c r="Z12" s="2" t="s">
        <v>44</v>
      </c>
      <c r="AA12" s="2">
        <v>13</v>
      </c>
      <c r="AB12" s="2"/>
      <c r="AC12" s="2">
        <v>3</v>
      </c>
      <c r="AD12" s="2"/>
      <c r="AE12" s="2">
        <v>12</v>
      </c>
      <c r="AF12" s="2"/>
      <c r="AG12" s="2">
        <v>7</v>
      </c>
      <c r="AH12" s="2"/>
    </row>
    <row r="13" spans="1:34">
      <c r="A13" t="s">
        <v>59</v>
      </c>
      <c r="B13" t="s">
        <v>60</v>
      </c>
      <c r="C13" s="2" t="s">
        <v>43</v>
      </c>
      <c r="D13" s="2" t="s">
        <v>44</v>
      </c>
      <c r="E13" s="2">
        <v>33</v>
      </c>
      <c r="F13" s="2"/>
      <c r="G13" s="2" t="s">
        <v>43</v>
      </c>
      <c r="H13" s="2" t="s">
        <v>44</v>
      </c>
      <c r="I13" s="2" t="s">
        <v>43</v>
      </c>
      <c r="J13" s="2" t="s">
        <v>44</v>
      </c>
      <c r="K13" s="2">
        <v>24</v>
      </c>
      <c r="L13" s="2"/>
      <c r="M13" s="2" t="s">
        <v>43</v>
      </c>
      <c r="N13" s="2" t="s">
        <v>44</v>
      </c>
      <c r="O13" s="2">
        <v>24</v>
      </c>
      <c r="P13" s="2"/>
      <c r="Q13" s="2">
        <v>23</v>
      </c>
      <c r="R13" s="2"/>
      <c r="S13" s="2">
        <v>20</v>
      </c>
      <c r="T13" s="2"/>
      <c r="U13" s="2">
        <v>21</v>
      </c>
      <c r="V13" s="2"/>
      <c r="W13" s="2" t="s">
        <v>43</v>
      </c>
      <c r="X13" s="2" t="s">
        <v>403</v>
      </c>
      <c r="Y13" s="2" t="s">
        <v>43</v>
      </c>
      <c r="Z13" s="2" t="s">
        <v>44</v>
      </c>
      <c r="AA13" s="2">
        <v>35</v>
      </c>
      <c r="AB13" s="2"/>
      <c r="AC13" s="2">
        <v>23</v>
      </c>
      <c r="AD13" s="2"/>
      <c r="AE13" s="2">
        <v>31</v>
      </c>
      <c r="AF13" s="2"/>
      <c r="AG13" s="2" t="s">
        <v>43</v>
      </c>
      <c r="AH13" s="2" t="s">
        <v>44</v>
      </c>
    </row>
    <row r="14" spans="1:34">
      <c r="A14" t="s">
        <v>61</v>
      </c>
      <c r="B14" t="s">
        <v>62</v>
      </c>
      <c r="C14" s="2" t="s">
        <v>43</v>
      </c>
      <c r="D14" s="2" t="s">
        <v>44</v>
      </c>
      <c r="E14" s="2">
        <v>45</v>
      </c>
      <c r="F14" s="2"/>
      <c r="G14" s="2" t="s">
        <v>43</v>
      </c>
      <c r="H14" s="2" t="s">
        <v>44</v>
      </c>
      <c r="I14" s="2" t="s">
        <v>43</v>
      </c>
      <c r="J14" s="2" t="s">
        <v>44</v>
      </c>
      <c r="K14" s="2">
        <v>44</v>
      </c>
      <c r="L14" s="2"/>
      <c r="M14" s="2">
        <v>47</v>
      </c>
      <c r="N14" s="2"/>
      <c r="O14" s="2">
        <v>45</v>
      </c>
      <c r="P14" s="2"/>
      <c r="Q14" s="2">
        <v>41</v>
      </c>
      <c r="R14" s="2"/>
      <c r="S14" s="2">
        <v>36</v>
      </c>
      <c r="T14" s="2"/>
      <c r="U14" s="2">
        <v>47</v>
      </c>
      <c r="V14" s="2"/>
      <c r="W14" s="2">
        <v>38</v>
      </c>
      <c r="X14" s="2" t="s">
        <v>334</v>
      </c>
      <c r="Y14" s="2" t="s">
        <v>43</v>
      </c>
      <c r="Z14" s="2" t="s">
        <v>44</v>
      </c>
      <c r="AA14" s="2">
        <v>41</v>
      </c>
      <c r="AB14" s="2"/>
      <c r="AC14" s="2" t="s">
        <v>43</v>
      </c>
      <c r="AD14" s="2" t="s">
        <v>44</v>
      </c>
      <c r="AE14" s="2">
        <v>50</v>
      </c>
      <c r="AF14" s="2"/>
      <c r="AG14" s="2">
        <v>48</v>
      </c>
      <c r="AH14" s="2"/>
    </row>
    <row r="15" spans="1:34">
      <c r="A15" t="s">
        <v>63</v>
      </c>
      <c r="B15" t="s">
        <v>64</v>
      </c>
      <c r="C15" s="2" t="s">
        <v>43</v>
      </c>
      <c r="D15" s="2" t="s">
        <v>44</v>
      </c>
      <c r="E15" s="2" t="s">
        <v>43</v>
      </c>
      <c r="F15" s="2" t="s">
        <v>44</v>
      </c>
      <c r="G15" s="2" t="s">
        <v>43</v>
      </c>
      <c r="H15" s="2" t="s">
        <v>44</v>
      </c>
      <c r="I15" s="2" t="s">
        <v>43</v>
      </c>
      <c r="J15" s="2" t="s">
        <v>44</v>
      </c>
      <c r="K15" s="2" t="s">
        <v>43</v>
      </c>
      <c r="L15" s="2" t="s">
        <v>44</v>
      </c>
      <c r="M15" s="2" t="s">
        <v>43</v>
      </c>
      <c r="N15" s="2" t="s">
        <v>44</v>
      </c>
      <c r="O15" s="2" t="s">
        <v>43</v>
      </c>
      <c r="P15" s="2" t="s">
        <v>44</v>
      </c>
      <c r="Q15" s="2">
        <v>3</v>
      </c>
      <c r="R15" s="2"/>
      <c r="S15" s="2" t="s">
        <v>43</v>
      </c>
      <c r="T15" s="2" t="s">
        <v>44</v>
      </c>
      <c r="U15" s="2">
        <v>5</v>
      </c>
      <c r="V15" s="2"/>
      <c r="W15" s="2" t="s">
        <v>43</v>
      </c>
      <c r="X15" s="2" t="s">
        <v>403</v>
      </c>
      <c r="Y15" s="2">
        <v>4</v>
      </c>
      <c r="Z15" s="2"/>
      <c r="AA15" s="2" t="s">
        <v>43</v>
      </c>
      <c r="AB15" s="2" t="s">
        <v>44</v>
      </c>
      <c r="AC15" s="2">
        <v>4</v>
      </c>
      <c r="AD15" s="2"/>
      <c r="AE15" s="2">
        <v>3</v>
      </c>
      <c r="AF15" s="2"/>
      <c r="AG15" s="2" t="s">
        <v>43</v>
      </c>
      <c r="AH15" s="2" t="s">
        <v>44</v>
      </c>
    </row>
    <row r="16" spans="1:34">
      <c r="A16" t="s">
        <v>65</v>
      </c>
      <c r="B16" t="s">
        <v>66</v>
      </c>
      <c r="C16" s="2">
        <v>20</v>
      </c>
      <c r="D16" s="2"/>
      <c r="E16" s="2" t="s">
        <v>43</v>
      </c>
      <c r="F16" s="2" t="s">
        <v>44</v>
      </c>
      <c r="G16" s="2">
        <v>18</v>
      </c>
      <c r="H16" s="2"/>
      <c r="I16" s="2">
        <v>12</v>
      </c>
      <c r="J16" s="2"/>
      <c r="K16" s="2" t="s">
        <v>43</v>
      </c>
      <c r="L16" s="2" t="s">
        <v>44</v>
      </c>
      <c r="M16" s="2">
        <v>7</v>
      </c>
      <c r="N16" s="2"/>
      <c r="O16" s="2" t="s">
        <v>43</v>
      </c>
      <c r="P16" s="2" t="s">
        <v>44</v>
      </c>
      <c r="Q16" s="2">
        <v>8</v>
      </c>
      <c r="R16" s="2"/>
      <c r="S16" s="2" t="s">
        <v>43</v>
      </c>
      <c r="T16" s="2" t="s">
        <v>44</v>
      </c>
      <c r="U16" s="2">
        <v>12</v>
      </c>
      <c r="V16" s="2"/>
      <c r="W16" s="2">
        <v>7</v>
      </c>
      <c r="X16" s="2" t="s">
        <v>334</v>
      </c>
      <c r="Y16" s="2">
        <v>7</v>
      </c>
      <c r="Z16" s="2"/>
      <c r="AA16" s="2" t="s">
        <v>43</v>
      </c>
      <c r="AB16" s="2" t="s">
        <v>44</v>
      </c>
      <c r="AC16" s="2">
        <v>10</v>
      </c>
      <c r="AD16" s="2"/>
      <c r="AE16" s="2">
        <v>18</v>
      </c>
      <c r="AF16" s="2"/>
      <c r="AG16" s="2" t="s">
        <v>43</v>
      </c>
      <c r="AH16" s="2" t="s">
        <v>44</v>
      </c>
    </row>
    <row r="17" spans="1:34">
      <c r="A17" t="s">
        <v>71</v>
      </c>
      <c r="B17" t="s">
        <v>72</v>
      </c>
      <c r="C17" s="2">
        <v>99</v>
      </c>
      <c r="D17" s="2"/>
      <c r="E17" s="2">
        <v>104</v>
      </c>
      <c r="F17" s="2"/>
      <c r="G17" s="2">
        <v>110</v>
      </c>
      <c r="H17" s="2"/>
      <c r="I17" s="2">
        <v>113</v>
      </c>
      <c r="J17" s="2"/>
      <c r="K17" s="2">
        <v>113</v>
      </c>
      <c r="L17" s="2"/>
      <c r="M17" s="2">
        <v>114</v>
      </c>
      <c r="N17" s="2"/>
      <c r="O17" s="2">
        <v>117</v>
      </c>
      <c r="P17" s="2"/>
      <c r="Q17" s="2">
        <v>118</v>
      </c>
      <c r="R17" s="2"/>
      <c r="S17" s="2">
        <v>123</v>
      </c>
      <c r="T17" s="2"/>
      <c r="U17" s="2">
        <v>120</v>
      </c>
      <c r="V17" s="2"/>
      <c r="W17" s="2">
        <v>129</v>
      </c>
      <c r="X17" s="2" t="s">
        <v>334</v>
      </c>
      <c r="Y17" s="2">
        <v>145</v>
      </c>
      <c r="Z17" s="2"/>
      <c r="AA17" s="2">
        <v>148</v>
      </c>
      <c r="AB17" s="2"/>
      <c r="AC17" s="2">
        <v>156</v>
      </c>
      <c r="AD17" s="2"/>
      <c r="AE17" s="2">
        <v>155</v>
      </c>
      <c r="AF17" s="2"/>
      <c r="AG17" s="2">
        <v>159</v>
      </c>
      <c r="AH17" s="2"/>
    </row>
    <row r="18" spans="1:34">
      <c r="A18" t="s">
        <v>73</v>
      </c>
      <c r="B18" t="s">
        <v>74</v>
      </c>
      <c r="C18" s="2">
        <v>53</v>
      </c>
      <c r="D18" s="2"/>
      <c r="E18" s="2">
        <v>57</v>
      </c>
      <c r="F18" s="2"/>
      <c r="G18" s="2">
        <v>62</v>
      </c>
      <c r="H18" s="2"/>
      <c r="I18" s="2">
        <v>64</v>
      </c>
      <c r="J18" s="2"/>
      <c r="K18" s="2">
        <v>64</v>
      </c>
      <c r="L18" s="2"/>
      <c r="M18" s="2">
        <v>63</v>
      </c>
      <c r="N18" s="2"/>
      <c r="O18" s="2">
        <v>63</v>
      </c>
      <c r="P18" s="2"/>
      <c r="Q18" s="2">
        <v>66</v>
      </c>
      <c r="R18" s="2"/>
      <c r="S18" s="2">
        <v>66</v>
      </c>
      <c r="T18" s="2"/>
      <c r="U18" s="2">
        <v>64</v>
      </c>
      <c r="V18" s="2"/>
      <c r="W18" s="2">
        <v>62</v>
      </c>
      <c r="X18" s="2" t="s">
        <v>334</v>
      </c>
      <c r="Y18" s="2">
        <v>69</v>
      </c>
      <c r="Z18" s="2"/>
      <c r="AA18" s="2">
        <v>76</v>
      </c>
      <c r="AB18" s="2"/>
      <c r="AC18" s="2">
        <v>79</v>
      </c>
      <c r="AD18" s="2"/>
      <c r="AE18" s="2">
        <v>85</v>
      </c>
      <c r="AF18" s="2"/>
      <c r="AG18" s="2">
        <v>82</v>
      </c>
      <c r="AH18" s="2"/>
    </row>
    <row r="19" spans="1:34">
      <c r="A19" t="s">
        <v>75</v>
      </c>
      <c r="B19" t="s">
        <v>76</v>
      </c>
      <c r="C19" s="2">
        <v>8</v>
      </c>
      <c r="D19" s="2"/>
      <c r="E19" s="2">
        <v>7</v>
      </c>
      <c r="F19" s="2"/>
      <c r="G19" s="2">
        <v>4</v>
      </c>
      <c r="H19" s="2"/>
      <c r="I19" s="2">
        <v>7</v>
      </c>
      <c r="J19" s="2"/>
      <c r="K19" s="2">
        <v>6</v>
      </c>
      <c r="L19" s="2"/>
      <c r="M19" s="2">
        <v>9</v>
      </c>
      <c r="N19" s="2"/>
      <c r="O19" s="2">
        <v>11</v>
      </c>
      <c r="P19" s="2"/>
      <c r="Q19" s="2">
        <v>10</v>
      </c>
      <c r="R19" s="2"/>
      <c r="S19" s="2">
        <v>11</v>
      </c>
      <c r="T19" s="2"/>
      <c r="U19" s="2">
        <v>11</v>
      </c>
      <c r="V19" s="2"/>
      <c r="W19" s="2">
        <v>11</v>
      </c>
      <c r="X19" s="2" t="s">
        <v>334</v>
      </c>
      <c r="Y19" s="2">
        <v>13</v>
      </c>
      <c r="Z19" s="2"/>
      <c r="AA19" s="2">
        <v>17</v>
      </c>
      <c r="AB19" s="2"/>
      <c r="AC19" s="2">
        <v>17</v>
      </c>
      <c r="AD19" s="2"/>
      <c r="AE19" s="2">
        <v>17</v>
      </c>
      <c r="AF19" s="2"/>
      <c r="AG19" s="2">
        <v>16</v>
      </c>
      <c r="AH19" s="2"/>
    </row>
    <row r="20" spans="1:34">
      <c r="A20" t="s">
        <v>77</v>
      </c>
      <c r="B20" t="s">
        <v>78</v>
      </c>
      <c r="C20" s="2">
        <v>14</v>
      </c>
      <c r="D20" s="2"/>
      <c r="E20" s="2">
        <v>14</v>
      </c>
      <c r="F20" s="2"/>
      <c r="G20" s="2">
        <v>18</v>
      </c>
      <c r="H20" s="2"/>
      <c r="I20" s="2">
        <v>18</v>
      </c>
      <c r="J20" s="2"/>
      <c r="K20" s="2">
        <v>21</v>
      </c>
      <c r="L20" s="2"/>
      <c r="M20" s="2">
        <v>16</v>
      </c>
      <c r="N20" s="2"/>
      <c r="O20" s="2">
        <v>14</v>
      </c>
      <c r="P20" s="2"/>
      <c r="Q20" s="2">
        <v>15</v>
      </c>
      <c r="R20" s="2"/>
      <c r="S20" s="2">
        <v>15</v>
      </c>
      <c r="T20" s="2"/>
      <c r="U20" s="2">
        <v>16</v>
      </c>
      <c r="V20" s="2"/>
      <c r="W20" s="2">
        <v>13</v>
      </c>
      <c r="X20" s="2" t="s">
        <v>334</v>
      </c>
      <c r="Y20" s="2">
        <v>15</v>
      </c>
      <c r="Z20" s="2"/>
      <c r="AA20" s="2">
        <v>18</v>
      </c>
      <c r="AB20" s="2"/>
      <c r="AC20" s="2">
        <v>22</v>
      </c>
      <c r="AD20" s="2"/>
      <c r="AE20" s="2">
        <v>24</v>
      </c>
      <c r="AF20" s="2"/>
      <c r="AG20" s="2">
        <v>24</v>
      </c>
      <c r="AH20" s="2"/>
    </row>
    <row r="21" spans="1:34">
      <c r="A21" t="s">
        <v>79</v>
      </c>
      <c r="B21" t="s">
        <v>80</v>
      </c>
      <c r="C21" s="2">
        <v>15</v>
      </c>
      <c r="D21" s="2"/>
      <c r="E21" s="2">
        <v>20</v>
      </c>
      <c r="F21" s="2"/>
      <c r="G21" s="2">
        <v>23</v>
      </c>
      <c r="H21" s="2"/>
      <c r="I21" s="2">
        <v>21</v>
      </c>
      <c r="J21" s="2"/>
      <c r="K21" s="2">
        <v>20</v>
      </c>
      <c r="L21" s="2"/>
      <c r="M21" s="2">
        <v>20</v>
      </c>
      <c r="N21" s="2"/>
      <c r="O21" s="2">
        <v>17</v>
      </c>
      <c r="P21" s="2"/>
      <c r="Q21" s="2">
        <v>20</v>
      </c>
      <c r="R21" s="2"/>
      <c r="S21" s="2">
        <v>20</v>
      </c>
      <c r="T21" s="2"/>
      <c r="U21" s="2">
        <v>17</v>
      </c>
      <c r="V21" s="2"/>
      <c r="W21" s="2">
        <v>18</v>
      </c>
      <c r="X21" s="2" t="s">
        <v>334</v>
      </c>
      <c r="Y21" s="2">
        <v>19</v>
      </c>
      <c r="Z21" s="2"/>
      <c r="AA21" s="2">
        <v>15</v>
      </c>
      <c r="AB21" s="2"/>
      <c r="AC21" s="2">
        <v>14</v>
      </c>
      <c r="AD21" s="2"/>
      <c r="AE21" s="2">
        <v>14</v>
      </c>
      <c r="AF21" s="2"/>
      <c r="AG21" s="2">
        <v>13</v>
      </c>
      <c r="AH21" s="2"/>
    </row>
    <row r="22" spans="1:34">
      <c r="A22" t="s">
        <v>81</v>
      </c>
      <c r="B22" t="s">
        <v>82</v>
      </c>
      <c r="C22" s="2">
        <v>16</v>
      </c>
      <c r="D22" s="2"/>
      <c r="E22" s="2">
        <v>16</v>
      </c>
      <c r="F22" s="2"/>
      <c r="G22" s="2">
        <v>17</v>
      </c>
      <c r="H22" s="2"/>
      <c r="I22" s="2">
        <v>18</v>
      </c>
      <c r="J22" s="2"/>
      <c r="K22" s="2">
        <v>17</v>
      </c>
      <c r="L22" s="2"/>
      <c r="M22" s="2">
        <v>18</v>
      </c>
      <c r="N22" s="2"/>
      <c r="O22" s="2">
        <v>21</v>
      </c>
      <c r="P22" s="2"/>
      <c r="Q22" s="2">
        <v>21</v>
      </c>
      <c r="R22" s="2"/>
      <c r="S22" s="2">
        <v>20</v>
      </c>
      <c r="T22" s="2"/>
      <c r="U22" s="2">
        <v>20</v>
      </c>
      <c r="V22" s="2"/>
      <c r="W22" s="2">
        <v>20</v>
      </c>
      <c r="X22" s="2" t="s">
        <v>334</v>
      </c>
      <c r="Y22" s="2">
        <v>22</v>
      </c>
      <c r="Z22" s="2"/>
      <c r="AA22" s="2">
        <v>26</v>
      </c>
      <c r="AB22" s="2"/>
      <c r="AC22" s="2">
        <v>26</v>
      </c>
      <c r="AD22" s="2"/>
      <c r="AE22" s="2">
        <v>30</v>
      </c>
      <c r="AF22" s="2"/>
      <c r="AG22" s="2">
        <v>29</v>
      </c>
      <c r="AH22" s="2"/>
    </row>
    <row r="23" spans="1:34">
      <c r="A23" t="s">
        <v>83</v>
      </c>
      <c r="B23" t="s">
        <v>84</v>
      </c>
      <c r="C23" s="2">
        <v>46</v>
      </c>
      <c r="D23" s="2"/>
      <c r="E23" s="2">
        <v>47</v>
      </c>
      <c r="F23" s="2"/>
      <c r="G23" s="2">
        <v>48</v>
      </c>
      <c r="H23" s="2"/>
      <c r="I23" s="2">
        <v>49</v>
      </c>
      <c r="J23" s="2"/>
      <c r="K23" s="2">
        <v>49</v>
      </c>
      <c r="L23" s="2"/>
      <c r="M23" s="2">
        <v>51</v>
      </c>
      <c r="N23" s="2"/>
      <c r="O23" s="2">
        <v>54</v>
      </c>
      <c r="P23" s="2"/>
      <c r="Q23" s="2">
        <v>52</v>
      </c>
      <c r="R23" s="2"/>
      <c r="S23" s="2">
        <v>57</v>
      </c>
      <c r="T23" s="2"/>
      <c r="U23" s="2">
        <v>56</v>
      </c>
      <c r="V23" s="2"/>
      <c r="W23" s="2">
        <v>67</v>
      </c>
      <c r="X23" s="2" t="s">
        <v>334</v>
      </c>
      <c r="Y23" s="2">
        <v>76</v>
      </c>
      <c r="Z23" s="2"/>
      <c r="AA23" s="2">
        <v>72</v>
      </c>
      <c r="AB23" s="2"/>
      <c r="AC23" s="2">
        <v>77</v>
      </c>
      <c r="AD23" s="2"/>
      <c r="AE23" s="2">
        <v>70</v>
      </c>
      <c r="AF23" s="2"/>
      <c r="AG23" s="2">
        <v>77</v>
      </c>
      <c r="AH23" s="2"/>
    </row>
    <row r="24" spans="1:34">
      <c r="A24" t="s">
        <v>85</v>
      </c>
      <c r="B24" t="s">
        <v>86</v>
      </c>
      <c r="C24" s="2">
        <v>29</v>
      </c>
      <c r="D24" s="2"/>
      <c r="E24" s="2">
        <v>27</v>
      </c>
      <c r="F24" s="2"/>
      <c r="G24" s="2">
        <v>27</v>
      </c>
      <c r="H24" s="2"/>
      <c r="I24" s="2">
        <v>30</v>
      </c>
      <c r="J24" s="2"/>
      <c r="K24" s="2">
        <v>28</v>
      </c>
      <c r="L24" s="2"/>
      <c r="M24" s="2">
        <v>31</v>
      </c>
      <c r="N24" s="2"/>
      <c r="O24" s="2">
        <v>29</v>
      </c>
      <c r="P24" s="2"/>
      <c r="Q24" s="2">
        <v>30</v>
      </c>
      <c r="R24" s="2"/>
      <c r="S24" s="2">
        <v>32</v>
      </c>
      <c r="T24" s="2"/>
      <c r="U24" s="2">
        <v>25</v>
      </c>
      <c r="V24" s="2"/>
      <c r="W24" s="2">
        <v>32</v>
      </c>
      <c r="X24" s="2" t="s">
        <v>334</v>
      </c>
      <c r="Y24" s="2">
        <v>35</v>
      </c>
      <c r="Z24" s="2"/>
      <c r="AA24" s="2">
        <v>29</v>
      </c>
      <c r="AB24" s="2"/>
      <c r="AC24" s="2">
        <v>36</v>
      </c>
      <c r="AD24" s="2"/>
      <c r="AE24" s="2">
        <v>33</v>
      </c>
      <c r="AF24" s="2"/>
      <c r="AG24" s="2">
        <v>35</v>
      </c>
      <c r="AH24" s="2"/>
    </row>
    <row r="25" spans="1:34">
      <c r="A25" t="s">
        <v>87</v>
      </c>
      <c r="B25" t="s">
        <v>88</v>
      </c>
      <c r="C25" s="2">
        <v>17</v>
      </c>
      <c r="D25" s="2"/>
      <c r="E25" s="2">
        <v>20</v>
      </c>
      <c r="F25" s="2"/>
      <c r="G25" s="2">
        <v>21</v>
      </c>
      <c r="H25" s="2"/>
      <c r="I25" s="2">
        <v>19</v>
      </c>
      <c r="J25" s="2"/>
      <c r="K25" s="2">
        <v>21</v>
      </c>
      <c r="L25" s="2"/>
      <c r="M25" s="2">
        <v>20</v>
      </c>
      <c r="N25" s="2"/>
      <c r="O25" s="2">
        <v>25</v>
      </c>
      <c r="P25" s="2"/>
      <c r="Q25" s="2">
        <v>22</v>
      </c>
      <c r="R25" s="2"/>
      <c r="S25" s="2">
        <v>25</v>
      </c>
      <c r="T25" s="2"/>
      <c r="U25" s="2">
        <v>31</v>
      </c>
      <c r="V25" s="2"/>
      <c r="W25" s="2">
        <v>35</v>
      </c>
      <c r="X25" s="2" t="s">
        <v>334</v>
      </c>
      <c r="Y25" s="2">
        <v>41</v>
      </c>
      <c r="Z25" s="2"/>
      <c r="AA25" s="2">
        <v>43</v>
      </c>
      <c r="AB25" s="2"/>
      <c r="AC25" s="2">
        <v>41</v>
      </c>
      <c r="AD25" s="2"/>
      <c r="AE25" s="2">
        <v>37</v>
      </c>
      <c r="AF25" s="2"/>
      <c r="AG25" s="2">
        <v>42</v>
      </c>
      <c r="AH25" s="2"/>
    </row>
    <row r="26" spans="1:34">
      <c r="A26" t="s">
        <v>89</v>
      </c>
      <c r="B26" t="s">
        <v>90</v>
      </c>
      <c r="C26" s="2">
        <v>1323</v>
      </c>
      <c r="D26" s="2" t="s">
        <v>846</v>
      </c>
      <c r="E26" s="2">
        <v>1366</v>
      </c>
      <c r="F26" s="2"/>
      <c r="G26" s="2">
        <v>1438</v>
      </c>
      <c r="H26" s="2"/>
      <c r="I26" s="2">
        <v>1393</v>
      </c>
      <c r="J26" s="2"/>
      <c r="K26" s="2">
        <v>1360</v>
      </c>
      <c r="L26" s="2"/>
      <c r="M26" s="2">
        <v>1286</v>
      </c>
      <c r="N26" s="2"/>
      <c r="O26" s="2">
        <v>1279</v>
      </c>
      <c r="P26" s="2"/>
      <c r="Q26" s="2">
        <v>1273</v>
      </c>
      <c r="R26" s="2"/>
      <c r="S26" s="2">
        <v>1292</v>
      </c>
      <c r="T26" s="2"/>
      <c r="U26" s="2">
        <v>1281</v>
      </c>
      <c r="V26" s="2"/>
      <c r="W26" s="2">
        <v>1301</v>
      </c>
      <c r="X26" s="2"/>
      <c r="Y26" s="2">
        <v>1359</v>
      </c>
      <c r="Z26" s="2"/>
      <c r="AA26" s="2">
        <v>1360</v>
      </c>
      <c r="AB26" s="2"/>
      <c r="AC26" s="2">
        <v>1384</v>
      </c>
      <c r="AD26" s="2"/>
      <c r="AE26" s="2">
        <v>1376</v>
      </c>
      <c r="AF26" s="2"/>
      <c r="AG26" s="2">
        <v>1360</v>
      </c>
      <c r="AH26" s="2"/>
    </row>
    <row r="27" spans="1:34">
      <c r="A27" t="s">
        <v>91</v>
      </c>
      <c r="B27" t="s">
        <v>92</v>
      </c>
      <c r="C27" s="2">
        <v>1323</v>
      </c>
      <c r="D27" s="2" t="s">
        <v>846</v>
      </c>
      <c r="E27" s="2">
        <v>1366</v>
      </c>
      <c r="F27" s="2"/>
      <c r="G27" s="2">
        <v>1438</v>
      </c>
      <c r="H27" s="2"/>
      <c r="I27" s="2">
        <v>1393</v>
      </c>
      <c r="J27" s="2"/>
      <c r="K27" s="2">
        <v>1360</v>
      </c>
      <c r="L27" s="2"/>
      <c r="M27" s="2">
        <v>1286</v>
      </c>
      <c r="N27" s="2"/>
      <c r="O27" s="2">
        <v>1279</v>
      </c>
      <c r="P27" s="2"/>
      <c r="Q27" s="2">
        <v>1273</v>
      </c>
      <c r="R27" s="2"/>
      <c r="S27" s="2">
        <v>1292</v>
      </c>
      <c r="T27" s="2"/>
      <c r="U27" s="2">
        <v>1281</v>
      </c>
      <c r="V27" s="2"/>
      <c r="W27" s="2">
        <v>1301</v>
      </c>
      <c r="X27" s="2"/>
      <c r="Y27" s="2">
        <v>1359</v>
      </c>
      <c r="Z27" s="2"/>
      <c r="AA27" s="2">
        <v>1360</v>
      </c>
      <c r="AB27" s="2"/>
      <c r="AC27" s="2">
        <v>1384</v>
      </c>
      <c r="AD27" s="2"/>
      <c r="AE27" s="2">
        <v>1376</v>
      </c>
      <c r="AF27" s="2"/>
      <c r="AG27" s="2">
        <v>1360</v>
      </c>
      <c r="AH27" s="2"/>
    </row>
    <row r="28" spans="1:34">
      <c r="A28" t="s">
        <v>93</v>
      </c>
      <c r="B28" t="s">
        <v>94</v>
      </c>
      <c r="C28" s="2">
        <v>170</v>
      </c>
      <c r="D28" s="2" t="s">
        <v>846</v>
      </c>
      <c r="E28" s="2">
        <v>186</v>
      </c>
      <c r="F28" s="2"/>
      <c r="G28" s="2">
        <v>209</v>
      </c>
      <c r="H28" s="2"/>
      <c r="I28" s="2">
        <v>208</v>
      </c>
      <c r="J28" s="2"/>
      <c r="K28" s="2">
        <v>198</v>
      </c>
      <c r="L28" s="2"/>
      <c r="M28" s="2">
        <v>180</v>
      </c>
      <c r="N28" s="2"/>
      <c r="O28" s="2">
        <v>175</v>
      </c>
      <c r="P28" s="2"/>
      <c r="Q28" s="2">
        <v>181</v>
      </c>
      <c r="R28" s="2"/>
      <c r="S28" s="2">
        <v>184</v>
      </c>
      <c r="T28" s="2"/>
      <c r="U28" s="2">
        <v>156</v>
      </c>
      <c r="V28" s="2"/>
      <c r="W28" s="2">
        <v>160</v>
      </c>
      <c r="X28" s="2"/>
      <c r="Y28" s="2">
        <v>157</v>
      </c>
      <c r="Z28" s="2"/>
      <c r="AA28" s="2">
        <v>159</v>
      </c>
      <c r="AB28" s="2"/>
      <c r="AC28" s="2">
        <v>159</v>
      </c>
      <c r="AD28" s="2"/>
      <c r="AE28" s="2">
        <v>188</v>
      </c>
      <c r="AF28" s="2"/>
      <c r="AG28" s="2">
        <v>188</v>
      </c>
      <c r="AH28" s="2"/>
    </row>
    <row r="29" spans="1:34">
      <c r="A29" t="s">
        <v>95</v>
      </c>
      <c r="B29" t="s">
        <v>96</v>
      </c>
      <c r="C29" s="2">
        <v>179</v>
      </c>
      <c r="D29" s="2" t="s">
        <v>846</v>
      </c>
      <c r="E29" s="2">
        <v>187</v>
      </c>
      <c r="F29" s="2"/>
      <c r="G29" s="2">
        <v>234</v>
      </c>
      <c r="H29" s="2"/>
      <c r="I29" s="2">
        <v>223</v>
      </c>
      <c r="J29" s="2"/>
      <c r="K29" s="2">
        <v>220</v>
      </c>
      <c r="L29" s="2"/>
      <c r="M29" s="2">
        <v>211</v>
      </c>
      <c r="N29" s="2"/>
      <c r="O29" s="2">
        <v>226</v>
      </c>
      <c r="P29" s="2"/>
      <c r="Q29" s="2">
        <v>216</v>
      </c>
      <c r="R29" s="2"/>
      <c r="S29" s="2">
        <v>221</v>
      </c>
      <c r="T29" s="2"/>
      <c r="U29" s="2">
        <v>213</v>
      </c>
      <c r="V29" s="2"/>
      <c r="W29" s="2">
        <v>213</v>
      </c>
      <c r="X29" s="2"/>
      <c r="Y29" s="2">
        <v>231</v>
      </c>
      <c r="Z29" s="2"/>
      <c r="AA29" s="2">
        <v>236</v>
      </c>
      <c r="AB29" s="2"/>
      <c r="AC29" s="2">
        <v>232</v>
      </c>
      <c r="AD29" s="2"/>
      <c r="AE29" s="2">
        <v>224</v>
      </c>
      <c r="AF29" s="2"/>
      <c r="AG29" s="2">
        <v>222</v>
      </c>
      <c r="AH29" s="2"/>
    </row>
    <row r="30" spans="1:34">
      <c r="A30" t="s">
        <v>97</v>
      </c>
      <c r="B30" t="s">
        <v>98</v>
      </c>
      <c r="C30" s="2">
        <v>153</v>
      </c>
      <c r="D30" s="2" t="s">
        <v>846</v>
      </c>
      <c r="E30" s="2">
        <v>162</v>
      </c>
      <c r="F30" s="2"/>
      <c r="G30" s="2">
        <v>150</v>
      </c>
      <c r="H30" s="2"/>
      <c r="I30" s="2">
        <v>151</v>
      </c>
      <c r="J30" s="2"/>
      <c r="K30" s="2">
        <v>155</v>
      </c>
      <c r="L30" s="2"/>
      <c r="M30" s="2">
        <v>141</v>
      </c>
      <c r="N30" s="2"/>
      <c r="O30" s="2">
        <v>144</v>
      </c>
      <c r="P30" s="2"/>
      <c r="Q30" s="2">
        <v>144</v>
      </c>
      <c r="R30" s="2"/>
      <c r="S30" s="2">
        <v>157</v>
      </c>
      <c r="T30" s="2"/>
      <c r="U30" s="2">
        <v>164</v>
      </c>
      <c r="V30" s="2"/>
      <c r="W30" s="2">
        <v>172</v>
      </c>
      <c r="X30" s="2"/>
      <c r="Y30" s="2">
        <v>173</v>
      </c>
      <c r="Z30" s="2"/>
      <c r="AA30" s="2">
        <v>169</v>
      </c>
      <c r="AB30" s="2"/>
      <c r="AC30" s="2">
        <v>191</v>
      </c>
      <c r="AD30" s="2"/>
      <c r="AE30" s="2">
        <v>175</v>
      </c>
      <c r="AF30" s="2"/>
      <c r="AG30" s="2">
        <v>169</v>
      </c>
      <c r="AH30" s="2"/>
    </row>
    <row r="31" spans="1:34">
      <c r="A31" t="s">
        <v>99</v>
      </c>
      <c r="B31" t="s">
        <v>100</v>
      </c>
      <c r="C31" s="2">
        <v>140</v>
      </c>
      <c r="D31" s="2" t="s">
        <v>846</v>
      </c>
      <c r="E31" s="2">
        <v>138</v>
      </c>
      <c r="F31" s="2"/>
      <c r="G31" s="2">
        <v>128</v>
      </c>
      <c r="H31" s="2"/>
      <c r="I31" s="2">
        <v>122</v>
      </c>
      <c r="J31" s="2"/>
      <c r="K31" s="2">
        <v>122</v>
      </c>
      <c r="L31" s="2"/>
      <c r="M31" s="2">
        <v>109</v>
      </c>
      <c r="N31" s="2"/>
      <c r="O31" s="2">
        <v>113</v>
      </c>
      <c r="P31" s="2"/>
      <c r="Q31" s="2">
        <v>109</v>
      </c>
      <c r="R31" s="2"/>
      <c r="S31" s="2">
        <v>110</v>
      </c>
      <c r="T31" s="2"/>
      <c r="U31" s="2">
        <v>106</v>
      </c>
      <c r="V31" s="2"/>
      <c r="W31" s="2">
        <v>108</v>
      </c>
      <c r="X31" s="2"/>
      <c r="Y31" s="2">
        <v>112</v>
      </c>
      <c r="Z31" s="2"/>
      <c r="AA31" s="2">
        <v>102</v>
      </c>
      <c r="AB31" s="2"/>
      <c r="AC31" s="2">
        <v>116</v>
      </c>
      <c r="AD31" s="2"/>
      <c r="AE31" s="2">
        <v>96</v>
      </c>
      <c r="AF31" s="2"/>
      <c r="AG31" s="2">
        <v>98</v>
      </c>
      <c r="AH31" s="2"/>
    </row>
    <row r="32" spans="1:34">
      <c r="A32" t="s">
        <v>101</v>
      </c>
      <c r="B32" t="s">
        <v>102</v>
      </c>
      <c r="C32" s="2">
        <v>233</v>
      </c>
      <c r="D32" s="2" t="s">
        <v>846</v>
      </c>
      <c r="E32" s="2">
        <v>234</v>
      </c>
      <c r="F32" s="2"/>
      <c r="G32" s="2">
        <v>257</v>
      </c>
      <c r="H32" s="2"/>
      <c r="I32" s="2">
        <v>261</v>
      </c>
      <c r="J32" s="2"/>
      <c r="K32" s="2">
        <v>252</v>
      </c>
      <c r="L32" s="2"/>
      <c r="M32" s="2">
        <v>235</v>
      </c>
      <c r="N32" s="2"/>
      <c r="O32" s="2">
        <v>233</v>
      </c>
      <c r="P32" s="2"/>
      <c r="Q32" s="2">
        <v>234</v>
      </c>
      <c r="R32" s="2"/>
      <c r="S32" s="2">
        <v>234</v>
      </c>
      <c r="T32" s="2"/>
      <c r="U32" s="2">
        <v>241</v>
      </c>
      <c r="V32" s="2"/>
      <c r="W32" s="2">
        <v>241</v>
      </c>
      <c r="X32" s="2"/>
      <c r="Y32" s="2">
        <v>267</v>
      </c>
      <c r="Z32" s="2"/>
      <c r="AA32" s="2">
        <v>272</v>
      </c>
      <c r="AB32" s="2"/>
      <c r="AC32" s="2">
        <v>251</v>
      </c>
      <c r="AD32" s="2"/>
      <c r="AE32" s="2">
        <v>259</v>
      </c>
      <c r="AF32" s="2"/>
      <c r="AG32" s="2">
        <v>263</v>
      </c>
      <c r="AH32" s="2"/>
    </row>
    <row r="33" spans="1:34">
      <c r="A33" t="s">
        <v>103</v>
      </c>
      <c r="B33" t="s">
        <v>104</v>
      </c>
      <c r="C33" s="2">
        <v>174</v>
      </c>
      <c r="D33" s="2" t="s">
        <v>846</v>
      </c>
      <c r="E33" s="2">
        <v>184</v>
      </c>
      <c r="F33" s="2"/>
      <c r="G33" s="2">
        <v>181</v>
      </c>
      <c r="H33" s="2"/>
      <c r="I33" s="2">
        <v>168</v>
      </c>
      <c r="J33" s="2"/>
      <c r="K33" s="2">
        <v>163</v>
      </c>
      <c r="L33" s="2"/>
      <c r="M33" s="2">
        <v>156</v>
      </c>
      <c r="N33" s="2"/>
      <c r="O33" s="2">
        <v>159</v>
      </c>
      <c r="P33" s="2"/>
      <c r="Q33" s="2">
        <v>163</v>
      </c>
      <c r="R33" s="2"/>
      <c r="S33" s="2">
        <v>159</v>
      </c>
      <c r="T33" s="2"/>
      <c r="U33" s="2">
        <v>169</v>
      </c>
      <c r="V33" s="2"/>
      <c r="W33" s="2">
        <v>171</v>
      </c>
      <c r="X33" s="2"/>
      <c r="Y33" s="2">
        <v>177</v>
      </c>
      <c r="Z33" s="2"/>
      <c r="AA33" s="2">
        <v>175</v>
      </c>
      <c r="AB33" s="2"/>
      <c r="AC33" s="2">
        <v>189</v>
      </c>
      <c r="AD33" s="2"/>
      <c r="AE33" s="2">
        <v>192</v>
      </c>
      <c r="AF33" s="2"/>
      <c r="AG33" s="2">
        <v>174</v>
      </c>
      <c r="AH33" s="2"/>
    </row>
    <row r="34" spans="1:34">
      <c r="A34" t="s">
        <v>105</v>
      </c>
      <c r="B34" t="s">
        <v>106</v>
      </c>
      <c r="C34" s="2">
        <v>143</v>
      </c>
      <c r="D34" s="2" t="s">
        <v>846</v>
      </c>
      <c r="E34" s="2">
        <v>150</v>
      </c>
      <c r="F34" s="2"/>
      <c r="G34" s="2">
        <v>147</v>
      </c>
      <c r="H34" s="2"/>
      <c r="I34" s="2">
        <v>137</v>
      </c>
      <c r="J34" s="2"/>
      <c r="K34" s="2">
        <v>136</v>
      </c>
      <c r="L34" s="2"/>
      <c r="M34" s="2">
        <v>133</v>
      </c>
      <c r="N34" s="2"/>
      <c r="O34" s="2">
        <v>126</v>
      </c>
      <c r="P34" s="2"/>
      <c r="Q34" s="2">
        <v>121</v>
      </c>
      <c r="R34" s="2"/>
      <c r="S34" s="2">
        <v>119</v>
      </c>
      <c r="T34" s="2"/>
      <c r="U34" s="2">
        <v>118</v>
      </c>
      <c r="V34" s="2"/>
      <c r="W34" s="2">
        <v>123</v>
      </c>
      <c r="X34" s="2"/>
      <c r="Y34" s="2">
        <v>122</v>
      </c>
      <c r="Z34" s="2"/>
      <c r="AA34" s="2">
        <v>120</v>
      </c>
      <c r="AB34" s="2"/>
      <c r="AC34" s="2">
        <v>127</v>
      </c>
      <c r="AD34" s="2"/>
      <c r="AE34" s="2">
        <v>116</v>
      </c>
      <c r="AF34" s="2"/>
      <c r="AG34" s="2">
        <v>121</v>
      </c>
      <c r="AH34" s="2"/>
    </row>
    <row r="35" spans="1:34">
      <c r="A35" t="s">
        <v>107</v>
      </c>
      <c r="B35" t="s">
        <v>108</v>
      </c>
      <c r="C35" s="2">
        <v>131</v>
      </c>
      <c r="D35" s="2" t="s">
        <v>846</v>
      </c>
      <c r="E35" s="2">
        <v>125</v>
      </c>
      <c r="F35" s="2"/>
      <c r="G35" s="2">
        <v>132</v>
      </c>
      <c r="H35" s="2"/>
      <c r="I35" s="2">
        <v>123</v>
      </c>
      <c r="J35" s="2"/>
      <c r="K35" s="2">
        <v>114</v>
      </c>
      <c r="L35" s="2"/>
      <c r="M35" s="2">
        <v>121</v>
      </c>
      <c r="N35" s="2"/>
      <c r="O35" s="2">
        <v>103</v>
      </c>
      <c r="P35" s="2"/>
      <c r="Q35" s="2">
        <v>105</v>
      </c>
      <c r="R35" s="2"/>
      <c r="S35" s="2">
        <v>108</v>
      </c>
      <c r="T35" s="2"/>
      <c r="U35" s="2">
        <v>114</v>
      </c>
      <c r="V35" s="2"/>
      <c r="W35" s="2">
        <v>113</v>
      </c>
      <c r="X35" s="2"/>
      <c r="Y35" s="2">
        <v>120</v>
      </c>
      <c r="Z35" s="2"/>
      <c r="AA35" s="2">
        <v>127</v>
      </c>
      <c r="AB35" s="2"/>
      <c r="AC35" s="2">
        <v>119</v>
      </c>
      <c r="AD35" s="2"/>
      <c r="AE35" s="2">
        <v>126</v>
      </c>
      <c r="AF35" s="2"/>
      <c r="AG35" s="2">
        <v>125</v>
      </c>
      <c r="AH35" s="2"/>
    </row>
    <row r="36" spans="1:34">
      <c r="A36" t="s">
        <v>109</v>
      </c>
      <c r="B36" t="s">
        <v>68</v>
      </c>
      <c r="C36" s="2">
        <v>0</v>
      </c>
      <c r="D36" s="2" t="s">
        <v>846</v>
      </c>
      <c r="E36" s="2">
        <v>0</v>
      </c>
      <c r="F36" s="2"/>
      <c r="G36" s="2">
        <v>0</v>
      </c>
      <c r="H36" s="2"/>
      <c r="I36" s="2">
        <v>0</v>
      </c>
      <c r="J36" s="2"/>
      <c r="K36" s="2">
        <v>0</v>
      </c>
      <c r="L36" s="2"/>
      <c r="M36" s="2" t="s">
        <v>43</v>
      </c>
      <c r="N36" s="2"/>
      <c r="O36" s="2" t="s">
        <v>43</v>
      </c>
      <c r="P36" s="2"/>
      <c r="Q36" s="2" t="s">
        <v>43</v>
      </c>
      <c r="R36" s="2"/>
      <c r="S36" s="2" t="s">
        <v>43</v>
      </c>
      <c r="T36" s="2"/>
      <c r="U36" s="2">
        <v>0</v>
      </c>
      <c r="V36" s="2"/>
      <c r="W36" s="2">
        <v>0</v>
      </c>
      <c r="X36" s="2"/>
      <c r="Y36" s="2" t="s">
        <v>43</v>
      </c>
      <c r="Z36" s="2"/>
      <c r="AA36" s="2" t="s">
        <v>43</v>
      </c>
      <c r="AB36" s="2"/>
      <c r="AC36" s="2">
        <v>0</v>
      </c>
      <c r="AD36" s="2"/>
      <c r="AE36" s="2">
        <v>0</v>
      </c>
      <c r="AF36" s="2"/>
      <c r="AG36" s="2">
        <v>0</v>
      </c>
      <c r="AH36" s="2"/>
    </row>
    <row r="37" spans="1:34">
      <c r="A37" t="s">
        <v>110</v>
      </c>
      <c r="B37" t="s">
        <v>70</v>
      </c>
      <c r="C37" s="2">
        <v>0</v>
      </c>
      <c r="D37" s="2" t="s">
        <v>846</v>
      </c>
      <c r="E37" s="2">
        <v>0</v>
      </c>
      <c r="F37" s="2"/>
      <c r="G37" s="2">
        <v>0</v>
      </c>
      <c r="H37" s="2"/>
      <c r="I37" s="2">
        <v>0</v>
      </c>
      <c r="J37" s="2"/>
      <c r="K37" s="2">
        <v>0</v>
      </c>
      <c r="L37" s="2"/>
      <c r="M37" s="2" t="s">
        <v>43</v>
      </c>
      <c r="N37" s="2"/>
      <c r="O37" s="2" t="s">
        <v>43</v>
      </c>
      <c r="P37" s="2"/>
      <c r="Q37" s="2" t="s">
        <v>43</v>
      </c>
      <c r="R37" s="2"/>
      <c r="S37" s="2" t="s">
        <v>43</v>
      </c>
      <c r="T37" s="2"/>
      <c r="U37" s="2">
        <v>0</v>
      </c>
      <c r="V37" s="2"/>
      <c r="W37" s="2">
        <v>0</v>
      </c>
      <c r="X37" s="2"/>
      <c r="Y37" s="2" t="s">
        <v>43</v>
      </c>
      <c r="Z37" s="2"/>
      <c r="AA37" s="2" t="s">
        <v>43</v>
      </c>
      <c r="AB37" s="2"/>
      <c r="AC37" s="2">
        <v>0</v>
      </c>
      <c r="AD37" s="2"/>
      <c r="AE37" s="2">
        <v>0</v>
      </c>
      <c r="AF37" s="2"/>
      <c r="AG37" s="2">
        <v>0</v>
      </c>
      <c r="AH37" s="2"/>
    </row>
    <row r="38" spans="1:34">
      <c r="A38" t="s">
        <v>111</v>
      </c>
      <c r="B38" t="s">
        <v>112</v>
      </c>
      <c r="C38" s="2">
        <v>196</v>
      </c>
      <c r="D38" s="2"/>
      <c r="E38" s="2">
        <v>200</v>
      </c>
      <c r="F38" s="2"/>
      <c r="G38" s="2">
        <v>195</v>
      </c>
      <c r="H38" s="2"/>
      <c r="I38" s="2">
        <v>196</v>
      </c>
      <c r="J38" s="2"/>
      <c r="K38" s="2">
        <v>196</v>
      </c>
      <c r="L38" s="2"/>
      <c r="M38" s="2">
        <v>174</v>
      </c>
      <c r="N38" s="2"/>
      <c r="O38" s="2">
        <v>174</v>
      </c>
      <c r="P38" s="2"/>
      <c r="Q38" s="2">
        <v>171</v>
      </c>
      <c r="R38" s="2"/>
      <c r="S38" s="2">
        <v>171</v>
      </c>
      <c r="T38" s="2"/>
      <c r="U38" s="2">
        <v>173</v>
      </c>
      <c r="V38" s="2"/>
      <c r="W38" s="2">
        <v>167</v>
      </c>
      <c r="X38" s="2"/>
      <c r="Y38" s="2">
        <v>170</v>
      </c>
      <c r="Z38" s="2"/>
      <c r="AA38" s="2">
        <v>163</v>
      </c>
      <c r="AB38" s="2"/>
      <c r="AC38" s="2">
        <v>163</v>
      </c>
      <c r="AD38" s="2"/>
      <c r="AE38" s="2">
        <v>162</v>
      </c>
      <c r="AF38" s="2"/>
      <c r="AG38" s="2">
        <v>158</v>
      </c>
      <c r="AH38" s="2"/>
    </row>
    <row r="39" spans="1:34">
      <c r="A39" t="s">
        <v>113</v>
      </c>
      <c r="B39" t="s">
        <v>114</v>
      </c>
      <c r="C39" s="2">
        <v>196</v>
      </c>
      <c r="D39" s="2"/>
      <c r="E39" s="2">
        <v>200</v>
      </c>
      <c r="F39" s="2"/>
      <c r="G39" s="2">
        <v>195</v>
      </c>
      <c r="H39" s="2"/>
      <c r="I39" s="2">
        <v>196</v>
      </c>
      <c r="J39" s="2"/>
      <c r="K39" s="2">
        <v>196</v>
      </c>
      <c r="L39" s="2"/>
      <c r="M39" s="2">
        <v>174</v>
      </c>
      <c r="N39" s="2"/>
      <c r="O39" s="2">
        <v>174</v>
      </c>
      <c r="P39" s="2"/>
      <c r="Q39" s="2">
        <v>171</v>
      </c>
      <c r="R39" s="2"/>
      <c r="S39" s="2">
        <v>171</v>
      </c>
      <c r="T39" s="2"/>
      <c r="U39" s="2">
        <v>173</v>
      </c>
      <c r="V39" s="2"/>
      <c r="W39" s="2">
        <v>167</v>
      </c>
      <c r="X39" s="2"/>
      <c r="Y39" s="2">
        <v>170</v>
      </c>
      <c r="Z39" s="2"/>
      <c r="AA39" s="2">
        <v>163</v>
      </c>
      <c r="AB39" s="2"/>
      <c r="AC39" s="2">
        <v>163</v>
      </c>
      <c r="AD39" s="2"/>
      <c r="AE39" s="2">
        <v>162</v>
      </c>
      <c r="AF39" s="2"/>
      <c r="AG39" s="2">
        <v>158</v>
      </c>
      <c r="AH39" s="2"/>
    </row>
    <row r="40" spans="1:34">
      <c r="A40" t="s">
        <v>115</v>
      </c>
      <c r="B40" t="s">
        <v>116</v>
      </c>
      <c r="C40" s="2">
        <v>28</v>
      </c>
      <c r="D40" s="2"/>
      <c r="E40" s="2">
        <v>25</v>
      </c>
      <c r="F40" s="2"/>
      <c r="G40" s="2">
        <v>25</v>
      </c>
      <c r="H40" s="2"/>
      <c r="I40" s="2">
        <v>30</v>
      </c>
      <c r="J40" s="2"/>
      <c r="K40" s="2">
        <v>28</v>
      </c>
      <c r="L40" s="2"/>
      <c r="M40" s="2">
        <v>26</v>
      </c>
      <c r="N40" s="2"/>
      <c r="O40" s="2">
        <v>26</v>
      </c>
      <c r="P40" s="2"/>
      <c r="Q40" s="2">
        <v>26</v>
      </c>
      <c r="R40" s="2"/>
      <c r="S40" s="2">
        <v>27</v>
      </c>
      <c r="T40" s="2"/>
      <c r="U40" s="2">
        <v>25</v>
      </c>
      <c r="V40" s="2"/>
      <c r="W40" s="2">
        <v>28</v>
      </c>
      <c r="X40" s="2"/>
      <c r="Y40" s="2">
        <v>27</v>
      </c>
      <c r="Z40" s="2"/>
      <c r="AA40" s="2">
        <v>25</v>
      </c>
      <c r="AB40" s="2"/>
      <c r="AC40" s="2">
        <v>24</v>
      </c>
      <c r="AD40" s="2"/>
      <c r="AE40" s="2">
        <v>22</v>
      </c>
      <c r="AF40" s="2"/>
      <c r="AG40" s="2">
        <v>20</v>
      </c>
      <c r="AH40" s="2"/>
    </row>
    <row r="41" spans="1:34">
      <c r="A41" t="s">
        <v>117</v>
      </c>
      <c r="B41" t="s">
        <v>118</v>
      </c>
      <c r="C41" s="2">
        <v>22</v>
      </c>
      <c r="D41" s="2"/>
      <c r="E41" s="2">
        <v>25</v>
      </c>
      <c r="F41" s="2"/>
      <c r="G41" s="2">
        <v>23</v>
      </c>
      <c r="H41" s="2"/>
      <c r="I41" s="2">
        <v>21</v>
      </c>
      <c r="J41" s="2"/>
      <c r="K41" s="2">
        <v>21</v>
      </c>
      <c r="L41" s="2"/>
      <c r="M41" s="2">
        <v>17</v>
      </c>
      <c r="N41" s="2"/>
      <c r="O41" s="2">
        <v>17</v>
      </c>
      <c r="P41" s="2"/>
      <c r="Q41" s="2">
        <v>16</v>
      </c>
      <c r="R41" s="2"/>
      <c r="S41" s="2">
        <v>17</v>
      </c>
      <c r="T41" s="2"/>
      <c r="U41" s="2">
        <v>17</v>
      </c>
      <c r="V41" s="2"/>
      <c r="W41" s="2">
        <v>14</v>
      </c>
      <c r="X41" s="2"/>
      <c r="Y41" s="2">
        <v>16</v>
      </c>
      <c r="Z41" s="2"/>
      <c r="AA41" s="2">
        <v>16</v>
      </c>
      <c r="AB41" s="2"/>
      <c r="AC41" s="2">
        <v>17</v>
      </c>
      <c r="AD41" s="2"/>
      <c r="AE41" s="2">
        <v>17</v>
      </c>
      <c r="AF41" s="2"/>
      <c r="AG41" s="2">
        <v>17</v>
      </c>
      <c r="AH41" s="2"/>
    </row>
    <row r="42" spans="1:34">
      <c r="A42" t="s">
        <v>119</v>
      </c>
      <c r="B42" t="s">
        <v>120</v>
      </c>
      <c r="C42" s="2">
        <v>62</v>
      </c>
      <c r="D42" s="2"/>
      <c r="E42" s="2">
        <v>64</v>
      </c>
      <c r="F42" s="2"/>
      <c r="G42" s="2">
        <v>65</v>
      </c>
      <c r="H42" s="2"/>
      <c r="I42" s="2">
        <v>62</v>
      </c>
      <c r="J42" s="2"/>
      <c r="K42" s="2">
        <v>69</v>
      </c>
      <c r="L42" s="2"/>
      <c r="M42" s="2">
        <v>61</v>
      </c>
      <c r="N42" s="2"/>
      <c r="O42" s="2">
        <v>60</v>
      </c>
      <c r="P42" s="2"/>
      <c r="Q42" s="2">
        <v>62</v>
      </c>
      <c r="R42" s="2"/>
      <c r="S42" s="2">
        <v>58</v>
      </c>
      <c r="T42" s="2"/>
      <c r="U42" s="2">
        <v>62</v>
      </c>
      <c r="V42" s="2"/>
      <c r="W42" s="2">
        <v>61</v>
      </c>
      <c r="X42" s="2"/>
      <c r="Y42" s="2">
        <v>62</v>
      </c>
      <c r="Z42" s="2"/>
      <c r="AA42" s="2">
        <v>60</v>
      </c>
      <c r="AB42" s="2"/>
      <c r="AC42" s="2">
        <v>59</v>
      </c>
      <c r="AD42" s="2"/>
      <c r="AE42" s="2">
        <v>58</v>
      </c>
      <c r="AF42" s="2"/>
      <c r="AG42" s="2">
        <v>60</v>
      </c>
      <c r="AH42" s="2"/>
    </row>
    <row r="43" spans="1:34">
      <c r="A43" t="s">
        <v>121</v>
      </c>
      <c r="B43" t="s">
        <v>122</v>
      </c>
      <c r="C43" s="2">
        <v>60</v>
      </c>
      <c r="D43" s="2"/>
      <c r="E43" s="2">
        <v>62</v>
      </c>
      <c r="F43" s="2"/>
      <c r="G43" s="2">
        <v>59</v>
      </c>
      <c r="H43" s="2"/>
      <c r="I43" s="2">
        <v>61</v>
      </c>
      <c r="J43" s="2"/>
      <c r="K43" s="2">
        <v>60</v>
      </c>
      <c r="L43" s="2"/>
      <c r="M43" s="2">
        <v>55</v>
      </c>
      <c r="N43" s="2"/>
      <c r="O43" s="2">
        <v>55</v>
      </c>
      <c r="P43" s="2"/>
      <c r="Q43" s="2">
        <v>53</v>
      </c>
      <c r="R43" s="2"/>
      <c r="S43" s="2">
        <v>55</v>
      </c>
      <c r="T43" s="2"/>
      <c r="U43" s="2">
        <v>54</v>
      </c>
      <c r="V43" s="2"/>
      <c r="W43" s="2">
        <v>51</v>
      </c>
      <c r="X43" s="2"/>
      <c r="Y43" s="2">
        <v>51</v>
      </c>
      <c r="Z43" s="2"/>
      <c r="AA43" s="2">
        <v>48</v>
      </c>
      <c r="AB43" s="2"/>
      <c r="AC43" s="2">
        <v>50</v>
      </c>
      <c r="AD43" s="2"/>
      <c r="AE43" s="2">
        <v>50</v>
      </c>
      <c r="AF43" s="2"/>
      <c r="AG43" s="2">
        <v>48</v>
      </c>
      <c r="AH43" s="2"/>
    </row>
    <row r="44" spans="1:34">
      <c r="A44" t="s">
        <v>123</v>
      </c>
      <c r="B44" t="s">
        <v>124</v>
      </c>
      <c r="C44" s="2">
        <v>24</v>
      </c>
      <c r="D44" s="2"/>
      <c r="E44" s="2">
        <v>24</v>
      </c>
      <c r="F44" s="2"/>
      <c r="G44" s="2">
        <v>23</v>
      </c>
      <c r="H44" s="2"/>
      <c r="I44" s="2">
        <v>22</v>
      </c>
      <c r="J44" s="2"/>
      <c r="K44" s="2">
        <v>18</v>
      </c>
      <c r="L44" s="2"/>
      <c r="M44" s="2">
        <v>15</v>
      </c>
      <c r="N44" s="2"/>
      <c r="O44" s="2">
        <v>16</v>
      </c>
      <c r="P44" s="2"/>
      <c r="Q44" s="2">
        <v>14</v>
      </c>
      <c r="R44" s="2"/>
      <c r="S44" s="2">
        <v>14</v>
      </c>
      <c r="T44" s="2"/>
      <c r="U44" s="2">
        <v>15</v>
      </c>
      <c r="V44" s="2"/>
      <c r="W44" s="2">
        <v>13</v>
      </c>
      <c r="X44" s="2"/>
      <c r="Y44" s="2">
        <v>14</v>
      </c>
      <c r="Z44" s="2"/>
      <c r="AA44" s="2">
        <v>14</v>
      </c>
      <c r="AB44" s="2"/>
      <c r="AC44" s="2">
        <v>13</v>
      </c>
      <c r="AD44" s="2"/>
      <c r="AE44" s="2">
        <v>15</v>
      </c>
      <c r="AF44" s="2"/>
      <c r="AG44" s="2">
        <v>13</v>
      </c>
      <c r="AH44" s="2"/>
    </row>
    <row r="45" spans="1:34">
      <c r="A45" t="s">
        <v>127</v>
      </c>
      <c r="B45" t="s">
        <v>128</v>
      </c>
      <c r="C45" s="2">
        <v>1369</v>
      </c>
      <c r="D45" s="2"/>
      <c r="E45" s="2">
        <v>1368</v>
      </c>
      <c r="F45" s="2" t="s">
        <v>847</v>
      </c>
      <c r="G45" s="2">
        <v>6460</v>
      </c>
      <c r="H45" s="2"/>
      <c r="I45" s="2">
        <v>6207</v>
      </c>
      <c r="J45" s="2"/>
      <c r="K45" s="2">
        <v>5948</v>
      </c>
      <c r="L45" s="2"/>
      <c r="M45" s="2">
        <v>5884</v>
      </c>
      <c r="N45" s="2"/>
      <c r="O45" s="2">
        <v>5805</v>
      </c>
      <c r="P45" s="2"/>
      <c r="Q45" s="2">
        <v>5772</v>
      </c>
      <c r="R45" s="2"/>
      <c r="S45" s="2">
        <v>5613</v>
      </c>
      <c r="T45" s="2"/>
      <c r="U45" s="2">
        <v>5512</v>
      </c>
      <c r="V45" s="2"/>
      <c r="W45" s="2">
        <v>5472</v>
      </c>
      <c r="X45" s="2"/>
      <c r="Y45" s="2">
        <v>5388</v>
      </c>
      <c r="Z45" s="2"/>
      <c r="AA45" s="2">
        <v>5285</v>
      </c>
      <c r="AB45" s="2"/>
      <c r="AC45" s="2">
        <v>3695</v>
      </c>
      <c r="AD45" s="2"/>
      <c r="AE45" s="2">
        <v>3720</v>
      </c>
      <c r="AF45" s="2"/>
      <c r="AG45" s="2">
        <v>3717</v>
      </c>
      <c r="AH45" s="2"/>
    </row>
    <row r="46" spans="1:34">
      <c r="A46" t="s">
        <v>129</v>
      </c>
      <c r="B46" t="s">
        <v>130</v>
      </c>
      <c r="C46" s="2">
        <v>325</v>
      </c>
      <c r="D46" s="2"/>
      <c r="E46" s="2">
        <v>314</v>
      </c>
      <c r="F46" s="2" t="s">
        <v>847</v>
      </c>
      <c r="G46" s="2">
        <v>1396</v>
      </c>
      <c r="H46" s="2"/>
      <c r="I46" s="2">
        <v>1317</v>
      </c>
      <c r="J46" s="2"/>
      <c r="K46" s="2">
        <v>1256</v>
      </c>
      <c r="L46" s="2"/>
      <c r="M46" s="2">
        <v>1282</v>
      </c>
      <c r="N46" s="2"/>
      <c r="O46" s="2">
        <v>1274</v>
      </c>
      <c r="P46" s="2"/>
      <c r="Q46" s="2">
        <v>1250</v>
      </c>
      <c r="R46" s="2"/>
      <c r="S46" s="2">
        <v>1171</v>
      </c>
      <c r="T46" s="2"/>
      <c r="U46" s="2">
        <v>1125</v>
      </c>
      <c r="V46" s="2"/>
      <c r="W46" s="2">
        <v>1099</v>
      </c>
      <c r="X46" s="2"/>
      <c r="Y46" s="2">
        <v>1072</v>
      </c>
      <c r="Z46" s="2"/>
      <c r="AA46" s="2">
        <v>1079</v>
      </c>
      <c r="AB46" s="2"/>
      <c r="AC46" s="2">
        <v>700</v>
      </c>
      <c r="AD46" s="2"/>
      <c r="AE46" s="2">
        <v>707</v>
      </c>
      <c r="AF46" s="2"/>
      <c r="AG46" s="2">
        <v>696</v>
      </c>
      <c r="AH46" s="2"/>
    </row>
    <row r="47" spans="1:34">
      <c r="A47" t="s">
        <v>131</v>
      </c>
      <c r="B47" t="s">
        <v>132</v>
      </c>
      <c r="C47" s="2">
        <v>145</v>
      </c>
      <c r="D47" s="2"/>
      <c r="E47" s="2">
        <v>139</v>
      </c>
      <c r="F47" s="2" t="s">
        <v>847</v>
      </c>
      <c r="G47" s="2">
        <v>624</v>
      </c>
      <c r="H47" s="2"/>
      <c r="I47" s="2">
        <v>604</v>
      </c>
      <c r="J47" s="2"/>
      <c r="K47" s="2">
        <v>580</v>
      </c>
      <c r="L47" s="2"/>
      <c r="M47" s="2">
        <v>591</v>
      </c>
      <c r="N47" s="2"/>
      <c r="O47" s="2">
        <v>601</v>
      </c>
      <c r="P47" s="2"/>
      <c r="Q47" s="2">
        <v>598</v>
      </c>
      <c r="R47" s="2"/>
      <c r="S47" s="2">
        <v>556</v>
      </c>
      <c r="T47" s="2"/>
      <c r="U47" s="2">
        <v>532</v>
      </c>
      <c r="V47" s="2"/>
      <c r="W47" s="2">
        <v>521</v>
      </c>
      <c r="X47" s="2"/>
      <c r="Y47" s="2">
        <v>494</v>
      </c>
      <c r="Z47" s="2"/>
      <c r="AA47" s="2">
        <v>506</v>
      </c>
      <c r="AB47" s="2"/>
      <c r="AC47" s="2">
        <v>293</v>
      </c>
      <c r="AD47" s="2"/>
      <c r="AE47" s="2">
        <v>291</v>
      </c>
      <c r="AF47" s="2"/>
      <c r="AG47" s="2">
        <v>285</v>
      </c>
      <c r="AH47" s="2"/>
    </row>
    <row r="48" spans="1:34">
      <c r="A48" t="s">
        <v>133</v>
      </c>
      <c r="B48" t="s">
        <v>134</v>
      </c>
      <c r="C48" s="2">
        <v>78</v>
      </c>
      <c r="D48" s="2"/>
      <c r="E48" s="2">
        <v>76</v>
      </c>
      <c r="F48" s="2" t="s">
        <v>847</v>
      </c>
      <c r="G48" s="2">
        <v>350</v>
      </c>
      <c r="H48" s="2"/>
      <c r="I48" s="2">
        <v>330</v>
      </c>
      <c r="J48" s="2"/>
      <c r="K48" s="2">
        <v>295</v>
      </c>
      <c r="L48" s="2"/>
      <c r="M48" s="2">
        <v>302</v>
      </c>
      <c r="N48" s="2"/>
      <c r="O48" s="2">
        <v>294</v>
      </c>
      <c r="P48" s="2"/>
      <c r="Q48" s="2">
        <v>290</v>
      </c>
      <c r="R48" s="2"/>
      <c r="S48" s="2">
        <v>271</v>
      </c>
      <c r="T48" s="2"/>
      <c r="U48" s="2">
        <v>272</v>
      </c>
      <c r="V48" s="2"/>
      <c r="W48" s="2">
        <v>258</v>
      </c>
      <c r="X48" s="2"/>
      <c r="Y48" s="2">
        <v>255</v>
      </c>
      <c r="Z48" s="2"/>
      <c r="AA48" s="2">
        <v>250</v>
      </c>
      <c r="AB48" s="2"/>
      <c r="AC48" s="2">
        <v>157</v>
      </c>
      <c r="AD48" s="2"/>
      <c r="AE48" s="2">
        <v>162</v>
      </c>
      <c r="AF48" s="2"/>
      <c r="AG48" s="2">
        <v>158</v>
      </c>
      <c r="AH48" s="2"/>
    </row>
    <row r="49" spans="1:34">
      <c r="A49" t="s">
        <v>135</v>
      </c>
      <c r="B49" t="s">
        <v>136</v>
      </c>
      <c r="C49" s="2">
        <v>42</v>
      </c>
      <c r="D49" s="2"/>
      <c r="E49" s="2">
        <v>41</v>
      </c>
      <c r="F49" s="2" t="s">
        <v>847</v>
      </c>
      <c r="G49" s="2">
        <v>185</v>
      </c>
      <c r="H49" s="2"/>
      <c r="I49" s="2">
        <v>177</v>
      </c>
      <c r="J49" s="2"/>
      <c r="K49" s="2">
        <v>184</v>
      </c>
      <c r="L49" s="2"/>
      <c r="M49" s="2">
        <v>180</v>
      </c>
      <c r="N49" s="2"/>
      <c r="O49" s="2">
        <v>182</v>
      </c>
      <c r="P49" s="2"/>
      <c r="Q49" s="2">
        <v>176</v>
      </c>
      <c r="R49" s="2"/>
      <c r="S49" s="2">
        <v>168</v>
      </c>
      <c r="T49" s="2"/>
      <c r="U49" s="2">
        <v>157</v>
      </c>
      <c r="V49" s="2"/>
      <c r="W49" s="2">
        <v>147</v>
      </c>
      <c r="X49" s="2"/>
      <c r="Y49" s="2">
        <v>147</v>
      </c>
      <c r="Z49" s="2"/>
      <c r="AA49" s="2">
        <v>145</v>
      </c>
      <c r="AB49" s="2"/>
      <c r="AC49" s="2">
        <v>119</v>
      </c>
      <c r="AD49" s="2"/>
      <c r="AE49" s="2">
        <v>117</v>
      </c>
      <c r="AF49" s="2"/>
      <c r="AG49" s="2">
        <v>125</v>
      </c>
      <c r="AH49" s="2"/>
    </row>
    <row r="50" spans="1:34">
      <c r="A50" t="s">
        <v>137</v>
      </c>
      <c r="B50" t="s">
        <v>138</v>
      </c>
      <c r="C50" s="2">
        <v>60</v>
      </c>
      <c r="D50" s="2"/>
      <c r="E50" s="2">
        <v>58</v>
      </c>
      <c r="F50" s="2" t="s">
        <v>847</v>
      </c>
      <c r="G50" s="2">
        <v>237</v>
      </c>
      <c r="H50" s="2"/>
      <c r="I50" s="2">
        <v>206</v>
      </c>
      <c r="J50" s="2"/>
      <c r="K50" s="2">
        <v>197</v>
      </c>
      <c r="L50" s="2"/>
      <c r="M50" s="2">
        <v>209</v>
      </c>
      <c r="N50" s="2"/>
      <c r="O50" s="2">
        <v>197</v>
      </c>
      <c r="P50" s="2"/>
      <c r="Q50" s="2">
        <v>186</v>
      </c>
      <c r="R50" s="2"/>
      <c r="S50" s="2">
        <v>176</v>
      </c>
      <c r="T50" s="2"/>
      <c r="U50" s="2">
        <v>164</v>
      </c>
      <c r="V50" s="2"/>
      <c r="W50" s="2">
        <v>173</v>
      </c>
      <c r="X50" s="2"/>
      <c r="Y50" s="2">
        <v>176</v>
      </c>
      <c r="Z50" s="2"/>
      <c r="AA50" s="2">
        <v>178</v>
      </c>
      <c r="AB50" s="2"/>
      <c r="AC50" s="2">
        <v>131</v>
      </c>
      <c r="AD50" s="2"/>
      <c r="AE50" s="2">
        <v>137</v>
      </c>
      <c r="AF50" s="2"/>
      <c r="AG50" s="2">
        <v>128</v>
      </c>
      <c r="AH50" s="2"/>
    </row>
    <row r="51" spans="1:34">
      <c r="A51" t="s">
        <v>139</v>
      </c>
      <c r="B51" t="s">
        <v>140</v>
      </c>
      <c r="C51" s="2">
        <v>219</v>
      </c>
      <c r="D51" s="2"/>
      <c r="E51" s="2">
        <v>228</v>
      </c>
      <c r="F51" s="2" t="s">
        <v>847</v>
      </c>
      <c r="G51" s="2">
        <v>1261</v>
      </c>
      <c r="H51" s="2"/>
      <c r="I51" s="2">
        <v>1199</v>
      </c>
      <c r="J51" s="2"/>
      <c r="K51" s="2">
        <v>1165</v>
      </c>
      <c r="L51" s="2"/>
      <c r="M51" s="2">
        <v>1146</v>
      </c>
      <c r="N51" s="2"/>
      <c r="O51" s="2">
        <v>1105</v>
      </c>
      <c r="P51" s="2"/>
      <c r="Q51" s="2">
        <v>1132</v>
      </c>
      <c r="R51" s="2"/>
      <c r="S51" s="2">
        <v>1114</v>
      </c>
      <c r="T51" s="2"/>
      <c r="U51" s="2">
        <v>1098</v>
      </c>
      <c r="V51" s="2"/>
      <c r="W51" s="2">
        <v>1099</v>
      </c>
      <c r="X51" s="2"/>
      <c r="Y51" s="2">
        <v>1060</v>
      </c>
      <c r="Z51" s="2"/>
      <c r="AA51" s="2">
        <v>1013</v>
      </c>
      <c r="AB51" s="2"/>
      <c r="AC51" s="2">
        <v>651</v>
      </c>
      <c r="AD51" s="2"/>
      <c r="AE51" s="2">
        <v>668</v>
      </c>
      <c r="AF51" s="2"/>
      <c r="AG51" s="2">
        <v>669</v>
      </c>
      <c r="AH51" s="2"/>
    </row>
    <row r="52" spans="1:34">
      <c r="A52" t="s">
        <v>141</v>
      </c>
      <c r="B52" t="s">
        <v>142</v>
      </c>
      <c r="C52" s="2">
        <v>56</v>
      </c>
      <c r="D52" s="2"/>
      <c r="E52" s="2">
        <v>55</v>
      </c>
      <c r="F52" s="2" t="s">
        <v>847</v>
      </c>
      <c r="G52" s="2">
        <v>378</v>
      </c>
      <c r="H52" s="2"/>
      <c r="I52" s="2">
        <v>373</v>
      </c>
      <c r="J52" s="2"/>
      <c r="K52" s="2">
        <v>351</v>
      </c>
      <c r="L52" s="2"/>
      <c r="M52" s="2">
        <v>342</v>
      </c>
      <c r="N52" s="2"/>
      <c r="O52" s="2">
        <v>328</v>
      </c>
      <c r="P52" s="2"/>
      <c r="Q52" s="2">
        <v>330</v>
      </c>
      <c r="R52" s="2"/>
      <c r="S52" s="2">
        <v>339</v>
      </c>
      <c r="T52" s="2"/>
      <c r="U52" s="2">
        <v>324</v>
      </c>
      <c r="V52" s="2"/>
      <c r="W52" s="2">
        <v>318</v>
      </c>
      <c r="X52" s="2"/>
      <c r="Y52" s="2">
        <v>314</v>
      </c>
      <c r="Z52" s="2"/>
      <c r="AA52" s="2">
        <v>291</v>
      </c>
      <c r="AB52" s="2"/>
      <c r="AC52" s="2">
        <v>230</v>
      </c>
      <c r="AD52" s="2"/>
      <c r="AE52" s="2">
        <v>235</v>
      </c>
      <c r="AF52" s="2"/>
      <c r="AG52" s="2">
        <v>240</v>
      </c>
      <c r="AH52" s="2"/>
    </row>
    <row r="53" spans="1:34">
      <c r="A53" t="s">
        <v>143</v>
      </c>
      <c r="B53" t="s">
        <v>144</v>
      </c>
      <c r="C53" s="2">
        <v>36</v>
      </c>
      <c r="D53" s="2"/>
      <c r="E53" s="2">
        <v>39</v>
      </c>
      <c r="F53" s="2" t="s">
        <v>847</v>
      </c>
      <c r="G53" s="2">
        <v>209</v>
      </c>
      <c r="H53" s="2"/>
      <c r="I53" s="2">
        <v>186</v>
      </c>
      <c r="J53" s="2"/>
      <c r="K53" s="2">
        <v>183</v>
      </c>
      <c r="L53" s="2"/>
      <c r="M53" s="2">
        <v>183</v>
      </c>
      <c r="N53" s="2"/>
      <c r="O53" s="2">
        <v>176</v>
      </c>
      <c r="P53" s="2"/>
      <c r="Q53" s="2">
        <v>177</v>
      </c>
      <c r="R53" s="2"/>
      <c r="S53" s="2">
        <v>163</v>
      </c>
      <c r="T53" s="2"/>
      <c r="U53" s="2">
        <v>173</v>
      </c>
      <c r="V53" s="2"/>
      <c r="W53" s="2">
        <v>173</v>
      </c>
      <c r="X53" s="2"/>
      <c r="Y53" s="2">
        <v>166</v>
      </c>
      <c r="Z53" s="2"/>
      <c r="AA53" s="2">
        <v>172</v>
      </c>
      <c r="AB53" s="2"/>
      <c r="AC53" s="2">
        <v>72</v>
      </c>
      <c r="AD53" s="2"/>
      <c r="AE53" s="2">
        <v>79</v>
      </c>
      <c r="AF53" s="2"/>
      <c r="AG53" s="2">
        <v>81</v>
      </c>
      <c r="AH53" s="2"/>
    </row>
    <row r="54" spans="1:34">
      <c r="A54" t="s">
        <v>145</v>
      </c>
      <c r="B54" t="s">
        <v>146</v>
      </c>
      <c r="C54" s="2">
        <v>31</v>
      </c>
      <c r="D54" s="2"/>
      <c r="E54" s="2">
        <v>34</v>
      </c>
      <c r="F54" s="2" t="s">
        <v>847</v>
      </c>
      <c r="G54" s="2">
        <v>175</v>
      </c>
      <c r="H54" s="2"/>
      <c r="I54" s="2">
        <v>171</v>
      </c>
      <c r="J54" s="2"/>
      <c r="K54" s="2">
        <v>152</v>
      </c>
      <c r="L54" s="2"/>
      <c r="M54" s="2">
        <v>145</v>
      </c>
      <c r="N54" s="2"/>
      <c r="O54" s="2">
        <v>139</v>
      </c>
      <c r="P54" s="2"/>
      <c r="Q54" s="2">
        <v>148</v>
      </c>
      <c r="R54" s="2"/>
      <c r="S54" s="2">
        <v>142</v>
      </c>
      <c r="T54" s="2"/>
      <c r="U54" s="2">
        <v>152</v>
      </c>
      <c r="V54" s="2"/>
      <c r="W54" s="2">
        <v>148</v>
      </c>
      <c r="X54" s="2"/>
      <c r="Y54" s="2">
        <v>144</v>
      </c>
      <c r="Z54" s="2"/>
      <c r="AA54" s="2">
        <v>122</v>
      </c>
      <c r="AB54" s="2"/>
      <c r="AC54" s="2">
        <v>72</v>
      </c>
      <c r="AD54" s="2"/>
      <c r="AE54" s="2">
        <v>74</v>
      </c>
      <c r="AF54" s="2"/>
      <c r="AG54" s="2">
        <v>68</v>
      </c>
      <c r="AH54" s="2"/>
    </row>
    <row r="55" spans="1:34">
      <c r="A55" t="s">
        <v>147</v>
      </c>
      <c r="B55" t="s">
        <v>148</v>
      </c>
      <c r="C55" s="2">
        <v>17</v>
      </c>
      <c r="D55" s="2"/>
      <c r="E55" s="2">
        <v>18</v>
      </c>
      <c r="F55" s="2" t="s">
        <v>847</v>
      </c>
      <c r="G55" s="2">
        <v>90</v>
      </c>
      <c r="H55" s="2"/>
      <c r="I55" s="2">
        <v>82</v>
      </c>
      <c r="J55" s="2"/>
      <c r="K55" s="2">
        <v>85</v>
      </c>
      <c r="L55" s="2"/>
      <c r="M55" s="2">
        <v>79</v>
      </c>
      <c r="N55" s="2"/>
      <c r="O55" s="2">
        <v>78</v>
      </c>
      <c r="P55" s="2"/>
      <c r="Q55" s="2">
        <v>85</v>
      </c>
      <c r="R55" s="2"/>
      <c r="S55" s="2">
        <v>87</v>
      </c>
      <c r="T55" s="2"/>
      <c r="U55" s="2">
        <v>79</v>
      </c>
      <c r="V55" s="2"/>
      <c r="W55" s="2">
        <v>85</v>
      </c>
      <c r="X55" s="2"/>
      <c r="Y55" s="2">
        <v>84</v>
      </c>
      <c r="Z55" s="2"/>
      <c r="AA55" s="2">
        <v>78</v>
      </c>
      <c r="AB55" s="2"/>
      <c r="AC55" s="2">
        <v>47</v>
      </c>
      <c r="AD55" s="2"/>
      <c r="AE55" s="2">
        <v>51</v>
      </c>
      <c r="AF55" s="2"/>
      <c r="AG55" s="2">
        <v>51</v>
      </c>
      <c r="AH55" s="2"/>
    </row>
    <row r="56" spans="1:34">
      <c r="A56" t="s">
        <v>149</v>
      </c>
      <c r="B56" t="s">
        <v>150</v>
      </c>
      <c r="C56" s="2">
        <v>25</v>
      </c>
      <c r="D56" s="2"/>
      <c r="E56" s="2">
        <v>27</v>
      </c>
      <c r="F56" s="2" t="s">
        <v>847</v>
      </c>
      <c r="G56" s="2">
        <v>121</v>
      </c>
      <c r="H56" s="2"/>
      <c r="I56" s="2">
        <v>114</v>
      </c>
      <c r="J56" s="2"/>
      <c r="K56" s="2">
        <v>108</v>
      </c>
      <c r="L56" s="2"/>
      <c r="M56" s="2">
        <v>106</v>
      </c>
      <c r="N56" s="2"/>
      <c r="O56" s="2">
        <v>101</v>
      </c>
      <c r="P56" s="2"/>
      <c r="Q56" s="2">
        <v>116</v>
      </c>
      <c r="R56" s="2"/>
      <c r="S56" s="2">
        <v>119</v>
      </c>
      <c r="T56" s="2"/>
      <c r="U56" s="2">
        <v>101</v>
      </c>
      <c r="V56" s="2"/>
      <c r="W56" s="2">
        <v>102</v>
      </c>
      <c r="X56" s="2"/>
      <c r="Y56" s="2">
        <v>98</v>
      </c>
      <c r="Z56" s="2"/>
      <c r="AA56" s="2">
        <v>86</v>
      </c>
      <c r="AB56" s="2"/>
      <c r="AC56" s="2">
        <v>66</v>
      </c>
      <c r="AD56" s="2"/>
      <c r="AE56" s="2">
        <v>64</v>
      </c>
      <c r="AF56" s="2"/>
      <c r="AG56" s="2">
        <v>62</v>
      </c>
      <c r="AH56" s="2"/>
    </row>
    <row r="57" spans="1:34">
      <c r="A57" t="s">
        <v>151</v>
      </c>
      <c r="B57" t="s">
        <v>152</v>
      </c>
      <c r="C57" s="2">
        <v>22</v>
      </c>
      <c r="D57" s="2"/>
      <c r="E57" s="2">
        <v>23</v>
      </c>
      <c r="F57" s="2" t="s">
        <v>847</v>
      </c>
      <c r="G57" s="2">
        <v>121</v>
      </c>
      <c r="H57" s="2"/>
      <c r="I57" s="2">
        <v>118</v>
      </c>
      <c r="J57" s="2"/>
      <c r="K57" s="2">
        <v>125</v>
      </c>
      <c r="L57" s="2"/>
      <c r="M57" s="2">
        <v>126</v>
      </c>
      <c r="N57" s="2"/>
      <c r="O57" s="2">
        <v>121</v>
      </c>
      <c r="P57" s="2"/>
      <c r="Q57" s="2">
        <v>111</v>
      </c>
      <c r="R57" s="2"/>
      <c r="S57" s="2">
        <v>110</v>
      </c>
      <c r="T57" s="2"/>
      <c r="U57" s="2">
        <v>111</v>
      </c>
      <c r="V57" s="2"/>
      <c r="W57" s="2">
        <v>112</v>
      </c>
      <c r="X57" s="2"/>
      <c r="Y57" s="2">
        <v>105</v>
      </c>
      <c r="Z57" s="2"/>
      <c r="AA57" s="2">
        <v>108</v>
      </c>
      <c r="AB57" s="2"/>
      <c r="AC57" s="2">
        <v>59</v>
      </c>
      <c r="AD57" s="2"/>
      <c r="AE57" s="2">
        <v>60</v>
      </c>
      <c r="AF57" s="2"/>
      <c r="AG57" s="2">
        <v>60</v>
      </c>
      <c r="AH57" s="2"/>
    </row>
    <row r="58" spans="1:34">
      <c r="A58" t="s">
        <v>153</v>
      </c>
      <c r="B58" t="s">
        <v>154</v>
      </c>
      <c r="C58" s="2">
        <v>32</v>
      </c>
      <c r="D58" s="2"/>
      <c r="E58" s="2">
        <v>32</v>
      </c>
      <c r="F58" s="2" t="s">
        <v>847</v>
      </c>
      <c r="G58" s="2">
        <v>167</v>
      </c>
      <c r="H58" s="2"/>
      <c r="I58" s="2">
        <v>155</v>
      </c>
      <c r="J58" s="2"/>
      <c r="K58" s="2">
        <v>161</v>
      </c>
      <c r="L58" s="2"/>
      <c r="M58" s="2">
        <v>165</v>
      </c>
      <c r="N58" s="2"/>
      <c r="O58" s="2">
        <v>162</v>
      </c>
      <c r="P58" s="2"/>
      <c r="Q58" s="2">
        <v>165</v>
      </c>
      <c r="R58" s="2"/>
      <c r="S58" s="2">
        <v>154</v>
      </c>
      <c r="T58" s="2"/>
      <c r="U58" s="2">
        <v>158</v>
      </c>
      <c r="V58" s="2"/>
      <c r="W58" s="2">
        <v>161</v>
      </c>
      <c r="X58" s="2"/>
      <c r="Y58" s="2">
        <v>149</v>
      </c>
      <c r="Z58" s="2"/>
      <c r="AA58" s="2">
        <v>156</v>
      </c>
      <c r="AB58" s="2"/>
      <c r="AC58" s="2">
        <v>105</v>
      </c>
      <c r="AD58" s="2"/>
      <c r="AE58" s="2">
        <v>105</v>
      </c>
      <c r="AF58" s="2"/>
      <c r="AG58" s="2">
        <v>107</v>
      </c>
      <c r="AH58" s="2"/>
    </row>
    <row r="59" spans="1:34">
      <c r="A59" t="s">
        <v>155</v>
      </c>
      <c r="B59" t="s">
        <v>156</v>
      </c>
      <c r="C59" s="2">
        <v>8</v>
      </c>
      <c r="D59" s="2"/>
      <c r="E59" s="2">
        <v>7</v>
      </c>
      <c r="F59" s="2" t="s">
        <v>847</v>
      </c>
      <c r="G59" s="2">
        <v>48</v>
      </c>
      <c r="H59" s="2"/>
      <c r="I59" s="2">
        <v>41</v>
      </c>
      <c r="J59" s="2"/>
      <c r="K59" s="2">
        <v>40</v>
      </c>
      <c r="L59" s="2"/>
      <c r="M59" s="2">
        <v>40</v>
      </c>
      <c r="N59" s="2"/>
      <c r="O59" s="2">
        <v>41</v>
      </c>
      <c r="P59" s="2"/>
      <c r="Q59" s="2">
        <v>46</v>
      </c>
      <c r="R59" s="2"/>
      <c r="S59" s="2">
        <v>46</v>
      </c>
      <c r="T59" s="2"/>
      <c r="U59" s="2">
        <v>50</v>
      </c>
      <c r="V59" s="2"/>
      <c r="W59" s="2">
        <v>41</v>
      </c>
      <c r="X59" s="2"/>
      <c r="Y59" s="2">
        <v>31</v>
      </c>
      <c r="Z59" s="2"/>
      <c r="AA59" s="2">
        <v>25</v>
      </c>
      <c r="AB59" s="2"/>
      <c r="AC59" s="2">
        <v>41</v>
      </c>
      <c r="AD59" s="2"/>
      <c r="AE59" s="2">
        <v>44</v>
      </c>
      <c r="AF59" s="2"/>
      <c r="AG59" s="2">
        <v>45</v>
      </c>
      <c r="AH59" s="2"/>
    </row>
    <row r="60" spans="1:34">
      <c r="A60" t="s">
        <v>157</v>
      </c>
      <c r="B60" t="s">
        <v>156</v>
      </c>
      <c r="C60" s="2">
        <v>8</v>
      </c>
      <c r="D60" s="2"/>
      <c r="E60" s="2">
        <v>7</v>
      </c>
      <c r="F60" s="2" t="s">
        <v>847</v>
      </c>
      <c r="G60" s="2">
        <v>48</v>
      </c>
      <c r="H60" s="2"/>
      <c r="I60" s="2">
        <v>41</v>
      </c>
      <c r="J60" s="2"/>
      <c r="K60" s="2">
        <v>40</v>
      </c>
      <c r="L60" s="2"/>
      <c r="M60" s="2">
        <v>40</v>
      </c>
      <c r="N60" s="2"/>
      <c r="O60" s="2">
        <v>41</v>
      </c>
      <c r="P60" s="2"/>
      <c r="Q60" s="2">
        <v>46</v>
      </c>
      <c r="R60" s="2"/>
      <c r="S60" s="2">
        <v>46</v>
      </c>
      <c r="T60" s="2"/>
      <c r="U60" s="2">
        <v>50</v>
      </c>
      <c r="V60" s="2"/>
      <c r="W60" s="2">
        <v>41</v>
      </c>
      <c r="X60" s="2"/>
      <c r="Y60" s="2">
        <v>31</v>
      </c>
      <c r="Z60" s="2"/>
      <c r="AA60" s="2">
        <v>25</v>
      </c>
      <c r="AB60" s="2"/>
      <c r="AC60" s="2">
        <v>41</v>
      </c>
      <c r="AD60" s="2"/>
      <c r="AE60" s="2">
        <v>44</v>
      </c>
      <c r="AF60" s="2"/>
      <c r="AG60" s="2">
        <v>45</v>
      </c>
      <c r="AH60" s="2"/>
    </row>
    <row r="61" spans="1:34">
      <c r="A61" t="s">
        <v>158</v>
      </c>
      <c r="B61" t="s">
        <v>159</v>
      </c>
      <c r="C61" s="2">
        <v>22</v>
      </c>
      <c r="D61" s="2"/>
      <c r="E61" s="2">
        <v>23</v>
      </c>
      <c r="F61" s="2" t="s">
        <v>847</v>
      </c>
      <c r="G61" s="2">
        <v>115</v>
      </c>
      <c r="H61" s="2"/>
      <c r="I61" s="2">
        <v>125</v>
      </c>
      <c r="J61" s="2"/>
      <c r="K61" s="2">
        <v>133</v>
      </c>
      <c r="L61" s="2"/>
      <c r="M61" s="2">
        <v>113</v>
      </c>
      <c r="N61" s="2"/>
      <c r="O61" s="2">
        <v>109</v>
      </c>
      <c r="P61" s="2"/>
      <c r="Q61" s="2">
        <v>119</v>
      </c>
      <c r="R61" s="2"/>
      <c r="S61" s="2">
        <v>117</v>
      </c>
      <c r="T61" s="2"/>
      <c r="U61" s="2">
        <v>112</v>
      </c>
      <c r="V61" s="2"/>
      <c r="W61" s="2">
        <v>101</v>
      </c>
      <c r="X61" s="2"/>
      <c r="Y61" s="2">
        <v>93</v>
      </c>
      <c r="Z61" s="2"/>
      <c r="AA61" s="2">
        <v>100</v>
      </c>
      <c r="AB61" s="2"/>
      <c r="AC61" s="2">
        <v>72</v>
      </c>
      <c r="AD61" s="2"/>
      <c r="AE61" s="2">
        <v>76</v>
      </c>
      <c r="AF61" s="2"/>
      <c r="AG61" s="2">
        <v>80</v>
      </c>
      <c r="AH61" s="2"/>
    </row>
    <row r="62" spans="1:34">
      <c r="A62" t="s">
        <v>160</v>
      </c>
      <c r="B62" t="s">
        <v>159</v>
      </c>
      <c r="C62" s="2" t="s">
        <v>43</v>
      </c>
      <c r="D62" s="2"/>
      <c r="E62" s="2" t="s">
        <v>43</v>
      </c>
      <c r="F62" s="2"/>
      <c r="G62" s="2" t="s">
        <v>43</v>
      </c>
      <c r="H62" s="2"/>
      <c r="I62" s="2">
        <v>125</v>
      </c>
      <c r="J62" s="2"/>
      <c r="K62" s="2">
        <v>133</v>
      </c>
      <c r="L62" s="2"/>
      <c r="M62" s="2">
        <v>113</v>
      </c>
      <c r="N62" s="2"/>
      <c r="O62" s="2">
        <v>109</v>
      </c>
      <c r="P62" s="2"/>
      <c r="Q62" s="2">
        <v>119</v>
      </c>
      <c r="R62" s="2"/>
      <c r="S62" s="2">
        <v>117</v>
      </c>
      <c r="T62" s="2"/>
      <c r="U62" s="2">
        <v>112</v>
      </c>
      <c r="V62" s="2"/>
      <c r="W62" s="2">
        <v>101</v>
      </c>
      <c r="X62" s="2"/>
      <c r="Y62" s="2">
        <v>93</v>
      </c>
      <c r="Z62" s="2"/>
      <c r="AA62" s="2">
        <v>100</v>
      </c>
      <c r="AB62" s="2"/>
      <c r="AC62" s="2">
        <v>72</v>
      </c>
      <c r="AD62" s="2"/>
      <c r="AE62" s="2">
        <v>76</v>
      </c>
      <c r="AF62" s="2"/>
      <c r="AG62" s="2">
        <v>80</v>
      </c>
      <c r="AH62" s="2"/>
    </row>
    <row r="63" spans="1:34">
      <c r="A63" t="s">
        <v>848</v>
      </c>
      <c r="B63" t="s">
        <v>849</v>
      </c>
      <c r="C63" s="2">
        <v>9</v>
      </c>
      <c r="D63" s="2"/>
      <c r="E63" s="2">
        <v>8</v>
      </c>
      <c r="F63" s="2" t="s">
        <v>847</v>
      </c>
      <c r="G63" s="2">
        <v>41</v>
      </c>
      <c r="H63" s="2"/>
      <c r="I63" s="2" t="s">
        <v>43</v>
      </c>
      <c r="J63" s="2"/>
      <c r="K63" s="2" t="s">
        <v>43</v>
      </c>
      <c r="L63" s="2"/>
      <c r="M63" s="2" t="s">
        <v>43</v>
      </c>
      <c r="N63" s="2"/>
      <c r="O63" s="2" t="s">
        <v>43</v>
      </c>
      <c r="P63" s="2"/>
      <c r="Q63" s="2" t="s">
        <v>43</v>
      </c>
      <c r="R63" s="2"/>
      <c r="S63" s="2" t="s">
        <v>43</v>
      </c>
      <c r="T63" s="2"/>
      <c r="U63" s="2" t="s">
        <v>43</v>
      </c>
      <c r="V63" s="2"/>
      <c r="W63" s="2" t="s">
        <v>43</v>
      </c>
      <c r="X63" s="2" t="s">
        <v>334</v>
      </c>
      <c r="Y63" s="2" t="s">
        <v>43</v>
      </c>
      <c r="Z63" s="2"/>
      <c r="AA63" s="2" t="s">
        <v>43</v>
      </c>
      <c r="AB63" s="2"/>
      <c r="AC63" s="2"/>
      <c r="AD63" s="2"/>
      <c r="AE63" s="2"/>
      <c r="AF63" s="2"/>
      <c r="AG63" s="2"/>
      <c r="AH63" s="2"/>
    </row>
    <row r="64" spans="1:34">
      <c r="A64" t="s">
        <v>850</v>
      </c>
      <c r="B64" t="s">
        <v>851</v>
      </c>
      <c r="C64" s="2">
        <v>13</v>
      </c>
      <c r="D64" s="2"/>
      <c r="E64" s="2">
        <v>15</v>
      </c>
      <c r="F64" s="2" t="s">
        <v>847</v>
      </c>
      <c r="G64" s="2">
        <v>74</v>
      </c>
      <c r="H64" s="2"/>
      <c r="I64" s="2" t="s">
        <v>43</v>
      </c>
      <c r="J64" s="2"/>
      <c r="K64" s="2" t="s">
        <v>43</v>
      </c>
      <c r="L64" s="2"/>
      <c r="M64" s="2" t="s">
        <v>43</v>
      </c>
      <c r="N64" s="2"/>
      <c r="O64" s="2" t="s">
        <v>43</v>
      </c>
      <c r="P64" s="2"/>
      <c r="Q64" s="2" t="s">
        <v>43</v>
      </c>
      <c r="R64" s="2"/>
      <c r="S64" s="2" t="s">
        <v>43</v>
      </c>
      <c r="T64" s="2"/>
      <c r="U64" s="2" t="s">
        <v>43</v>
      </c>
      <c r="V64" s="2"/>
      <c r="W64" s="2" t="s">
        <v>43</v>
      </c>
      <c r="X64" s="2" t="s">
        <v>334</v>
      </c>
      <c r="Y64" s="2" t="s">
        <v>43</v>
      </c>
      <c r="Z64" s="2"/>
      <c r="AA64" s="2" t="s">
        <v>43</v>
      </c>
      <c r="AB64" s="2"/>
      <c r="AC64" s="2"/>
      <c r="AD64" s="2"/>
      <c r="AE64" s="2"/>
      <c r="AF64" s="2"/>
      <c r="AG64" s="2"/>
      <c r="AH64" s="2"/>
    </row>
    <row r="65" spans="1:34">
      <c r="A65" t="s">
        <v>161</v>
      </c>
      <c r="B65" t="s">
        <v>162</v>
      </c>
      <c r="C65" s="2">
        <v>13</v>
      </c>
      <c r="D65" s="2"/>
      <c r="E65" s="2">
        <v>11</v>
      </c>
      <c r="F65" s="2" t="s">
        <v>847</v>
      </c>
      <c r="G65" s="2">
        <v>49</v>
      </c>
      <c r="H65" s="2"/>
      <c r="I65" s="2">
        <v>46</v>
      </c>
      <c r="J65" s="2"/>
      <c r="K65" s="2">
        <v>43</v>
      </c>
      <c r="L65" s="2"/>
      <c r="M65" s="2">
        <v>48</v>
      </c>
      <c r="N65" s="2"/>
      <c r="O65" s="2">
        <v>47</v>
      </c>
      <c r="P65" s="2"/>
      <c r="Q65" s="2">
        <v>47</v>
      </c>
      <c r="R65" s="2"/>
      <c r="S65" s="2">
        <v>49</v>
      </c>
      <c r="T65" s="2"/>
      <c r="U65" s="2">
        <v>44</v>
      </c>
      <c r="V65" s="2"/>
      <c r="W65" s="2">
        <v>49</v>
      </c>
      <c r="X65" s="2"/>
      <c r="Y65" s="2">
        <v>49</v>
      </c>
      <c r="Z65" s="2"/>
      <c r="AA65" s="2">
        <v>51</v>
      </c>
      <c r="AB65" s="2"/>
      <c r="AC65" s="2">
        <v>31</v>
      </c>
      <c r="AD65" s="2"/>
      <c r="AE65" s="2">
        <v>29</v>
      </c>
      <c r="AF65" s="2"/>
      <c r="AG65" s="2">
        <v>28</v>
      </c>
      <c r="AH65" s="2"/>
    </row>
    <row r="66" spans="1:34">
      <c r="A66" t="s">
        <v>163</v>
      </c>
      <c r="B66" t="s">
        <v>162</v>
      </c>
      <c r="C66" s="2">
        <v>13</v>
      </c>
      <c r="D66" s="2"/>
      <c r="E66" s="2">
        <v>11</v>
      </c>
      <c r="F66" s="2" t="s">
        <v>847</v>
      </c>
      <c r="G66" s="2">
        <v>49</v>
      </c>
      <c r="H66" s="2"/>
      <c r="I66" s="2">
        <v>46</v>
      </c>
      <c r="J66" s="2"/>
      <c r="K66" s="2">
        <v>43</v>
      </c>
      <c r="L66" s="2"/>
      <c r="M66" s="2">
        <v>48</v>
      </c>
      <c r="N66" s="2"/>
      <c r="O66" s="2">
        <v>47</v>
      </c>
      <c r="P66" s="2"/>
      <c r="Q66" s="2">
        <v>47</v>
      </c>
      <c r="R66" s="2"/>
      <c r="S66" s="2">
        <v>49</v>
      </c>
      <c r="T66" s="2"/>
      <c r="U66" s="2">
        <v>44</v>
      </c>
      <c r="V66" s="2"/>
      <c r="W66" s="2">
        <v>49</v>
      </c>
      <c r="X66" s="2"/>
      <c r="Y66" s="2">
        <v>49</v>
      </c>
      <c r="Z66" s="2"/>
      <c r="AA66" s="2">
        <v>51</v>
      </c>
      <c r="AB66" s="2"/>
      <c r="AC66" s="2">
        <v>31</v>
      </c>
      <c r="AD66" s="2"/>
      <c r="AE66" s="2">
        <v>29</v>
      </c>
      <c r="AF66" s="2"/>
      <c r="AG66" s="2">
        <v>28</v>
      </c>
      <c r="AH66" s="2"/>
    </row>
    <row r="67" spans="1:34">
      <c r="A67" t="s">
        <v>164</v>
      </c>
      <c r="B67" t="s">
        <v>165</v>
      </c>
      <c r="C67" s="2">
        <v>2</v>
      </c>
      <c r="D67" s="2"/>
      <c r="E67" s="2">
        <v>2</v>
      </c>
      <c r="F67" s="2" t="s">
        <v>847</v>
      </c>
      <c r="G67" s="2">
        <v>17</v>
      </c>
      <c r="H67" s="2"/>
      <c r="I67" s="2">
        <v>11</v>
      </c>
      <c r="J67" s="2"/>
      <c r="K67" s="2">
        <v>11</v>
      </c>
      <c r="L67" s="2"/>
      <c r="M67" s="2">
        <v>11</v>
      </c>
      <c r="N67" s="2"/>
      <c r="O67" s="2">
        <v>11</v>
      </c>
      <c r="P67" s="2"/>
      <c r="Q67" s="2">
        <v>11</v>
      </c>
      <c r="R67" s="2"/>
      <c r="S67" s="2">
        <v>10</v>
      </c>
      <c r="T67" s="2"/>
      <c r="U67" s="2">
        <v>5</v>
      </c>
      <c r="V67" s="2"/>
      <c r="W67" s="2">
        <v>5</v>
      </c>
      <c r="X67" s="2"/>
      <c r="Y67" s="2">
        <v>5</v>
      </c>
      <c r="Z67" s="2"/>
      <c r="AA67" s="2">
        <v>10</v>
      </c>
      <c r="AB67" s="2"/>
      <c r="AC67" s="2">
        <v>31</v>
      </c>
      <c r="AD67" s="2"/>
      <c r="AE67" s="2">
        <v>28</v>
      </c>
      <c r="AF67" s="2"/>
      <c r="AG67" s="2">
        <v>31</v>
      </c>
      <c r="AH67" s="2"/>
    </row>
    <row r="68" spans="1:34">
      <c r="A68" t="s">
        <v>166</v>
      </c>
      <c r="B68" t="s">
        <v>165</v>
      </c>
      <c r="C68" s="2">
        <v>2</v>
      </c>
      <c r="D68" s="2"/>
      <c r="E68" s="2">
        <v>2</v>
      </c>
      <c r="F68" s="2" t="s">
        <v>847</v>
      </c>
      <c r="G68" s="2">
        <v>17</v>
      </c>
      <c r="H68" s="2"/>
      <c r="I68" s="2">
        <v>11</v>
      </c>
      <c r="J68" s="2"/>
      <c r="K68" s="2">
        <v>11</v>
      </c>
      <c r="L68" s="2"/>
      <c r="M68" s="2">
        <v>11</v>
      </c>
      <c r="N68" s="2"/>
      <c r="O68" s="2">
        <v>11</v>
      </c>
      <c r="P68" s="2"/>
      <c r="Q68" s="2">
        <v>11</v>
      </c>
      <c r="R68" s="2"/>
      <c r="S68" s="2">
        <v>10</v>
      </c>
      <c r="T68" s="2"/>
      <c r="U68" s="2">
        <v>5</v>
      </c>
      <c r="V68" s="2"/>
      <c r="W68" s="2">
        <v>5</v>
      </c>
      <c r="X68" s="2"/>
      <c r="Y68" s="2">
        <v>5</v>
      </c>
      <c r="Z68" s="2"/>
      <c r="AA68" s="2">
        <v>10</v>
      </c>
      <c r="AB68" s="2"/>
      <c r="AC68" s="2">
        <v>31</v>
      </c>
      <c r="AD68" s="2"/>
      <c r="AE68" s="2">
        <v>28</v>
      </c>
      <c r="AF68" s="2"/>
      <c r="AG68" s="2">
        <v>31</v>
      </c>
      <c r="AH68" s="2"/>
    </row>
    <row r="69" spans="1:34">
      <c r="A69" t="s">
        <v>167</v>
      </c>
      <c r="B69" t="s">
        <v>168</v>
      </c>
      <c r="C69" s="2">
        <v>70</v>
      </c>
      <c r="D69" s="2"/>
      <c r="E69" s="2">
        <v>72</v>
      </c>
      <c r="F69" s="2" t="s">
        <v>847</v>
      </c>
      <c r="G69" s="2">
        <v>381</v>
      </c>
      <c r="H69" s="2"/>
      <c r="I69" s="2">
        <v>378</v>
      </c>
      <c r="J69" s="2"/>
      <c r="K69" s="2">
        <v>373</v>
      </c>
      <c r="L69" s="2"/>
      <c r="M69" s="2">
        <v>338</v>
      </c>
      <c r="N69" s="2"/>
      <c r="O69" s="2">
        <v>313</v>
      </c>
      <c r="P69" s="2"/>
      <c r="Q69" s="2">
        <v>313</v>
      </c>
      <c r="R69" s="2"/>
      <c r="S69" s="2">
        <v>284</v>
      </c>
      <c r="T69" s="2"/>
      <c r="U69" s="2">
        <v>282</v>
      </c>
      <c r="V69" s="2"/>
      <c r="W69" s="2">
        <v>294</v>
      </c>
      <c r="X69" s="2"/>
      <c r="Y69" s="2">
        <v>294</v>
      </c>
      <c r="Z69" s="2"/>
      <c r="AA69" s="2">
        <v>265</v>
      </c>
      <c r="AB69" s="2"/>
      <c r="AC69" s="2">
        <v>208</v>
      </c>
      <c r="AD69" s="2"/>
      <c r="AE69" s="2">
        <v>227</v>
      </c>
      <c r="AF69" s="2"/>
      <c r="AG69" s="2">
        <v>220</v>
      </c>
      <c r="AH69" s="2"/>
    </row>
    <row r="70" spans="1:34">
      <c r="A70" t="s">
        <v>169</v>
      </c>
      <c r="B70" t="s">
        <v>170</v>
      </c>
      <c r="C70" s="2">
        <v>37</v>
      </c>
      <c r="D70" s="2"/>
      <c r="E70" s="2">
        <v>35</v>
      </c>
      <c r="F70" s="2" t="s">
        <v>847</v>
      </c>
      <c r="G70" s="2">
        <v>226</v>
      </c>
      <c r="H70" s="2"/>
      <c r="I70" s="2">
        <v>204</v>
      </c>
      <c r="J70" s="2"/>
      <c r="K70" s="2">
        <v>198</v>
      </c>
      <c r="L70" s="2"/>
      <c r="M70" s="2">
        <v>177</v>
      </c>
      <c r="N70" s="2"/>
      <c r="O70" s="2">
        <v>168</v>
      </c>
      <c r="P70" s="2"/>
      <c r="Q70" s="2">
        <v>163</v>
      </c>
      <c r="R70" s="2"/>
      <c r="S70" s="2">
        <v>147</v>
      </c>
      <c r="T70" s="2"/>
      <c r="U70" s="2">
        <v>144</v>
      </c>
      <c r="V70" s="2"/>
      <c r="W70" s="2">
        <v>145</v>
      </c>
      <c r="X70" s="2"/>
      <c r="Y70" s="2">
        <v>146</v>
      </c>
      <c r="Z70" s="2"/>
      <c r="AA70" s="2">
        <v>131</v>
      </c>
      <c r="AB70" s="2"/>
      <c r="AC70" s="2">
        <v>122</v>
      </c>
      <c r="AD70" s="2"/>
      <c r="AE70" s="2">
        <v>136</v>
      </c>
      <c r="AF70" s="2"/>
      <c r="AG70" s="2">
        <v>129</v>
      </c>
      <c r="AH70" s="2"/>
    </row>
    <row r="71" spans="1:34">
      <c r="A71" t="s">
        <v>171</v>
      </c>
      <c r="B71" t="s">
        <v>172</v>
      </c>
      <c r="C71" s="2">
        <v>15</v>
      </c>
      <c r="D71" s="2"/>
      <c r="E71" s="2">
        <v>16</v>
      </c>
      <c r="F71" s="2" t="s">
        <v>847</v>
      </c>
      <c r="G71" s="2">
        <v>78</v>
      </c>
      <c r="H71" s="2"/>
      <c r="I71" s="2">
        <v>86</v>
      </c>
      <c r="J71" s="2"/>
      <c r="K71" s="2">
        <v>79</v>
      </c>
      <c r="L71" s="2"/>
      <c r="M71" s="2">
        <v>68</v>
      </c>
      <c r="N71" s="2"/>
      <c r="O71" s="2">
        <v>65</v>
      </c>
      <c r="P71" s="2"/>
      <c r="Q71" s="2">
        <v>68</v>
      </c>
      <c r="R71" s="2"/>
      <c r="S71" s="2">
        <v>66</v>
      </c>
      <c r="T71" s="2"/>
      <c r="U71" s="2">
        <v>64</v>
      </c>
      <c r="V71" s="2"/>
      <c r="W71" s="2">
        <v>70</v>
      </c>
      <c r="X71" s="2"/>
      <c r="Y71" s="2">
        <v>68</v>
      </c>
      <c r="Z71" s="2"/>
      <c r="AA71" s="2">
        <v>59</v>
      </c>
      <c r="AB71" s="2"/>
      <c r="AC71" s="2">
        <v>38</v>
      </c>
      <c r="AD71" s="2"/>
      <c r="AE71" s="2">
        <v>42</v>
      </c>
      <c r="AF71" s="2"/>
      <c r="AG71" s="2">
        <v>42</v>
      </c>
      <c r="AH71" s="2"/>
    </row>
    <row r="72" spans="1:34">
      <c r="A72" t="s">
        <v>173</v>
      </c>
      <c r="B72" t="s">
        <v>174</v>
      </c>
      <c r="C72" s="2">
        <v>18</v>
      </c>
      <c r="D72" s="2"/>
      <c r="E72" s="2">
        <v>21</v>
      </c>
      <c r="F72" s="2" t="s">
        <v>847</v>
      </c>
      <c r="G72" s="2">
        <v>77</v>
      </c>
      <c r="H72" s="2"/>
      <c r="I72" s="2">
        <v>88</v>
      </c>
      <c r="J72" s="2"/>
      <c r="K72" s="2">
        <v>96</v>
      </c>
      <c r="L72" s="2"/>
      <c r="M72" s="2">
        <v>93</v>
      </c>
      <c r="N72" s="2"/>
      <c r="O72" s="2">
        <v>80</v>
      </c>
      <c r="P72" s="2"/>
      <c r="Q72" s="2">
        <v>82</v>
      </c>
      <c r="R72" s="2"/>
      <c r="S72" s="2">
        <v>71</v>
      </c>
      <c r="T72" s="2"/>
      <c r="U72" s="2">
        <v>74</v>
      </c>
      <c r="V72" s="2"/>
      <c r="W72" s="2">
        <v>79</v>
      </c>
      <c r="X72" s="2"/>
      <c r="Y72" s="2">
        <v>80</v>
      </c>
      <c r="Z72" s="2"/>
      <c r="AA72" s="2">
        <v>75</v>
      </c>
      <c r="AB72" s="2"/>
      <c r="AC72" s="2">
        <v>48</v>
      </c>
      <c r="AD72" s="2"/>
      <c r="AE72" s="2">
        <v>49</v>
      </c>
      <c r="AF72" s="2"/>
      <c r="AG72" s="2">
        <v>49</v>
      </c>
      <c r="AH72" s="2"/>
    </row>
    <row r="73" spans="1:34">
      <c r="A73" t="s">
        <v>175</v>
      </c>
      <c r="B73" t="s">
        <v>176</v>
      </c>
      <c r="C73" s="2">
        <v>23</v>
      </c>
      <c r="D73" s="2"/>
      <c r="E73" s="2">
        <v>24</v>
      </c>
      <c r="F73" s="2" t="s">
        <v>847</v>
      </c>
      <c r="G73" s="2">
        <v>88</v>
      </c>
      <c r="H73" s="2"/>
      <c r="I73" s="2">
        <v>91</v>
      </c>
      <c r="J73" s="2"/>
      <c r="K73" s="2">
        <v>93</v>
      </c>
      <c r="L73" s="2"/>
      <c r="M73" s="2">
        <v>95</v>
      </c>
      <c r="N73" s="2"/>
      <c r="O73" s="2">
        <v>101</v>
      </c>
      <c r="P73" s="2"/>
      <c r="Q73" s="2">
        <v>98</v>
      </c>
      <c r="R73" s="2"/>
      <c r="S73" s="2">
        <v>95</v>
      </c>
      <c r="T73" s="2"/>
      <c r="U73" s="2">
        <v>91</v>
      </c>
      <c r="V73" s="2"/>
      <c r="W73" s="2">
        <v>95</v>
      </c>
      <c r="X73" s="2"/>
      <c r="Y73" s="2">
        <v>89</v>
      </c>
      <c r="Z73" s="2"/>
      <c r="AA73" s="2">
        <v>80</v>
      </c>
      <c r="AB73" s="2"/>
      <c r="AC73" s="2">
        <v>40</v>
      </c>
      <c r="AD73" s="2"/>
      <c r="AE73" s="2">
        <v>37</v>
      </c>
      <c r="AF73" s="2"/>
      <c r="AG73" s="2">
        <v>34</v>
      </c>
      <c r="AH73" s="2"/>
    </row>
    <row r="74" spans="1:34">
      <c r="A74" t="s">
        <v>177</v>
      </c>
      <c r="B74" t="s">
        <v>176</v>
      </c>
      <c r="C74" s="2">
        <v>23</v>
      </c>
      <c r="D74" s="2"/>
      <c r="E74" s="2">
        <v>24</v>
      </c>
      <c r="F74" s="2" t="s">
        <v>847</v>
      </c>
      <c r="G74" s="2">
        <v>88</v>
      </c>
      <c r="H74" s="2"/>
      <c r="I74" s="2">
        <v>91</v>
      </c>
      <c r="J74" s="2"/>
      <c r="K74" s="2">
        <v>93</v>
      </c>
      <c r="L74" s="2"/>
      <c r="M74" s="2">
        <v>95</v>
      </c>
      <c r="N74" s="2"/>
      <c r="O74" s="2">
        <v>101</v>
      </c>
      <c r="P74" s="2"/>
      <c r="Q74" s="2">
        <v>98</v>
      </c>
      <c r="R74" s="2"/>
      <c r="S74" s="2">
        <v>95</v>
      </c>
      <c r="T74" s="2"/>
      <c r="U74" s="2">
        <v>91</v>
      </c>
      <c r="V74" s="2"/>
      <c r="W74" s="2">
        <v>95</v>
      </c>
      <c r="X74" s="2"/>
      <c r="Y74" s="2">
        <v>89</v>
      </c>
      <c r="Z74" s="2"/>
      <c r="AA74" s="2">
        <v>80</v>
      </c>
      <c r="AB74" s="2"/>
      <c r="AC74" s="2">
        <v>40</v>
      </c>
      <c r="AD74" s="2"/>
      <c r="AE74" s="2">
        <v>37</v>
      </c>
      <c r="AF74" s="2"/>
      <c r="AG74" s="2">
        <v>34</v>
      </c>
      <c r="AH74" s="2"/>
    </row>
    <row r="75" spans="1:34">
      <c r="A75" t="s">
        <v>178</v>
      </c>
      <c r="B75" t="s">
        <v>179</v>
      </c>
      <c r="C75" s="2">
        <v>130</v>
      </c>
      <c r="D75" s="2"/>
      <c r="E75" s="2">
        <v>125</v>
      </c>
      <c r="F75" s="2" t="s">
        <v>847</v>
      </c>
      <c r="G75" s="2">
        <v>554</v>
      </c>
      <c r="H75" s="2"/>
      <c r="I75" s="2">
        <v>523</v>
      </c>
      <c r="J75" s="2"/>
      <c r="K75" s="2">
        <v>494</v>
      </c>
      <c r="L75" s="2"/>
      <c r="M75" s="2">
        <v>504</v>
      </c>
      <c r="N75" s="2"/>
      <c r="O75" s="2">
        <v>520</v>
      </c>
      <c r="P75" s="2"/>
      <c r="Q75" s="2">
        <v>512</v>
      </c>
      <c r="R75" s="2"/>
      <c r="S75" s="2">
        <v>514</v>
      </c>
      <c r="T75" s="2"/>
      <c r="U75" s="2">
        <v>519</v>
      </c>
      <c r="V75" s="2"/>
      <c r="W75" s="2">
        <v>510</v>
      </c>
      <c r="X75" s="2"/>
      <c r="Y75" s="2">
        <v>489</v>
      </c>
      <c r="Z75" s="2"/>
      <c r="AA75" s="2">
        <v>489</v>
      </c>
      <c r="AB75" s="2"/>
      <c r="AC75" s="2">
        <v>358</v>
      </c>
      <c r="AD75" s="2"/>
      <c r="AE75" s="2">
        <v>363</v>
      </c>
      <c r="AF75" s="2"/>
      <c r="AG75" s="2">
        <v>362</v>
      </c>
      <c r="AH75" s="2"/>
    </row>
    <row r="76" spans="1:34">
      <c r="A76" t="s">
        <v>180</v>
      </c>
      <c r="B76" t="s">
        <v>181</v>
      </c>
      <c r="C76" s="2">
        <v>34</v>
      </c>
      <c r="D76" s="2"/>
      <c r="E76" s="2">
        <v>31</v>
      </c>
      <c r="F76" s="2" t="s">
        <v>847</v>
      </c>
      <c r="G76" s="2">
        <v>129</v>
      </c>
      <c r="H76" s="2"/>
      <c r="I76" s="2">
        <v>121</v>
      </c>
      <c r="J76" s="2"/>
      <c r="K76" s="2">
        <v>110</v>
      </c>
      <c r="L76" s="2"/>
      <c r="M76" s="2">
        <v>112</v>
      </c>
      <c r="N76" s="2"/>
      <c r="O76" s="2">
        <v>119</v>
      </c>
      <c r="P76" s="2"/>
      <c r="Q76" s="2">
        <v>112</v>
      </c>
      <c r="R76" s="2"/>
      <c r="S76" s="2">
        <v>101</v>
      </c>
      <c r="T76" s="2"/>
      <c r="U76" s="2">
        <v>106</v>
      </c>
      <c r="V76" s="2"/>
      <c r="W76" s="2">
        <v>96</v>
      </c>
      <c r="X76" s="2"/>
      <c r="Y76" s="2">
        <v>92</v>
      </c>
      <c r="Z76" s="2"/>
      <c r="AA76" s="2">
        <v>95</v>
      </c>
      <c r="AB76" s="2"/>
      <c r="AC76" s="2">
        <v>62</v>
      </c>
      <c r="AD76" s="2"/>
      <c r="AE76" s="2">
        <v>67</v>
      </c>
      <c r="AF76" s="2"/>
      <c r="AG76" s="2">
        <v>66</v>
      </c>
      <c r="AH76" s="2"/>
    </row>
    <row r="77" spans="1:34">
      <c r="A77" t="s">
        <v>182</v>
      </c>
      <c r="B77" t="s">
        <v>183</v>
      </c>
      <c r="C77" s="2">
        <v>24</v>
      </c>
      <c r="D77" s="2"/>
      <c r="E77" s="2">
        <v>24</v>
      </c>
      <c r="F77" s="2" t="s">
        <v>847</v>
      </c>
      <c r="G77" s="2">
        <v>113</v>
      </c>
      <c r="H77" s="2"/>
      <c r="I77" s="2">
        <v>106</v>
      </c>
      <c r="J77" s="2"/>
      <c r="K77" s="2">
        <v>111</v>
      </c>
      <c r="L77" s="2"/>
      <c r="M77" s="2">
        <v>117</v>
      </c>
      <c r="N77" s="2"/>
      <c r="O77" s="2">
        <v>114</v>
      </c>
      <c r="P77" s="2"/>
      <c r="Q77" s="2">
        <v>112</v>
      </c>
      <c r="R77" s="2"/>
      <c r="S77" s="2">
        <v>112</v>
      </c>
      <c r="T77" s="2"/>
      <c r="U77" s="2">
        <v>116</v>
      </c>
      <c r="V77" s="2"/>
      <c r="W77" s="2">
        <v>117</v>
      </c>
      <c r="X77" s="2"/>
      <c r="Y77" s="2">
        <v>107</v>
      </c>
      <c r="Z77" s="2"/>
      <c r="AA77" s="2">
        <v>100</v>
      </c>
      <c r="AB77" s="2"/>
      <c r="AC77" s="2">
        <v>88</v>
      </c>
      <c r="AD77" s="2"/>
      <c r="AE77" s="2">
        <v>91</v>
      </c>
      <c r="AF77" s="2"/>
      <c r="AG77" s="2">
        <v>85</v>
      </c>
      <c r="AH77" s="2"/>
    </row>
    <row r="78" spans="1:34">
      <c r="A78" t="s">
        <v>184</v>
      </c>
      <c r="B78" t="s">
        <v>185</v>
      </c>
      <c r="C78" s="2">
        <v>20</v>
      </c>
      <c r="D78" s="2"/>
      <c r="E78" s="2">
        <v>20</v>
      </c>
      <c r="F78" s="2" t="s">
        <v>847</v>
      </c>
      <c r="G78" s="2">
        <v>105</v>
      </c>
      <c r="H78" s="2"/>
      <c r="I78" s="2">
        <v>93</v>
      </c>
      <c r="J78" s="2"/>
      <c r="K78" s="2">
        <v>77</v>
      </c>
      <c r="L78" s="2"/>
      <c r="M78" s="2">
        <v>77</v>
      </c>
      <c r="N78" s="2"/>
      <c r="O78" s="2">
        <v>87</v>
      </c>
      <c r="P78" s="2"/>
      <c r="Q78" s="2">
        <v>87</v>
      </c>
      <c r="R78" s="2"/>
      <c r="S78" s="2">
        <v>100</v>
      </c>
      <c r="T78" s="2"/>
      <c r="U78" s="2">
        <v>95</v>
      </c>
      <c r="V78" s="2"/>
      <c r="W78" s="2">
        <v>97</v>
      </c>
      <c r="X78" s="2"/>
      <c r="Y78" s="2">
        <v>94</v>
      </c>
      <c r="Z78" s="2"/>
      <c r="AA78" s="2">
        <v>94</v>
      </c>
      <c r="AB78" s="2"/>
      <c r="AC78" s="2">
        <v>66</v>
      </c>
      <c r="AD78" s="2"/>
      <c r="AE78" s="2">
        <v>63</v>
      </c>
      <c r="AF78" s="2"/>
      <c r="AG78" s="2">
        <v>60</v>
      </c>
      <c r="AH78" s="2"/>
    </row>
    <row r="79" spans="1:34">
      <c r="A79" t="s">
        <v>186</v>
      </c>
      <c r="B79" t="s">
        <v>187</v>
      </c>
      <c r="C79" s="2">
        <v>52</v>
      </c>
      <c r="D79" s="2"/>
      <c r="E79" s="2">
        <v>50</v>
      </c>
      <c r="F79" s="2" t="s">
        <v>847</v>
      </c>
      <c r="G79" s="2">
        <v>207</v>
      </c>
      <c r="H79" s="2"/>
      <c r="I79" s="2">
        <v>203</v>
      </c>
      <c r="J79" s="2"/>
      <c r="K79" s="2">
        <v>196</v>
      </c>
      <c r="L79" s="2"/>
      <c r="M79" s="2">
        <v>198</v>
      </c>
      <c r="N79" s="2"/>
      <c r="O79" s="2">
        <v>200</v>
      </c>
      <c r="P79" s="2"/>
      <c r="Q79" s="2">
        <v>201</v>
      </c>
      <c r="R79" s="2"/>
      <c r="S79" s="2">
        <v>201</v>
      </c>
      <c r="T79" s="2"/>
      <c r="U79" s="2">
        <v>202</v>
      </c>
      <c r="V79" s="2"/>
      <c r="W79" s="2">
        <v>200</v>
      </c>
      <c r="X79" s="2"/>
      <c r="Y79" s="2">
        <v>196</v>
      </c>
      <c r="Z79" s="2"/>
      <c r="AA79" s="2">
        <v>200</v>
      </c>
      <c r="AB79" s="2"/>
      <c r="AC79" s="2">
        <v>142</v>
      </c>
      <c r="AD79" s="2"/>
      <c r="AE79" s="2">
        <v>142</v>
      </c>
      <c r="AF79" s="2"/>
      <c r="AG79" s="2">
        <v>151</v>
      </c>
      <c r="AH79" s="2"/>
    </row>
    <row r="80" spans="1:34">
      <c r="A80" t="s">
        <v>188</v>
      </c>
      <c r="B80" t="s">
        <v>189</v>
      </c>
      <c r="C80" s="2">
        <v>237</v>
      </c>
      <c r="D80" s="2"/>
      <c r="E80" s="2">
        <v>240</v>
      </c>
      <c r="F80" s="2" t="s">
        <v>847</v>
      </c>
      <c r="G80" s="2">
        <v>1111</v>
      </c>
      <c r="H80" s="2"/>
      <c r="I80" s="2">
        <v>1082</v>
      </c>
      <c r="J80" s="2"/>
      <c r="K80" s="2">
        <v>1041</v>
      </c>
      <c r="L80" s="2"/>
      <c r="M80" s="2">
        <v>987</v>
      </c>
      <c r="N80" s="2"/>
      <c r="O80" s="2">
        <v>979</v>
      </c>
      <c r="P80" s="2"/>
      <c r="Q80" s="2">
        <v>935</v>
      </c>
      <c r="R80" s="2"/>
      <c r="S80" s="2">
        <v>945</v>
      </c>
      <c r="T80" s="2"/>
      <c r="U80" s="2">
        <v>935</v>
      </c>
      <c r="V80" s="2"/>
      <c r="W80" s="2">
        <v>945</v>
      </c>
      <c r="X80" s="2"/>
      <c r="Y80" s="2">
        <v>945</v>
      </c>
      <c r="Z80" s="2"/>
      <c r="AA80" s="2">
        <v>934</v>
      </c>
      <c r="AB80" s="2"/>
      <c r="AC80" s="2">
        <v>746</v>
      </c>
      <c r="AD80" s="2"/>
      <c r="AE80" s="2">
        <v>710</v>
      </c>
      <c r="AF80" s="2"/>
      <c r="AG80" s="2">
        <v>721</v>
      </c>
      <c r="AH80" s="2"/>
    </row>
    <row r="81" spans="1:34">
      <c r="A81" t="s">
        <v>190</v>
      </c>
      <c r="B81" t="s">
        <v>191</v>
      </c>
      <c r="C81" s="2">
        <v>57</v>
      </c>
      <c r="D81" s="2"/>
      <c r="E81" s="2">
        <v>59</v>
      </c>
      <c r="F81" s="2" t="s">
        <v>847</v>
      </c>
      <c r="G81" s="2">
        <v>319</v>
      </c>
      <c r="H81" s="2"/>
      <c r="I81" s="2">
        <v>302</v>
      </c>
      <c r="J81" s="2"/>
      <c r="K81" s="2">
        <v>306</v>
      </c>
      <c r="L81" s="2"/>
      <c r="M81" s="2">
        <v>287</v>
      </c>
      <c r="N81" s="2"/>
      <c r="O81" s="2">
        <v>295</v>
      </c>
      <c r="P81" s="2"/>
      <c r="Q81" s="2">
        <v>269</v>
      </c>
      <c r="R81" s="2"/>
      <c r="S81" s="2">
        <v>266</v>
      </c>
      <c r="T81" s="2"/>
      <c r="U81" s="2">
        <v>260</v>
      </c>
      <c r="V81" s="2"/>
      <c r="W81" s="2">
        <v>262</v>
      </c>
      <c r="X81" s="2"/>
      <c r="Y81" s="2">
        <v>264</v>
      </c>
      <c r="Z81" s="2"/>
      <c r="AA81" s="2">
        <v>262</v>
      </c>
      <c r="AB81" s="2"/>
      <c r="AC81" s="2">
        <v>187</v>
      </c>
      <c r="AD81" s="2"/>
      <c r="AE81" s="2">
        <v>174</v>
      </c>
      <c r="AF81" s="2"/>
      <c r="AG81" s="2">
        <v>177</v>
      </c>
      <c r="AH81" s="2"/>
    </row>
    <row r="82" spans="1:34">
      <c r="A82" t="s">
        <v>192</v>
      </c>
      <c r="B82" t="s">
        <v>193</v>
      </c>
      <c r="C82" s="2">
        <v>40</v>
      </c>
      <c r="D82" s="2"/>
      <c r="E82" s="2">
        <v>37</v>
      </c>
      <c r="F82" s="2" t="s">
        <v>847</v>
      </c>
      <c r="G82" s="2">
        <v>194</v>
      </c>
      <c r="H82" s="2"/>
      <c r="I82" s="2">
        <v>220</v>
      </c>
      <c r="J82" s="2"/>
      <c r="K82" s="2">
        <v>213</v>
      </c>
      <c r="L82" s="2"/>
      <c r="M82" s="2">
        <v>208</v>
      </c>
      <c r="N82" s="2"/>
      <c r="O82" s="2">
        <v>207</v>
      </c>
      <c r="P82" s="2"/>
      <c r="Q82" s="2">
        <v>202</v>
      </c>
      <c r="R82" s="2"/>
      <c r="S82" s="2">
        <v>211</v>
      </c>
      <c r="T82" s="2"/>
      <c r="U82" s="2">
        <v>213</v>
      </c>
      <c r="V82" s="2"/>
      <c r="W82" s="2">
        <v>229</v>
      </c>
      <c r="X82" s="2"/>
      <c r="Y82" s="2">
        <v>233</v>
      </c>
      <c r="Z82" s="2"/>
      <c r="AA82" s="2">
        <v>232</v>
      </c>
      <c r="AB82" s="2"/>
      <c r="AC82" s="2">
        <v>189</v>
      </c>
      <c r="AD82" s="2"/>
      <c r="AE82" s="2">
        <v>174</v>
      </c>
      <c r="AF82" s="2"/>
      <c r="AG82" s="2">
        <v>176</v>
      </c>
      <c r="AH82" s="2"/>
    </row>
    <row r="83" spans="1:34">
      <c r="A83" t="s">
        <v>194</v>
      </c>
      <c r="B83" t="s">
        <v>195</v>
      </c>
      <c r="C83" s="2">
        <v>31</v>
      </c>
      <c r="D83" s="2"/>
      <c r="E83" s="2">
        <v>32</v>
      </c>
      <c r="F83" s="2" t="s">
        <v>847</v>
      </c>
      <c r="G83" s="2">
        <v>135</v>
      </c>
      <c r="H83" s="2"/>
      <c r="I83" s="2">
        <v>123</v>
      </c>
      <c r="J83" s="2"/>
      <c r="K83" s="2">
        <v>119</v>
      </c>
      <c r="L83" s="2"/>
      <c r="M83" s="2">
        <v>119</v>
      </c>
      <c r="N83" s="2"/>
      <c r="O83" s="2">
        <v>112</v>
      </c>
      <c r="P83" s="2"/>
      <c r="Q83" s="2">
        <v>113</v>
      </c>
      <c r="R83" s="2"/>
      <c r="S83" s="2">
        <v>115</v>
      </c>
      <c r="T83" s="2"/>
      <c r="U83" s="2">
        <v>112</v>
      </c>
      <c r="V83" s="2"/>
      <c r="W83" s="2">
        <v>115</v>
      </c>
      <c r="X83" s="2"/>
      <c r="Y83" s="2">
        <v>112</v>
      </c>
      <c r="Z83" s="2"/>
      <c r="AA83" s="2">
        <v>121</v>
      </c>
      <c r="AB83" s="2"/>
      <c r="AC83" s="2">
        <v>96</v>
      </c>
      <c r="AD83" s="2"/>
      <c r="AE83" s="2">
        <v>97</v>
      </c>
      <c r="AF83" s="2"/>
      <c r="AG83" s="2">
        <v>97</v>
      </c>
      <c r="AH83" s="2"/>
    </row>
    <row r="84" spans="1:34">
      <c r="A84" t="s">
        <v>196</v>
      </c>
      <c r="B84" t="s">
        <v>197</v>
      </c>
      <c r="C84" s="2">
        <v>36</v>
      </c>
      <c r="D84" s="2"/>
      <c r="E84" s="2">
        <v>36</v>
      </c>
      <c r="F84" s="2" t="s">
        <v>847</v>
      </c>
      <c r="G84" s="2">
        <v>155</v>
      </c>
      <c r="H84" s="2"/>
      <c r="I84" s="2">
        <v>148</v>
      </c>
      <c r="J84" s="2"/>
      <c r="K84" s="2">
        <v>135</v>
      </c>
      <c r="L84" s="2"/>
      <c r="M84" s="2">
        <v>120</v>
      </c>
      <c r="N84" s="2"/>
      <c r="O84" s="2">
        <v>113</v>
      </c>
      <c r="P84" s="2"/>
      <c r="Q84" s="2">
        <v>115</v>
      </c>
      <c r="R84" s="2"/>
      <c r="S84" s="2">
        <v>116</v>
      </c>
      <c r="T84" s="2"/>
      <c r="U84" s="2">
        <v>110</v>
      </c>
      <c r="V84" s="2"/>
      <c r="W84" s="2">
        <v>112</v>
      </c>
      <c r="X84" s="2"/>
      <c r="Y84" s="2">
        <v>111</v>
      </c>
      <c r="Z84" s="2"/>
      <c r="AA84" s="2">
        <v>106</v>
      </c>
      <c r="AB84" s="2"/>
      <c r="AC84" s="2">
        <v>108</v>
      </c>
      <c r="AD84" s="2"/>
      <c r="AE84" s="2">
        <v>108</v>
      </c>
      <c r="AF84" s="2"/>
      <c r="AG84" s="2">
        <v>111</v>
      </c>
      <c r="AH84" s="2"/>
    </row>
    <row r="85" spans="1:34">
      <c r="A85" t="s">
        <v>198</v>
      </c>
      <c r="B85" t="s">
        <v>199</v>
      </c>
      <c r="C85" s="2">
        <v>73</v>
      </c>
      <c r="D85" s="2"/>
      <c r="E85" s="2">
        <v>76</v>
      </c>
      <c r="F85" s="2" t="s">
        <v>847</v>
      </c>
      <c r="G85" s="2">
        <v>308</v>
      </c>
      <c r="H85" s="2"/>
      <c r="I85" s="2">
        <v>289</v>
      </c>
      <c r="J85" s="2"/>
      <c r="K85" s="2">
        <v>268</v>
      </c>
      <c r="L85" s="2"/>
      <c r="M85" s="2">
        <v>253</v>
      </c>
      <c r="N85" s="2"/>
      <c r="O85" s="2">
        <v>252</v>
      </c>
      <c r="P85" s="2"/>
      <c r="Q85" s="2">
        <v>236</v>
      </c>
      <c r="R85" s="2"/>
      <c r="S85" s="2">
        <v>237</v>
      </c>
      <c r="T85" s="2"/>
      <c r="U85" s="2">
        <v>240</v>
      </c>
      <c r="V85" s="2"/>
      <c r="W85" s="2">
        <v>227</v>
      </c>
      <c r="X85" s="2"/>
      <c r="Y85" s="2">
        <v>225</v>
      </c>
      <c r="Z85" s="2"/>
      <c r="AA85" s="2">
        <v>213</v>
      </c>
      <c r="AB85" s="2"/>
      <c r="AC85" s="2">
        <v>166</v>
      </c>
      <c r="AD85" s="2"/>
      <c r="AE85" s="2">
        <v>157</v>
      </c>
      <c r="AF85" s="2"/>
      <c r="AG85" s="2">
        <v>160</v>
      </c>
      <c r="AH85" s="2"/>
    </row>
    <row r="86" spans="1:34">
      <c r="A86" t="s">
        <v>200</v>
      </c>
      <c r="B86" t="s">
        <v>201</v>
      </c>
      <c r="C86" s="2">
        <v>59</v>
      </c>
      <c r="D86" s="2"/>
      <c r="E86" s="2">
        <v>59</v>
      </c>
      <c r="F86" s="2" t="s">
        <v>847</v>
      </c>
      <c r="G86" s="2">
        <v>318</v>
      </c>
      <c r="H86" s="2"/>
      <c r="I86" s="2">
        <v>312</v>
      </c>
      <c r="J86" s="2"/>
      <c r="K86" s="2">
        <v>297</v>
      </c>
      <c r="L86" s="2"/>
      <c r="M86" s="2">
        <v>284</v>
      </c>
      <c r="N86" s="2"/>
      <c r="O86" s="2">
        <v>273</v>
      </c>
      <c r="P86" s="2"/>
      <c r="Q86" s="2">
        <v>270</v>
      </c>
      <c r="R86" s="2"/>
      <c r="S86" s="2">
        <v>250</v>
      </c>
      <c r="T86" s="2"/>
      <c r="U86" s="2">
        <v>237</v>
      </c>
      <c r="V86" s="2"/>
      <c r="W86" s="2">
        <v>230</v>
      </c>
      <c r="X86" s="2"/>
      <c r="Y86" s="2">
        <v>233</v>
      </c>
      <c r="Z86" s="2"/>
      <c r="AA86" s="2">
        <v>228</v>
      </c>
      <c r="AB86" s="2"/>
      <c r="AC86" s="2">
        <v>210</v>
      </c>
      <c r="AD86" s="2"/>
      <c r="AE86" s="2">
        <v>215</v>
      </c>
      <c r="AF86" s="2"/>
      <c r="AG86" s="2">
        <v>214</v>
      </c>
      <c r="AH86" s="2"/>
    </row>
    <row r="87" spans="1:34">
      <c r="A87" t="s">
        <v>202</v>
      </c>
      <c r="B87" t="s">
        <v>203</v>
      </c>
      <c r="C87" s="2">
        <v>26</v>
      </c>
      <c r="D87" s="2"/>
      <c r="E87" s="2">
        <v>23</v>
      </c>
      <c r="F87" s="2" t="s">
        <v>847</v>
      </c>
      <c r="G87" s="2">
        <v>117</v>
      </c>
      <c r="H87" s="2"/>
      <c r="I87" s="2">
        <v>112</v>
      </c>
      <c r="J87" s="2"/>
      <c r="K87" s="2">
        <v>113</v>
      </c>
      <c r="L87" s="2"/>
      <c r="M87" s="2">
        <v>124</v>
      </c>
      <c r="N87" s="2"/>
      <c r="O87" s="2">
        <v>118</v>
      </c>
      <c r="P87" s="2"/>
      <c r="Q87" s="2">
        <v>109</v>
      </c>
      <c r="R87" s="2"/>
      <c r="S87" s="2">
        <v>100</v>
      </c>
      <c r="T87" s="2"/>
      <c r="U87" s="2">
        <v>105</v>
      </c>
      <c r="V87" s="2"/>
      <c r="W87" s="2">
        <v>108</v>
      </c>
      <c r="X87" s="2"/>
      <c r="Y87" s="2">
        <v>104</v>
      </c>
      <c r="Z87" s="2"/>
      <c r="AA87" s="2">
        <v>96</v>
      </c>
      <c r="AB87" s="2"/>
      <c r="AC87" s="2">
        <v>98</v>
      </c>
      <c r="AD87" s="2"/>
      <c r="AE87" s="2">
        <v>101</v>
      </c>
      <c r="AF87" s="2"/>
      <c r="AG87" s="2">
        <v>103</v>
      </c>
      <c r="AH87" s="2"/>
    </row>
    <row r="88" spans="1:34">
      <c r="A88" t="s">
        <v>204</v>
      </c>
      <c r="B88" t="s">
        <v>205</v>
      </c>
      <c r="C88" s="2">
        <v>9</v>
      </c>
      <c r="D88" s="2"/>
      <c r="E88" s="2">
        <v>10</v>
      </c>
      <c r="F88" s="2" t="s">
        <v>847</v>
      </c>
      <c r="G88" s="2">
        <v>54</v>
      </c>
      <c r="H88" s="2"/>
      <c r="I88" s="2">
        <v>55</v>
      </c>
      <c r="J88" s="2"/>
      <c r="K88" s="2">
        <v>50</v>
      </c>
      <c r="L88" s="2"/>
      <c r="M88" s="2">
        <v>39</v>
      </c>
      <c r="N88" s="2"/>
      <c r="O88" s="2">
        <v>39</v>
      </c>
      <c r="P88" s="2"/>
      <c r="Q88" s="2">
        <v>43</v>
      </c>
      <c r="R88" s="2"/>
      <c r="S88" s="2">
        <v>34</v>
      </c>
      <c r="T88" s="2"/>
      <c r="U88" s="2">
        <v>33</v>
      </c>
      <c r="V88" s="2"/>
      <c r="W88" s="2">
        <v>33</v>
      </c>
      <c r="X88" s="2"/>
      <c r="Y88" s="2">
        <v>32</v>
      </c>
      <c r="Z88" s="2"/>
      <c r="AA88" s="2">
        <v>28</v>
      </c>
      <c r="AB88" s="2"/>
      <c r="AC88" s="2">
        <v>25</v>
      </c>
      <c r="AD88" s="2"/>
      <c r="AE88" s="2">
        <v>27</v>
      </c>
      <c r="AF88" s="2"/>
      <c r="AG88" s="2">
        <v>30</v>
      </c>
      <c r="AH88" s="2"/>
    </row>
    <row r="89" spans="1:34">
      <c r="A89" t="s">
        <v>206</v>
      </c>
      <c r="B89" t="s">
        <v>207</v>
      </c>
      <c r="C89" s="2">
        <v>24</v>
      </c>
      <c r="D89" s="2"/>
      <c r="E89" s="2">
        <v>26</v>
      </c>
      <c r="F89" s="2" t="s">
        <v>847</v>
      </c>
      <c r="G89" s="2">
        <v>147</v>
      </c>
      <c r="H89" s="2"/>
      <c r="I89" s="2">
        <v>145</v>
      </c>
      <c r="J89" s="2"/>
      <c r="K89" s="2">
        <v>134</v>
      </c>
      <c r="L89" s="2"/>
      <c r="M89" s="2">
        <v>121</v>
      </c>
      <c r="N89" s="2"/>
      <c r="O89" s="2">
        <v>116</v>
      </c>
      <c r="P89" s="2"/>
      <c r="Q89" s="2">
        <v>118</v>
      </c>
      <c r="R89" s="2"/>
      <c r="S89" s="2">
        <v>116</v>
      </c>
      <c r="T89" s="2"/>
      <c r="U89" s="2">
        <v>99</v>
      </c>
      <c r="V89" s="2"/>
      <c r="W89" s="2">
        <v>89</v>
      </c>
      <c r="X89" s="2"/>
      <c r="Y89" s="2">
        <v>97</v>
      </c>
      <c r="Z89" s="2"/>
      <c r="AA89" s="2">
        <v>104</v>
      </c>
      <c r="AB89" s="2"/>
      <c r="AC89" s="2">
        <v>87</v>
      </c>
      <c r="AD89" s="2"/>
      <c r="AE89" s="2">
        <v>87</v>
      </c>
      <c r="AF89" s="2"/>
      <c r="AG89" s="2">
        <v>81</v>
      </c>
      <c r="AH89" s="2"/>
    </row>
    <row r="90" spans="1:34">
      <c r="A90" t="s">
        <v>208</v>
      </c>
      <c r="B90" t="s">
        <v>209</v>
      </c>
      <c r="C90" s="2">
        <v>28</v>
      </c>
      <c r="D90" s="2"/>
      <c r="E90" s="2">
        <v>26</v>
      </c>
      <c r="F90" s="2" t="s">
        <v>847</v>
      </c>
      <c r="G90" s="2">
        <v>105</v>
      </c>
      <c r="H90" s="2"/>
      <c r="I90" s="2">
        <v>95</v>
      </c>
      <c r="J90" s="2"/>
      <c r="K90" s="2">
        <v>95</v>
      </c>
      <c r="L90" s="2"/>
      <c r="M90" s="2">
        <v>114</v>
      </c>
      <c r="N90" s="2"/>
      <c r="O90" s="2">
        <v>109</v>
      </c>
      <c r="P90" s="2"/>
      <c r="Q90" s="2">
        <v>97</v>
      </c>
      <c r="R90" s="2"/>
      <c r="S90" s="2">
        <v>102</v>
      </c>
      <c r="T90" s="2"/>
      <c r="U90" s="2">
        <v>108</v>
      </c>
      <c r="V90" s="2"/>
      <c r="W90" s="2">
        <v>105</v>
      </c>
      <c r="X90" s="2"/>
      <c r="Y90" s="2">
        <v>103</v>
      </c>
      <c r="Z90" s="2"/>
      <c r="AA90" s="2">
        <v>116</v>
      </c>
      <c r="AB90" s="2"/>
      <c r="AC90" s="2">
        <v>57</v>
      </c>
      <c r="AD90" s="2"/>
      <c r="AE90" s="2">
        <v>58</v>
      </c>
      <c r="AF90" s="2"/>
      <c r="AG90" s="2">
        <v>56</v>
      </c>
      <c r="AH90" s="2"/>
    </row>
    <row r="91" spans="1:34">
      <c r="A91" t="s">
        <v>210</v>
      </c>
      <c r="B91" t="s">
        <v>209</v>
      </c>
      <c r="C91" s="2">
        <v>28</v>
      </c>
      <c r="D91" s="2"/>
      <c r="E91" s="2">
        <v>26</v>
      </c>
      <c r="F91" s="2" t="s">
        <v>847</v>
      </c>
      <c r="G91" s="2">
        <v>105</v>
      </c>
      <c r="H91" s="2"/>
      <c r="I91" s="2">
        <v>95</v>
      </c>
      <c r="J91" s="2"/>
      <c r="K91" s="2">
        <v>95</v>
      </c>
      <c r="L91" s="2"/>
      <c r="M91" s="2">
        <v>114</v>
      </c>
      <c r="N91" s="2"/>
      <c r="O91" s="2">
        <v>109</v>
      </c>
      <c r="P91" s="2"/>
      <c r="Q91" s="2">
        <v>97</v>
      </c>
      <c r="R91" s="2"/>
      <c r="S91" s="2">
        <v>102</v>
      </c>
      <c r="T91" s="2"/>
      <c r="U91" s="2">
        <v>108</v>
      </c>
      <c r="V91" s="2"/>
      <c r="W91" s="2">
        <v>105</v>
      </c>
      <c r="X91" s="2"/>
      <c r="Y91" s="2">
        <v>103</v>
      </c>
      <c r="Z91" s="2"/>
      <c r="AA91" s="2">
        <v>116</v>
      </c>
      <c r="AB91" s="2"/>
      <c r="AC91" s="2">
        <v>57</v>
      </c>
      <c r="AD91" s="2"/>
      <c r="AE91" s="2">
        <v>58</v>
      </c>
      <c r="AF91" s="2"/>
      <c r="AG91" s="2">
        <v>56</v>
      </c>
      <c r="AH91" s="2"/>
    </row>
    <row r="92" spans="1:34">
      <c r="A92" t="s">
        <v>211</v>
      </c>
      <c r="B92" t="s">
        <v>212</v>
      </c>
      <c r="C92" s="2">
        <v>109</v>
      </c>
      <c r="D92" s="2"/>
      <c r="E92" s="2">
        <v>113</v>
      </c>
      <c r="F92" s="2" t="s">
        <v>847</v>
      </c>
      <c r="G92" s="2">
        <v>492</v>
      </c>
      <c r="H92" s="2"/>
      <c r="I92" s="2">
        <v>460</v>
      </c>
      <c r="J92" s="2"/>
      <c r="K92" s="2">
        <v>427</v>
      </c>
      <c r="L92" s="2"/>
      <c r="M92" s="2">
        <v>428</v>
      </c>
      <c r="N92" s="2"/>
      <c r="O92" s="2">
        <v>446</v>
      </c>
      <c r="P92" s="2"/>
      <c r="Q92" s="2">
        <v>458</v>
      </c>
      <c r="R92" s="2"/>
      <c r="S92" s="2">
        <v>463</v>
      </c>
      <c r="T92" s="2"/>
      <c r="U92" s="2">
        <v>453</v>
      </c>
      <c r="V92" s="2"/>
      <c r="W92" s="2">
        <v>444</v>
      </c>
      <c r="X92" s="2"/>
      <c r="Y92" s="2">
        <v>454</v>
      </c>
      <c r="Z92" s="2"/>
      <c r="AA92" s="2">
        <v>451</v>
      </c>
      <c r="AB92" s="2"/>
      <c r="AC92" s="2">
        <v>255</v>
      </c>
      <c r="AD92" s="2"/>
      <c r="AE92" s="2">
        <v>258</v>
      </c>
      <c r="AF92" s="2"/>
      <c r="AG92" s="2">
        <v>255</v>
      </c>
      <c r="AH92" s="2"/>
    </row>
    <row r="93" spans="1:34">
      <c r="A93" t="s">
        <v>853</v>
      </c>
      <c r="B93" t="s">
        <v>854</v>
      </c>
      <c r="C93" s="2">
        <v>64</v>
      </c>
      <c r="D93" s="2"/>
      <c r="E93" s="2">
        <v>65</v>
      </c>
      <c r="F93" s="2" t="s">
        <v>847</v>
      </c>
      <c r="G93" s="2">
        <v>309</v>
      </c>
      <c r="H93" s="2"/>
      <c r="I93" s="2" t="s">
        <v>43</v>
      </c>
      <c r="J93" s="2"/>
      <c r="K93" s="2" t="s">
        <v>43</v>
      </c>
      <c r="L93" s="2"/>
      <c r="M93" s="2" t="s">
        <v>43</v>
      </c>
      <c r="N93" s="2"/>
      <c r="O93" s="2" t="s">
        <v>43</v>
      </c>
      <c r="P93" s="2"/>
      <c r="Q93" s="2" t="s">
        <v>43</v>
      </c>
      <c r="R93" s="2"/>
      <c r="S93" s="2" t="s">
        <v>43</v>
      </c>
      <c r="T93" s="2"/>
      <c r="U93" s="2" t="s">
        <v>43</v>
      </c>
      <c r="V93" s="2"/>
      <c r="W93" s="2" t="s">
        <v>43</v>
      </c>
      <c r="X93" s="2" t="s">
        <v>334</v>
      </c>
      <c r="Y93" s="2" t="s">
        <v>43</v>
      </c>
      <c r="Z93" s="2"/>
      <c r="AA93" s="2" t="s">
        <v>43</v>
      </c>
      <c r="AB93" s="2"/>
      <c r="AC93" s="2"/>
      <c r="AD93" s="2"/>
      <c r="AE93" s="2"/>
      <c r="AF93" s="2"/>
      <c r="AG93" s="2"/>
      <c r="AH93" s="2"/>
    </row>
    <row r="94" spans="1:34">
      <c r="A94" t="s">
        <v>213</v>
      </c>
      <c r="B94" t="s">
        <v>214</v>
      </c>
      <c r="C94" s="2">
        <v>21</v>
      </c>
      <c r="D94" s="2"/>
      <c r="E94" s="2">
        <v>20</v>
      </c>
      <c r="F94" s="2" t="s">
        <v>847</v>
      </c>
      <c r="G94" s="2">
        <v>90</v>
      </c>
      <c r="H94" s="2"/>
      <c r="I94" s="2">
        <v>86</v>
      </c>
      <c r="J94" s="2"/>
      <c r="K94" s="2">
        <v>72</v>
      </c>
      <c r="L94" s="2"/>
      <c r="M94" s="2">
        <v>71</v>
      </c>
      <c r="N94" s="2"/>
      <c r="O94" s="2">
        <v>74</v>
      </c>
      <c r="P94" s="2"/>
      <c r="Q94" s="2">
        <v>81</v>
      </c>
      <c r="R94" s="2"/>
      <c r="S94" s="2">
        <v>71</v>
      </c>
      <c r="T94" s="2"/>
      <c r="U94" s="2">
        <v>77</v>
      </c>
      <c r="V94" s="2"/>
      <c r="W94" s="2">
        <v>71</v>
      </c>
      <c r="X94" s="2"/>
      <c r="Y94" s="2">
        <v>86</v>
      </c>
      <c r="Z94" s="2"/>
      <c r="AA94" s="2">
        <v>90</v>
      </c>
      <c r="AB94" s="2"/>
      <c r="AC94" s="2">
        <v>72</v>
      </c>
      <c r="AD94" s="2"/>
      <c r="AE94" s="2">
        <v>74</v>
      </c>
      <c r="AF94" s="2"/>
      <c r="AG94" s="2">
        <v>72</v>
      </c>
      <c r="AH94" s="2"/>
    </row>
    <row r="95" spans="1:34">
      <c r="A95" t="s">
        <v>855</v>
      </c>
      <c r="B95" t="s">
        <v>856</v>
      </c>
      <c r="C95" s="2">
        <v>24</v>
      </c>
      <c r="D95" s="2"/>
      <c r="E95" s="2">
        <v>28</v>
      </c>
      <c r="F95" s="2" t="s">
        <v>847</v>
      </c>
      <c r="G95" s="2">
        <v>93</v>
      </c>
      <c r="H95" s="2"/>
      <c r="I95" s="2" t="s">
        <v>43</v>
      </c>
      <c r="J95" s="2"/>
      <c r="K95" s="2" t="s">
        <v>43</v>
      </c>
      <c r="L95" s="2"/>
      <c r="M95" s="2" t="s">
        <v>43</v>
      </c>
      <c r="N95" s="2"/>
      <c r="O95" s="2" t="s">
        <v>43</v>
      </c>
      <c r="P95" s="2"/>
      <c r="Q95" s="2" t="s">
        <v>43</v>
      </c>
      <c r="R95" s="2"/>
      <c r="S95" s="2" t="s">
        <v>43</v>
      </c>
      <c r="T95" s="2"/>
      <c r="U95" s="2" t="s">
        <v>43</v>
      </c>
      <c r="V95" s="2"/>
      <c r="W95" s="2" t="s">
        <v>43</v>
      </c>
      <c r="X95" s="2" t="s">
        <v>334</v>
      </c>
      <c r="Y95" s="2" t="s">
        <v>43</v>
      </c>
      <c r="Z95" s="2"/>
      <c r="AA95" s="2" t="s">
        <v>43</v>
      </c>
      <c r="AB95" s="2"/>
      <c r="AC95" s="2"/>
      <c r="AD95" s="2"/>
      <c r="AE95" s="2"/>
      <c r="AF95" s="2"/>
      <c r="AG95" s="2"/>
      <c r="AH95" s="2"/>
    </row>
    <row r="96" spans="1:34">
      <c r="A96" t="s">
        <v>215</v>
      </c>
      <c r="B96" t="s">
        <v>216</v>
      </c>
      <c r="C96" s="2" t="s">
        <v>43</v>
      </c>
      <c r="D96" s="2"/>
      <c r="E96" s="2" t="s">
        <v>43</v>
      </c>
      <c r="F96" s="2"/>
      <c r="G96" s="2" t="s">
        <v>43</v>
      </c>
      <c r="H96" s="2"/>
      <c r="I96" s="2">
        <v>295</v>
      </c>
      <c r="J96" s="2"/>
      <c r="K96" s="2">
        <v>286</v>
      </c>
      <c r="L96" s="2"/>
      <c r="M96" s="2">
        <v>286</v>
      </c>
      <c r="N96" s="2"/>
      <c r="O96" s="2">
        <v>298</v>
      </c>
      <c r="P96" s="2"/>
      <c r="Q96" s="2">
        <v>308</v>
      </c>
      <c r="R96" s="2"/>
      <c r="S96" s="2">
        <v>312</v>
      </c>
      <c r="T96" s="2"/>
      <c r="U96" s="2">
        <v>307</v>
      </c>
      <c r="V96" s="2"/>
      <c r="W96" s="2">
        <v>301</v>
      </c>
      <c r="X96" s="2"/>
      <c r="Y96" s="2">
        <v>298</v>
      </c>
      <c r="Z96" s="2"/>
      <c r="AA96" s="2">
        <v>295</v>
      </c>
      <c r="AB96" s="2"/>
      <c r="AC96" s="2">
        <v>142</v>
      </c>
      <c r="AD96" s="2"/>
      <c r="AE96" s="2">
        <v>141</v>
      </c>
      <c r="AF96" s="2"/>
      <c r="AG96" s="2">
        <v>137</v>
      </c>
      <c r="AH96" s="2"/>
    </row>
    <row r="97" spans="1:34">
      <c r="A97" t="s">
        <v>217</v>
      </c>
      <c r="B97" t="s">
        <v>218</v>
      </c>
      <c r="C97" s="2" t="s">
        <v>43</v>
      </c>
      <c r="D97" s="2"/>
      <c r="E97" s="2" t="s">
        <v>43</v>
      </c>
      <c r="F97" s="2"/>
      <c r="G97" s="2" t="s">
        <v>43</v>
      </c>
      <c r="H97" s="2"/>
      <c r="I97" s="2">
        <v>79</v>
      </c>
      <c r="J97" s="2"/>
      <c r="K97" s="2">
        <v>69</v>
      </c>
      <c r="L97" s="2"/>
      <c r="M97" s="2">
        <v>71</v>
      </c>
      <c r="N97" s="2"/>
      <c r="O97" s="2">
        <v>74</v>
      </c>
      <c r="P97" s="2"/>
      <c r="Q97" s="2">
        <v>69</v>
      </c>
      <c r="R97" s="2"/>
      <c r="S97" s="2">
        <v>80</v>
      </c>
      <c r="T97" s="2"/>
      <c r="U97" s="2">
        <v>69</v>
      </c>
      <c r="V97" s="2"/>
      <c r="W97" s="2">
        <v>72</v>
      </c>
      <c r="X97" s="2"/>
      <c r="Y97" s="2">
        <v>70</v>
      </c>
      <c r="Z97" s="2"/>
      <c r="AA97" s="2">
        <v>66</v>
      </c>
      <c r="AB97" s="2"/>
      <c r="AC97" s="2">
        <v>41</v>
      </c>
      <c r="AD97" s="2"/>
      <c r="AE97" s="2">
        <v>43</v>
      </c>
      <c r="AF97" s="2"/>
      <c r="AG97" s="2">
        <v>46</v>
      </c>
      <c r="AH97" s="2"/>
    </row>
    <row r="98" spans="1:34">
      <c r="A98" t="s">
        <v>219</v>
      </c>
      <c r="B98" t="s">
        <v>220</v>
      </c>
      <c r="C98" s="2">
        <v>23</v>
      </c>
      <c r="D98" s="2"/>
      <c r="E98" s="2">
        <v>24</v>
      </c>
      <c r="F98" s="2" t="s">
        <v>847</v>
      </c>
      <c r="G98" s="2">
        <v>91</v>
      </c>
      <c r="H98" s="2"/>
      <c r="I98" s="2">
        <v>114</v>
      </c>
      <c r="J98" s="2"/>
      <c r="K98" s="2">
        <v>114</v>
      </c>
      <c r="L98" s="2"/>
      <c r="M98" s="2">
        <v>113</v>
      </c>
      <c r="N98" s="2"/>
      <c r="O98" s="2">
        <v>103</v>
      </c>
      <c r="P98" s="2"/>
      <c r="Q98" s="2">
        <v>100</v>
      </c>
      <c r="R98" s="2"/>
      <c r="S98" s="2">
        <v>95</v>
      </c>
      <c r="T98" s="2"/>
      <c r="U98" s="2">
        <v>93</v>
      </c>
      <c r="V98" s="2"/>
      <c r="W98" s="2">
        <v>89</v>
      </c>
      <c r="X98" s="2"/>
      <c r="Y98" s="2">
        <v>97</v>
      </c>
      <c r="Z98" s="2"/>
      <c r="AA98" s="2">
        <v>99</v>
      </c>
      <c r="AB98" s="2"/>
      <c r="AC98" s="2">
        <v>82</v>
      </c>
      <c r="AD98" s="2"/>
      <c r="AE98" s="2">
        <v>79</v>
      </c>
      <c r="AF98" s="2"/>
      <c r="AG98" s="2">
        <v>83</v>
      </c>
      <c r="AH98" s="2"/>
    </row>
    <row r="99" spans="1:34">
      <c r="A99" t="s">
        <v>221</v>
      </c>
      <c r="B99" t="s">
        <v>220</v>
      </c>
      <c r="C99" s="2">
        <v>23</v>
      </c>
      <c r="D99" s="2"/>
      <c r="E99" s="2">
        <v>24</v>
      </c>
      <c r="F99" s="2" t="s">
        <v>847</v>
      </c>
      <c r="G99" s="2">
        <v>91</v>
      </c>
      <c r="H99" s="2"/>
      <c r="I99" s="2">
        <v>114</v>
      </c>
      <c r="J99" s="2"/>
      <c r="K99" s="2">
        <v>114</v>
      </c>
      <c r="L99" s="2"/>
      <c r="M99" s="2">
        <v>113</v>
      </c>
      <c r="N99" s="2"/>
      <c r="O99" s="2">
        <v>103</v>
      </c>
      <c r="P99" s="2"/>
      <c r="Q99" s="2">
        <v>100</v>
      </c>
      <c r="R99" s="2"/>
      <c r="S99" s="2">
        <v>95</v>
      </c>
      <c r="T99" s="2"/>
      <c r="U99" s="2">
        <v>93</v>
      </c>
      <c r="V99" s="2"/>
      <c r="W99" s="2">
        <v>89</v>
      </c>
      <c r="X99" s="2"/>
      <c r="Y99" s="2">
        <v>97</v>
      </c>
      <c r="Z99" s="2"/>
      <c r="AA99" s="2">
        <v>99</v>
      </c>
      <c r="AB99" s="2"/>
      <c r="AC99" s="2">
        <v>82</v>
      </c>
      <c r="AD99" s="2"/>
      <c r="AE99" s="2">
        <v>79</v>
      </c>
      <c r="AF99" s="2"/>
      <c r="AG99" s="2">
        <v>83</v>
      </c>
      <c r="AH99" s="2"/>
    </row>
    <row r="100" spans="1:34">
      <c r="A100" t="s">
        <v>222</v>
      </c>
      <c r="B100" t="s">
        <v>223</v>
      </c>
      <c r="C100" s="2">
        <v>13</v>
      </c>
      <c r="D100" s="2"/>
      <c r="E100" s="2">
        <v>12</v>
      </c>
      <c r="F100" s="2" t="s">
        <v>847</v>
      </c>
      <c r="G100" s="2">
        <v>52</v>
      </c>
      <c r="H100" s="2"/>
      <c r="I100" s="2">
        <v>55</v>
      </c>
      <c r="J100" s="2"/>
      <c r="K100" s="2">
        <v>51</v>
      </c>
      <c r="L100" s="2"/>
      <c r="M100" s="2">
        <v>55</v>
      </c>
      <c r="N100" s="2"/>
      <c r="O100" s="2">
        <v>59</v>
      </c>
      <c r="P100" s="2"/>
      <c r="Q100" s="2">
        <v>60</v>
      </c>
      <c r="R100" s="2"/>
      <c r="S100" s="2">
        <v>58</v>
      </c>
      <c r="T100" s="2"/>
      <c r="U100" s="2">
        <v>68</v>
      </c>
      <c r="V100" s="2"/>
      <c r="W100" s="2">
        <v>68</v>
      </c>
      <c r="X100" s="2"/>
      <c r="Y100" s="2">
        <v>67</v>
      </c>
      <c r="Z100" s="2"/>
      <c r="AA100" s="2">
        <v>71</v>
      </c>
      <c r="AB100" s="2"/>
      <c r="AC100" s="2">
        <v>82</v>
      </c>
      <c r="AD100" s="2"/>
      <c r="AE100" s="2">
        <v>89</v>
      </c>
      <c r="AF100" s="2"/>
      <c r="AG100" s="2">
        <v>88</v>
      </c>
      <c r="AH100" s="2"/>
    </row>
    <row r="101" spans="1:34">
      <c r="A101" t="s">
        <v>224</v>
      </c>
      <c r="B101" t="s">
        <v>223</v>
      </c>
      <c r="C101" s="2">
        <v>13</v>
      </c>
      <c r="D101" s="2"/>
      <c r="E101" s="2">
        <v>12</v>
      </c>
      <c r="F101" s="2" t="s">
        <v>847</v>
      </c>
      <c r="G101" s="2">
        <v>52</v>
      </c>
      <c r="H101" s="2"/>
      <c r="I101" s="2">
        <v>55</v>
      </c>
      <c r="J101" s="2"/>
      <c r="K101" s="2">
        <v>51</v>
      </c>
      <c r="L101" s="2"/>
      <c r="M101" s="2">
        <v>55</v>
      </c>
      <c r="N101" s="2"/>
      <c r="O101" s="2">
        <v>59</v>
      </c>
      <c r="P101" s="2"/>
      <c r="Q101" s="2">
        <v>60</v>
      </c>
      <c r="R101" s="2"/>
      <c r="S101" s="2">
        <v>58</v>
      </c>
      <c r="T101" s="2"/>
      <c r="U101" s="2">
        <v>68</v>
      </c>
      <c r="V101" s="2"/>
      <c r="W101" s="2">
        <v>68</v>
      </c>
      <c r="X101" s="2"/>
      <c r="Y101" s="2">
        <v>67</v>
      </c>
      <c r="Z101" s="2"/>
      <c r="AA101" s="2">
        <v>71</v>
      </c>
      <c r="AB101" s="2"/>
      <c r="AC101" s="2">
        <v>82</v>
      </c>
      <c r="AD101" s="2"/>
      <c r="AE101" s="2">
        <v>89</v>
      </c>
      <c r="AF101" s="2"/>
      <c r="AG101" s="2">
        <v>88</v>
      </c>
      <c r="AH101" s="2"/>
    </row>
    <row r="102" spans="1:34">
      <c r="A102" t="s">
        <v>225</v>
      </c>
      <c r="B102" t="s">
        <v>226</v>
      </c>
      <c r="C102" s="2">
        <v>88</v>
      </c>
      <c r="D102" s="2"/>
      <c r="E102" s="2">
        <v>88</v>
      </c>
      <c r="F102" s="2" t="s">
        <v>847</v>
      </c>
      <c r="G102" s="2">
        <v>382</v>
      </c>
      <c r="H102" s="2"/>
      <c r="I102" s="2">
        <v>358</v>
      </c>
      <c r="J102" s="2"/>
      <c r="K102" s="2">
        <v>315</v>
      </c>
      <c r="L102" s="2"/>
      <c r="M102" s="2">
        <v>326</v>
      </c>
      <c r="N102" s="2"/>
      <c r="O102" s="2">
        <v>315</v>
      </c>
      <c r="P102" s="2"/>
      <c r="Q102" s="2">
        <v>324</v>
      </c>
      <c r="R102" s="2"/>
      <c r="S102" s="2">
        <v>300</v>
      </c>
      <c r="T102" s="2"/>
      <c r="U102" s="2">
        <v>292</v>
      </c>
      <c r="V102" s="2"/>
      <c r="W102" s="2">
        <v>298</v>
      </c>
      <c r="X102" s="2"/>
      <c r="Y102" s="2">
        <v>307</v>
      </c>
      <c r="Z102" s="2"/>
      <c r="AA102" s="2">
        <v>274</v>
      </c>
      <c r="AB102" s="2"/>
      <c r="AC102" s="2">
        <v>131</v>
      </c>
      <c r="AD102" s="2"/>
      <c r="AE102" s="2">
        <v>132</v>
      </c>
      <c r="AF102" s="2"/>
      <c r="AG102" s="2">
        <v>135</v>
      </c>
      <c r="AH102" s="2"/>
    </row>
    <row r="103" spans="1:34">
      <c r="A103" t="s">
        <v>227</v>
      </c>
      <c r="B103" t="s">
        <v>226</v>
      </c>
      <c r="C103" s="2">
        <v>88</v>
      </c>
      <c r="D103" s="2"/>
      <c r="E103" s="2">
        <v>88</v>
      </c>
      <c r="F103" s="2" t="s">
        <v>847</v>
      </c>
      <c r="G103" s="2">
        <v>382</v>
      </c>
      <c r="H103" s="2"/>
      <c r="I103" s="2">
        <v>358</v>
      </c>
      <c r="J103" s="2"/>
      <c r="K103" s="2">
        <v>315</v>
      </c>
      <c r="L103" s="2"/>
      <c r="M103" s="2">
        <v>326</v>
      </c>
      <c r="N103" s="2"/>
      <c r="O103" s="2">
        <v>315</v>
      </c>
      <c r="P103" s="2"/>
      <c r="Q103" s="2">
        <v>324</v>
      </c>
      <c r="R103" s="2"/>
      <c r="S103" s="2">
        <v>300</v>
      </c>
      <c r="T103" s="2"/>
      <c r="U103" s="2">
        <v>292</v>
      </c>
      <c r="V103" s="2"/>
      <c r="W103" s="2">
        <v>298</v>
      </c>
      <c r="X103" s="2"/>
      <c r="Y103" s="2">
        <v>307</v>
      </c>
      <c r="Z103" s="2"/>
      <c r="AA103" s="2">
        <v>274</v>
      </c>
      <c r="AB103" s="2"/>
      <c r="AC103" s="2">
        <v>131</v>
      </c>
      <c r="AD103" s="2"/>
      <c r="AE103" s="2">
        <v>132</v>
      </c>
      <c r="AF103" s="2"/>
      <c r="AG103" s="2">
        <v>135</v>
      </c>
      <c r="AH103" s="2"/>
    </row>
    <row r="104" spans="1:34">
      <c r="A104" t="s">
        <v>228</v>
      </c>
      <c r="B104" t="s">
        <v>229</v>
      </c>
      <c r="C104" s="2">
        <v>59</v>
      </c>
      <c r="D104" s="2"/>
      <c r="E104" s="2">
        <v>56</v>
      </c>
      <c r="F104" s="2"/>
      <c r="G104" s="2">
        <v>50</v>
      </c>
      <c r="H104" s="2"/>
      <c r="I104" s="2">
        <v>47</v>
      </c>
      <c r="J104" s="2"/>
      <c r="K104" s="2">
        <v>62</v>
      </c>
      <c r="L104" s="2"/>
      <c r="M104" s="2">
        <v>60</v>
      </c>
      <c r="N104" s="2"/>
      <c r="O104" s="2">
        <v>59</v>
      </c>
      <c r="P104" s="2"/>
      <c r="Q104" s="2">
        <v>68</v>
      </c>
      <c r="R104" s="2"/>
      <c r="S104" s="2">
        <v>68</v>
      </c>
      <c r="T104" s="2"/>
      <c r="U104" s="2">
        <v>69</v>
      </c>
      <c r="V104" s="2"/>
      <c r="W104" s="2">
        <v>69</v>
      </c>
      <c r="X104" s="2" t="s">
        <v>334</v>
      </c>
      <c r="Y104" s="2">
        <v>76</v>
      </c>
      <c r="Z104" s="2"/>
      <c r="AA104" s="2">
        <v>77</v>
      </c>
      <c r="AB104" s="2"/>
      <c r="AC104" s="2">
        <v>105</v>
      </c>
      <c r="AD104" s="2"/>
      <c r="AE104" s="2">
        <v>109</v>
      </c>
      <c r="AF104" s="2"/>
      <c r="AG104" s="2">
        <v>112</v>
      </c>
      <c r="AH104" s="2"/>
    </row>
    <row r="105" spans="1:34">
      <c r="A105" t="s">
        <v>230</v>
      </c>
      <c r="B105" t="s">
        <v>231</v>
      </c>
      <c r="C105" s="2">
        <v>59</v>
      </c>
      <c r="D105" s="2"/>
      <c r="E105" s="2">
        <v>56</v>
      </c>
      <c r="F105" s="2"/>
      <c r="G105" s="2">
        <v>50</v>
      </c>
      <c r="H105" s="2"/>
      <c r="I105" s="2">
        <v>47</v>
      </c>
      <c r="J105" s="2"/>
      <c r="K105" s="2">
        <v>62</v>
      </c>
      <c r="L105" s="2"/>
      <c r="M105" s="2">
        <v>60</v>
      </c>
      <c r="N105" s="2"/>
      <c r="O105" s="2">
        <v>59</v>
      </c>
      <c r="P105" s="2"/>
      <c r="Q105" s="2">
        <v>68</v>
      </c>
      <c r="R105" s="2"/>
      <c r="S105" s="2">
        <v>68</v>
      </c>
      <c r="T105" s="2"/>
      <c r="U105" s="2">
        <v>69</v>
      </c>
      <c r="V105" s="2"/>
      <c r="W105" s="2">
        <v>69</v>
      </c>
      <c r="X105" s="2" t="s">
        <v>334</v>
      </c>
      <c r="Y105" s="2">
        <v>76</v>
      </c>
      <c r="Z105" s="2"/>
      <c r="AA105" s="2">
        <v>77</v>
      </c>
      <c r="AB105" s="2"/>
      <c r="AC105" s="2">
        <v>105</v>
      </c>
      <c r="AD105" s="2"/>
      <c r="AE105" s="2">
        <v>109</v>
      </c>
      <c r="AF105" s="2"/>
      <c r="AG105" s="2">
        <v>112</v>
      </c>
      <c r="AH105" s="2"/>
    </row>
    <row r="106" spans="1:34">
      <c r="A106" t="s">
        <v>232</v>
      </c>
      <c r="B106" t="s">
        <v>231</v>
      </c>
      <c r="C106" s="2">
        <v>59</v>
      </c>
      <c r="D106" s="2"/>
      <c r="E106" s="2">
        <v>56</v>
      </c>
      <c r="F106" s="2"/>
      <c r="G106" s="2">
        <v>50</v>
      </c>
      <c r="H106" s="2"/>
      <c r="I106" s="2">
        <v>47</v>
      </c>
      <c r="J106" s="2"/>
      <c r="K106" s="2">
        <v>62</v>
      </c>
      <c r="L106" s="2"/>
      <c r="M106" s="2">
        <v>60</v>
      </c>
      <c r="N106" s="2"/>
      <c r="O106" s="2">
        <v>59</v>
      </c>
      <c r="P106" s="2"/>
      <c r="Q106" s="2">
        <v>68</v>
      </c>
      <c r="R106" s="2"/>
      <c r="S106" s="2">
        <v>68</v>
      </c>
      <c r="T106" s="2"/>
      <c r="U106" s="2">
        <v>69</v>
      </c>
      <c r="V106" s="2"/>
      <c r="W106" s="2">
        <v>69</v>
      </c>
      <c r="X106" s="2" t="s">
        <v>334</v>
      </c>
      <c r="Y106" s="2">
        <v>76</v>
      </c>
      <c r="Z106" s="2"/>
      <c r="AA106" s="2">
        <v>77</v>
      </c>
      <c r="AB106" s="2"/>
      <c r="AC106" s="2">
        <v>105</v>
      </c>
      <c r="AD106" s="2"/>
      <c r="AE106" s="2">
        <v>109</v>
      </c>
      <c r="AF106" s="2"/>
      <c r="AG106" s="2">
        <v>112</v>
      </c>
      <c r="AH106" s="2"/>
    </row>
    <row r="107" spans="1:34">
      <c r="A107" t="s">
        <v>235</v>
      </c>
      <c r="B107" t="s">
        <v>236</v>
      </c>
      <c r="C107" s="2" t="s">
        <v>43</v>
      </c>
      <c r="D107" s="2" t="s">
        <v>44</v>
      </c>
      <c r="E107" s="2">
        <v>132</v>
      </c>
      <c r="F107" s="2"/>
      <c r="G107" s="2">
        <v>129</v>
      </c>
      <c r="H107" s="2"/>
      <c r="I107" s="2">
        <v>129</v>
      </c>
      <c r="J107" s="2"/>
      <c r="K107" s="2">
        <v>132</v>
      </c>
      <c r="L107" s="2"/>
      <c r="M107" s="2" t="s">
        <v>43</v>
      </c>
      <c r="N107" s="2" t="s">
        <v>44</v>
      </c>
      <c r="O107" s="2" t="s">
        <v>43</v>
      </c>
      <c r="P107" s="2" t="s">
        <v>44</v>
      </c>
      <c r="Q107" s="2">
        <v>134</v>
      </c>
      <c r="R107" s="2"/>
      <c r="S107" s="2">
        <v>138</v>
      </c>
      <c r="T107" s="2"/>
      <c r="U107" s="2">
        <v>141</v>
      </c>
      <c r="V107" s="2"/>
      <c r="W107" s="2">
        <v>140</v>
      </c>
      <c r="X107" s="2"/>
      <c r="Y107" s="2">
        <v>141</v>
      </c>
      <c r="Z107" s="2"/>
      <c r="AA107" s="2">
        <v>147</v>
      </c>
      <c r="AB107" s="2"/>
      <c r="AC107" s="2">
        <v>156</v>
      </c>
      <c r="AD107" s="2"/>
      <c r="AE107" s="2" t="s">
        <v>43</v>
      </c>
      <c r="AF107" s="2" t="s">
        <v>44</v>
      </c>
      <c r="AG107" s="2" t="s">
        <v>43</v>
      </c>
      <c r="AH107" s="2" t="s">
        <v>44</v>
      </c>
    </row>
    <row r="108" spans="1:34">
      <c r="A108" t="s">
        <v>857</v>
      </c>
      <c r="B108" t="s">
        <v>236</v>
      </c>
      <c r="C108" s="2" t="s">
        <v>43</v>
      </c>
      <c r="D108" s="2" t="s">
        <v>44</v>
      </c>
      <c r="E108" s="2">
        <v>132</v>
      </c>
      <c r="F108" s="2"/>
      <c r="G108" s="2">
        <v>129</v>
      </c>
      <c r="H108" s="2"/>
      <c r="I108" s="2">
        <v>129</v>
      </c>
      <c r="J108" s="2"/>
      <c r="K108" s="2">
        <v>132</v>
      </c>
      <c r="L108" s="2"/>
      <c r="M108" s="2" t="s">
        <v>43</v>
      </c>
      <c r="N108" s="2" t="s">
        <v>44</v>
      </c>
      <c r="O108" s="2" t="s">
        <v>43</v>
      </c>
      <c r="P108" s="2" t="s">
        <v>44</v>
      </c>
      <c r="Q108" s="2">
        <v>134</v>
      </c>
      <c r="R108" s="2"/>
      <c r="S108" s="2">
        <v>138</v>
      </c>
      <c r="T108" s="2"/>
      <c r="U108" s="2">
        <v>141</v>
      </c>
      <c r="V108" s="2"/>
      <c r="W108" s="2">
        <v>140</v>
      </c>
      <c r="X108" s="2"/>
      <c r="Y108" s="2" t="s">
        <v>43</v>
      </c>
      <c r="Z108" s="2"/>
      <c r="AA108" s="2" t="s">
        <v>43</v>
      </c>
      <c r="AB108" s="2"/>
      <c r="AC108" s="2"/>
      <c r="AD108" s="2"/>
      <c r="AE108" s="2"/>
      <c r="AF108" s="2"/>
      <c r="AG108" s="2"/>
      <c r="AH108" s="2"/>
    </row>
    <row r="109" spans="1:34">
      <c r="A109" t="s">
        <v>237</v>
      </c>
      <c r="B109" t="s">
        <v>238</v>
      </c>
      <c r="C109" s="2" t="s">
        <v>43</v>
      </c>
      <c r="D109" s="2"/>
      <c r="E109" s="2" t="s">
        <v>43</v>
      </c>
      <c r="F109" s="2"/>
      <c r="G109" s="2" t="s">
        <v>43</v>
      </c>
      <c r="H109" s="2"/>
      <c r="I109" s="2" t="s">
        <v>43</v>
      </c>
      <c r="J109" s="2"/>
      <c r="K109" s="2" t="s">
        <v>43</v>
      </c>
      <c r="L109" s="2"/>
      <c r="M109" s="2" t="s">
        <v>43</v>
      </c>
      <c r="N109" s="2"/>
      <c r="O109" s="2" t="s">
        <v>43</v>
      </c>
      <c r="P109" s="2"/>
      <c r="Q109" s="2" t="s">
        <v>43</v>
      </c>
      <c r="R109" s="2"/>
      <c r="S109" s="2" t="s">
        <v>43</v>
      </c>
      <c r="T109" s="2" t="s">
        <v>44</v>
      </c>
      <c r="U109" s="2">
        <v>22</v>
      </c>
      <c r="V109" s="2"/>
      <c r="W109" s="2" t="s">
        <v>43</v>
      </c>
      <c r="X109" s="2" t="s">
        <v>44</v>
      </c>
      <c r="Y109" s="2" t="s">
        <v>43</v>
      </c>
      <c r="Z109" s="2" t="s">
        <v>44</v>
      </c>
      <c r="AA109" s="2">
        <v>22</v>
      </c>
      <c r="AB109" s="2"/>
      <c r="AC109" s="2" t="s">
        <v>43</v>
      </c>
      <c r="AD109" s="2" t="s">
        <v>44</v>
      </c>
      <c r="AE109" s="2">
        <v>25</v>
      </c>
      <c r="AF109" s="2"/>
      <c r="AG109" s="2">
        <v>27</v>
      </c>
      <c r="AH109" s="2"/>
    </row>
    <row r="110" spans="1:34">
      <c r="A110" t="s">
        <v>239</v>
      </c>
      <c r="B110" t="s">
        <v>240</v>
      </c>
      <c r="C110" s="2" t="s">
        <v>43</v>
      </c>
      <c r="D110" s="2"/>
      <c r="E110" s="2" t="s">
        <v>43</v>
      </c>
      <c r="F110" s="2"/>
      <c r="G110" s="2" t="s">
        <v>43</v>
      </c>
      <c r="H110" s="2"/>
      <c r="I110" s="2" t="s">
        <v>43</v>
      </c>
      <c r="J110" s="2"/>
      <c r="K110" s="2" t="s">
        <v>43</v>
      </c>
      <c r="L110" s="2"/>
      <c r="M110" s="2" t="s">
        <v>43</v>
      </c>
      <c r="N110" s="2"/>
      <c r="O110" s="2" t="s">
        <v>43</v>
      </c>
      <c r="P110" s="2"/>
      <c r="Q110" s="2" t="s">
        <v>43</v>
      </c>
      <c r="R110" s="2"/>
      <c r="S110" s="2" t="s">
        <v>43</v>
      </c>
      <c r="T110" s="2" t="s">
        <v>44</v>
      </c>
      <c r="U110" s="2">
        <v>41</v>
      </c>
      <c r="V110" s="2"/>
      <c r="W110" s="2" t="s">
        <v>43</v>
      </c>
      <c r="X110" s="2" t="s">
        <v>44</v>
      </c>
      <c r="Y110" s="2" t="s">
        <v>43</v>
      </c>
      <c r="Z110" s="2" t="s">
        <v>44</v>
      </c>
      <c r="AA110" s="2">
        <v>44</v>
      </c>
      <c r="AB110" s="2"/>
      <c r="AC110" s="2" t="s">
        <v>43</v>
      </c>
      <c r="AD110" s="2" t="s">
        <v>44</v>
      </c>
      <c r="AE110" s="2">
        <v>47</v>
      </c>
      <c r="AF110" s="2"/>
      <c r="AG110" s="2">
        <v>46</v>
      </c>
      <c r="AH110" s="2"/>
    </row>
    <row r="111" spans="1:34">
      <c r="A111" t="s">
        <v>241</v>
      </c>
      <c r="B111" t="s">
        <v>242</v>
      </c>
      <c r="C111" s="2" t="s">
        <v>43</v>
      </c>
      <c r="D111" s="2"/>
      <c r="E111" s="2" t="s">
        <v>43</v>
      </c>
      <c r="F111" s="2"/>
      <c r="G111" s="2" t="s">
        <v>43</v>
      </c>
      <c r="H111" s="2"/>
      <c r="I111" s="2" t="s">
        <v>43</v>
      </c>
      <c r="J111" s="2"/>
      <c r="K111" s="2" t="s">
        <v>43</v>
      </c>
      <c r="L111" s="2"/>
      <c r="M111" s="2" t="s">
        <v>43</v>
      </c>
      <c r="N111" s="2"/>
      <c r="O111" s="2" t="s">
        <v>43</v>
      </c>
      <c r="P111" s="2"/>
      <c r="Q111" s="2" t="s">
        <v>43</v>
      </c>
      <c r="R111" s="2"/>
      <c r="S111" s="2">
        <v>67</v>
      </c>
      <c r="T111" s="2"/>
      <c r="U111" s="2">
        <v>73</v>
      </c>
      <c r="V111" s="2"/>
      <c r="W111" s="2">
        <v>68</v>
      </c>
      <c r="X111" s="2"/>
      <c r="Y111" s="2">
        <v>69</v>
      </c>
      <c r="Z111" s="2"/>
      <c r="AA111" s="2">
        <v>73</v>
      </c>
      <c r="AB111" s="2"/>
      <c r="AC111" s="2">
        <v>82</v>
      </c>
      <c r="AD111" s="2"/>
      <c r="AE111" s="2">
        <v>94</v>
      </c>
      <c r="AF111" s="2"/>
      <c r="AG111" s="2">
        <v>94</v>
      </c>
      <c r="AH111" s="2"/>
    </row>
    <row r="112" spans="1:34">
      <c r="A112" t="s">
        <v>858</v>
      </c>
      <c r="B112" t="s">
        <v>859</v>
      </c>
      <c r="C112" s="2" t="s">
        <v>43</v>
      </c>
      <c r="D112" s="2" t="s">
        <v>44</v>
      </c>
      <c r="E112" s="2">
        <v>45</v>
      </c>
      <c r="F112" s="2"/>
      <c r="G112" s="2">
        <v>45</v>
      </c>
      <c r="H112" s="2"/>
      <c r="I112" s="2">
        <v>43</v>
      </c>
      <c r="J112" s="2"/>
      <c r="K112" s="2">
        <v>44</v>
      </c>
      <c r="L112" s="2"/>
      <c r="M112" s="2" t="s">
        <v>43</v>
      </c>
      <c r="N112" s="2" t="s">
        <v>44</v>
      </c>
      <c r="O112" s="2" t="s">
        <v>43</v>
      </c>
      <c r="P112" s="2" t="s">
        <v>44</v>
      </c>
      <c r="Q112" s="2">
        <v>44</v>
      </c>
      <c r="R112" s="2"/>
      <c r="S112" s="2" t="s">
        <v>43</v>
      </c>
      <c r="T112" s="2"/>
      <c r="U112" s="2" t="s">
        <v>43</v>
      </c>
      <c r="V112" s="2"/>
      <c r="W112" s="2" t="s">
        <v>43</v>
      </c>
      <c r="X112" s="2"/>
      <c r="Y112" s="2" t="s">
        <v>43</v>
      </c>
      <c r="Z112" s="2"/>
      <c r="AA112" s="2" t="s">
        <v>43</v>
      </c>
      <c r="AB112" s="2"/>
      <c r="AC112" s="2"/>
      <c r="AD112" s="2"/>
      <c r="AE112" s="2"/>
      <c r="AF112" s="2"/>
      <c r="AG112" s="2"/>
      <c r="AH112" s="2"/>
    </row>
    <row r="113" spans="1:34">
      <c r="A113" t="s">
        <v>860</v>
      </c>
      <c r="B113" t="s">
        <v>861</v>
      </c>
      <c r="C113" s="2" t="s">
        <v>43</v>
      </c>
      <c r="D113" s="2" t="s">
        <v>44</v>
      </c>
      <c r="E113" s="2">
        <v>86</v>
      </c>
      <c r="F113" s="2"/>
      <c r="G113" s="2">
        <v>83</v>
      </c>
      <c r="H113" s="2"/>
      <c r="I113" s="2">
        <v>84</v>
      </c>
      <c r="J113" s="2"/>
      <c r="K113" s="2">
        <v>86</v>
      </c>
      <c r="L113" s="2"/>
      <c r="M113" s="2" t="s">
        <v>43</v>
      </c>
      <c r="N113" s="2" t="s">
        <v>44</v>
      </c>
      <c r="O113" s="2" t="s">
        <v>43</v>
      </c>
      <c r="P113" s="2" t="s">
        <v>44</v>
      </c>
      <c r="Q113" s="2">
        <v>86</v>
      </c>
      <c r="R113" s="2"/>
      <c r="S113" s="2" t="s">
        <v>43</v>
      </c>
      <c r="T113" s="2"/>
      <c r="U113" s="2" t="s">
        <v>43</v>
      </c>
      <c r="V113" s="2"/>
      <c r="W113" s="2" t="s">
        <v>43</v>
      </c>
      <c r="X113" s="2"/>
      <c r="Y113" s="2" t="s">
        <v>43</v>
      </c>
      <c r="Z113" s="2"/>
      <c r="AA113" s="2" t="s">
        <v>43</v>
      </c>
      <c r="AB113" s="2"/>
      <c r="AC113" s="2"/>
      <c r="AD113" s="2"/>
      <c r="AE113" s="2"/>
      <c r="AF113" s="2"/>
      <c r="AG113" s="2"/>
      <c r="AH113" s="2"/>
    </row>
    <row r="114" spans="1:34">
      <c r="A114" t="s">
        <v>243</v>
      </c>
      <c r="B114" t="s">
        <v>244</v>
      </c>
      <c r="C114" s="2">
        <v>378</v>
      </c>
      <c r="D114" s="2"/>
      <c r="E114" s="2">
        <v>349</v>
      </c>
      <c r="F114" s="2"/>
      <c r="G114" s="2">
        <v>333</v>
      </c>
      <c r="H114" s="2"/>
      <c r="I114" s="2">
        <v>322</v>
      </c>
      <c r="J114" s="2"/>
      <c r="K114" s="2">
        <v>305</v>
      </c>
      <c r="L114" s="2"/>
      <c r="M114" s="2">
        <v>204</v>
      </c>
      <c r="N114" s="2"/>
      <c r="O114" s="2">
        <v>459</v>
      </c>
      <c r="P114" s="2"/>
      <c r="Q114" s="2">
        <v>462</v>
      </c>
      <c r="R114" s="2"/>
      <c r="S114" s="2">
        <v>428</v>
      </c>
      <c r="T114" s="2"/>
      <c r="U114" s="2">
        <v>430</v>
      </c>
      <c r="V114" s="2"/>
      <c r="W114" s="2">
        <v>448</v>
      </c>
      <c r="X114" s="2" t="s">
        <v>334</v>
      </c>
      <c r="Y114" s="2">
        <v>457</v>
      </c>
      <c r="Z114" s="2"/>
      <c r="AA114" s="2">
        <v>462</v>
      </c>
      <c r="AB114" s="2"/>
      <c r="AC114" s="2">
        <v>463</v>
      </c>
      <c r="AD114" s="2"/>
      <c r="AE114" s="2">
        <v>475</v>
      </c>
      <c r="AF114" s="2"/>
      <c r="AG114" s="2">
        <v>492</v>
      </c>
      <c r="AH114" s="2"/>
    </row>
    <row r="115" spans="1:34">
      <c r="A115" t="s">
        <v>862</v>
      </c>
      <c r="B115" t="s">
        <v>863</v>
      </c>
      <c r="C115" s="2">
        <v>164</v>
      </c>
      <c r="D115" s="2"/>
      <c r="E115" s="2">
        <v>243</v>
      </c>
      <c r="F115" s="2"/>
      <c r="G115" s="2">
        <v>234</v>
      </c>
      <c r="H115" s="2"/>
      <c r="I115" s="2" t="s">
        <v>43</v>
      </c>
      <c r="J115" s="2" t="s">
        <v>44</v>
      </c>
      <c r="K115" s="2">
        <v>115</v>
      </c>
      <c r="L115" s="2"/>
      <c r="M115" s="2" t="s">
        <v>43</v>
      </c>
      <c r="N115" s="2"/>
      <c r="O115" s="2" t="s">
        <v>43</v>
      </c>
      <c r="P115" s="2"/>
      <c r="Q115" s="2" t="s">
        <v>43</v>
      </c>
      <c r="R115" s="2"/>
      <c r="S115" s="2" t="s">
        <v>43</v>
      </c>
      <c r="T115" s="2"/>
      <c r="U115" s="2" t="s">
        <v>43</v>
      </c>
      <c r="V115" s="2"/>
      <c r="W115" s="2" t="s">
        <v>43</v>
      </c>
      <c r="X115" s="2"/>
      <c r="Y115" s="2" t="s">
        <v>43</v>
      </c>
      <c r="Z115" s="2"/>
      <c r="AA115" s="2" t="s">
        <v>43</v>
      </c>
      <c r="AB115" s="2"/>
      <c r="AC115" s="2"/>
      <c r="AD115" s="2"/>
      <c r="AE115" s="2"/>
      <c r="AF115" s="2"/>
      <c r="AG115" s="2"/>
      <c r="AH115" s="2"/>
    </row>
    <row r="116" spans="1:34">
      <c r="A116" t="s">
        <v>864</v>
      </c>
      <c r="B116" t="s">
        <v>865</v>
      </c>
      <c r="C116" s="2">
        <v>14</v>
      </c>
      <c r="D116" s="2"/>
      <c r="E116" s="2">
        <v>50</v>
      </c>
      <c r="F116" s="2"/>
      <c r="G116" s="2">
        <v>48</v>
      </c>
      <c r="H116" s="2"/>
      <c r="I116" s="2" t="s">
        <v>43</v>
      </c>
      <c r="J116" s="2" t="s">
        <v>44</v>
      </c>
      <c r="K116" s="2">
        <v>15</v>
      </c>
      <c r="L116" s="2"/>
      <c r="M116" s="2" t="s">
        <v>43</v>
      </c>
      <c r="N116" s="2"/>
      <c r="O116" s="2" t="s">
        <v>43</v>
      </c>
      <c r="P116" s="2"/>
      <c r="Q116" s="2" t="s">
        <v>43</v>
      </c>
      <c r="R116" s="2"/>
      <c r="S116" s="2" t="s">
        <v>43</v>
      </c>
      <c r="T116" s="2"/>
      <c r="U116" s="2" t="s">
        <v>43</v>
      </c>
      <c r="V116" s="2"/>
      <c r="W116" s="2" t="s">
        <v>43</v>
      </c>
      <c r="X116" s="2"/>
      <c r="Y116" s="2" t="s">
        <v>43</v>
      </c>
      <c r="Z116" s="2"/>
      <c r="AA116" s="2" t="s">
        <v>43</v>
      </c>
      <c r="AB116" s="2"/>
      <c r="AC116" s="2"/>
      <c r="AD116" s="2"/>
      <c r="AE116" s="2"/>
      <c r="AF116" s="2"/>
      <c r="AG116" s="2"/>
      <c r="AH116" s="2"/>
    </row>
    <row r="117" spans="1:34">
      <c r="A117" t="s">
        <v>866</v>
      </c>
      <c r="B117" t="s">
        <v>867</v>
      </c>
      <c r="C117" s="2">
        <v>108</v>
      </c>
      <c r="D117" s="2"/>
      <c r="E117" s="2">
        <v>54</v>
      </c>
      <c r="F117" s="2"/>
      <c r="G117" s="2">
        <v>52</v>
      </c>
      <c r="H117" s="2"/>
      <c r="I117" s="2" t="s">
        <v>43</v>
      </c>
      <c r="J117" s="2" t="s">
        <v>44</v>
      </c>
      <c r="K117" s="2">
        <v>74</v>
      </c>
      <c r="L117" s="2"/>
      <c r="M117" s="2" t="s">
        <v>43</v>
      </c>
      <c r="N117" s="2"/>
      <c r="O117" s="2" t="s">
        <v>43</v>
      </c>
      <c r="P117" s="2"/>
      <c r="Q117" s="2" t="s">
        <v>43</v>
      </c>
      <c r="R117" s="2"/>
      <c r="S117" s="2" t="s">
        <v>43</v>
      </c>
      <c r="T117" s="2"/>
      <c r="U117" s="2" t="s">
        <v>43</v>
      </c>
      <c r="V117" s="2"/>
      <c r="W117" s="2" t="s">
        <v>43</v>
      </c>
      <c r="X117" s="2"/>
      <c r="Y117" s="2" t="s">
        <v>43</v>
      </c>
      <c r="Z117" s="2"/>
      <c r="AA117" s="2" t="s">
        <v>43</v>
      </c>
      <c r="AB117" s="2"/>
      <c r="AC117" s="2"/>
      <c r="AD117" s="2"/>
      <c r="AE117" s="2"/>
      <c r="AF117" s="2"/>
      <c r="AG117" s="2"/>
      <c r="AH117" s="2"/>
    </row>
    <row r="118" spans="1:34">
      <c r="A118" t="s">
        <v>868</v>
      </c>
      <c r="B118" t="s">
        <v>869</v>
      </c>
      <c r="C118" s="2">
        <v>8</v>
      </c>
      <c r="D118" s="2"/>
      <c r="E118" s="2" t="s">
        <v>43</v>
      </c>
      <c r="F118" s="2"/>
      <c r="G118" s="2">
        <v>0</v>
      </c>
      <c r="H118" s="2"/>
      <c r="I118" s="2" t="s">
        <v>43</v>
      </c>
      <c r="J118" s="2" t="s">
        <v>44</v>
      </c>
      <c r="K118" s="2">
        <v>6</v>
      </c>
      <c r="L118" s="2"/>
      <c r="M118" s="2" t="s">
        <v>43</v>
      </c>
      <c r="N118" s="2"/>
      <c r="O118" s="2" t="s">
        <v>43</v>
      </c>
      <c r="P118" s="2"/>
      <c r="Q118" s="2" t="s">
        <v>43</v>
      </c>
      <c r="R118" s="2"/>
      <c r="S118" s="2" t="s">
        <v>43</v>
      </c>
      <c r="T118" s="2"/>
      <c r="U118" s="2" t="s">
        <v>43</v>
      </c>
      <c r="V118" s="2"/>
      <c r="W118" s="2" t="s">
        <v>43</v>
      </c>
      <c r="X118" s="2"/>
      <c r="Y118" s="2" t="s">
        <v>43</v>
      </c>
      <c r="Z118" s="2"/>
      <c r="AA118" s="2" t="s">
        <v>43</v>
      </c>
      <c r="AB118" s="2"/>
      <c r="AC118" s="2"/>
      <c r="AD118" s="2"/>
      <c r="AE118" s="2"/>
      <c r="AF118" s="2"/>
      <c r="AG118" s="2"/>
      <c r="AH118" s="2"/>
    </row>
    <row r="119" spans="1:34">
      <c r="A119" t="s">
        <v>870</v>
      </c>
      <c r="B119" t="s">
        <v>871</v>
      </c>
      <c r="C119" s="2">
        <v>34</v>
      </c>
      <c r="D119" s="2"/>
      <c r="E119" s="2">
        <v>139</v>
      </c>
      <c r="F119" s="2"/>
      <c r="G119" s="2">
        <v>134</v>
      </c>
      <c r="H119" s="2"/>
      <c r="I119" s="2" t="s">
        <v>43</v>
      </c>
      <c r="J119" s="2" t="s">
        <v>44</v>
      </c>
      <c r="K119" s="2">
        <v>20</v>
      </c>
      <c r="L119" s="2"/>
      <c r="M119" s="2" t="s">
        <v>43</v>
      </c>
      <c r="N119" s="2"/>
      <c r="O119" s="2" t="s">
        <v>43</v>
      </c>
      <c r="P119" s="2"/>
      <c r="Q119" s="2" t="s">
        <v>43</v>
      </c>
      <c r="R119" s="2"/>
      <c r="S119" s="2" t="s">
        <v>43</v>
      </c>
      <c r="T119" s="2"/>
      <c r="U119" s="2" t="s">
        <v>43</v>
      </c>
      <c r="V119" s="2"/>
      <c r="W119" s="2" t="s">
        <v>43</v>
      </c>
      <c r="X119" s="2"/>
      <c r="Y119" s="2" t="s">
        <v>43</v>
      </c>
      <c r="Z119" s="2"/>
      <c r="AA119" s="2" t="s">
        <v>43</v>
      </c>
      <c r="AB119" s="2"/>
      <c r="AC119" s="2"/>
      <c r="AD119" s="2"/>
      <c r="AE119" s="2"/>
      <c r="AF119" s="2"/>
      <c r="AG119" s="2"/>
      <c r="AH119" s="2"/>
    </row>
    <row r="120" spans="1:34">
      <c r="A120" t="s">
        <v>872</v>
      </c>
      <c r="B120" t="s">
        <v>873</v>
      </c>
      <c r="C120" s="2">
        <v>65</v>
      </c>
      <c r="D120" s="2"/>
      <c r="E120" s="2">
        <v>4</v>
      </c>
      <c r="F120" s="2"/>
      <c r="G120" s="2" t="s">
        <v>43</v>
      </c>
      <c r="H120" s="2" t="s">
        <v>44</v>
      </c>
      <c r="I120" s="2" t="s">
        <v>43</v>
      </c>
      <c r="J120" s="2" t="s">
        <v>44</v>
      </c>
      <c r="K120" s="2">
        <v>52</v>
      </c>
      <c r="L120" s="2"/>
      <c r="M120" s="2" t="s">
        <v>43</v>
      </c>
      <c r="N120" s="2"/>
      <c r="O120" s="2" t="s">
        <v>43</v>
      </c>
      <c r="P120" s="2"/>
      <c r="Q120" s="2" t="s">
        <v>43</v>
      </c>
      <c r="R120" s="2"/>
      <c r="S120" s="2" t="s">
        <v>43</v>
      </c>
      <c r="T120" s="2"/>
      <c r="U120" s="2" t="s">
        <v>43</v>
      </c>
      <c r="V120" s="2"/>
      <c r="W120" s="2" t="s">
        <v>43</v>
      </c>
      <c r="X120" s="2"/>
      <c r="Y120" s="2" t="s">
        <v>43</v>
      </c>
      <c r="Z120" s="2"/>
      <c r="AA120" s="2" t="s">
        <v>43</v>
      </c>
      <c r="AB120" s="2"/>
      <c r="AC120" s="2"/>
      <c r="AD120" s="2"/>
      <c r="AE120" s="2"/>
      <c r="AF120" s="2"/>
      <c r="AG120" s="2"/>
      <c r="AH120" s="2"/>
    </row>
    <row r="121" spans="1:34">
      <c r="A121" t="s">
        <v>874</v>
      </c>
      <c r="B121" t="s">
        <v>875</v>
      </c>
      <c r="C121" s="2">
        <v>3</v>
      </c>
      <c r="D121" s="2"/>
      <c r="E121" s="2" t="s">
        <v>43</v>
      </c>
      <c r="F121" s="2"/>
      <c r="G121" s="2" t="s">
        <v>43</v>
      </c>
      <c r="H121" s="2" t="s">
        <v>44</v>
      </c>
      <c r="I121" s="2" t="s">
        <v>43</v>
      </c>
      <c r="J121" s="2" t="s">
        <v>44</v>
      </c>
      <c r="K121" s="2">
        <v>6</v>
      </c>
      <c r="L121" s="2"/>
      <c r="M121" s="2" t="s">
        <v>43</v>
      </c>
      <c r="N121" s="2"/>
      <c r="O121" s="2" t="s">
        <v>43</v>
      </c>
      <c r="P121" s="2"/>
      <c r="Q121" s="2" t="s">
        <v>43</v>
      </c>
      <c r="R121" s="2"/>
      <c r="S121" s="2" t="s">
        <v>43</v>
      </c>
      <c r="T121" s="2"/>
      <c r="U121" s="2" t="s">
        <v>43</v>
      </c>
      <c r="V121" s="2"/>
      <c r="W121" s="2" t="s">
        <v>43</v>
      </c>
      <c r="X121" s="2"/>
      <c r="Y121" s="2" t="s">
        <v>43</v>
      </c>
      <c r="Z121" s="2"/>
      <c r="AA121" s="2" t="s">
        <v>43</v>
      </c>
      <c r="AB121" s="2"/>
      <c r="AC121" s="2"/>
      <c r="AD121" s="2"/>
      <c r="AE121" s="2"/>
      <c r="AF121" s="2"/>
      <c r="AG121" s="2"/>
      <c r="AH121" s="2"/>
    </row>
    <row r="122" spans="1:34">
      <c r="A122" t="s">
        <v>876</v>
      </c>
      <c r="B122" t="s">
        <v>877</v>
      </c>
      <c r="C122" s="2">
        <v>3</v>
      </c>
      <c r="D122" s="2"/>
      <c r="E122" s="2" t="s">
        <v>43</v>
      </c>
      <c r="F122" s="2"/>
      <c r="G122" s="2">
        <v>0</v>
      </c>
      <c r="H122" s="2"/>
      <c r="I122" s="2" t="s">
        <v>43</v>
      </c>
      <c r="J122" s="2" t="s">
        <v>44</v>
      </c>
      <c r="K122" s="2" t="s">
        <v>43</v>
      </c>
      <c r="L122" s="2" t="s">
        <v>44</v>
      </c>
      <c r="M122" s="2" t="s">
        <v>43</v>
      </c>
      <c r="N122" s="2"/>
      <c r="O122" s="2" t="s">
        <v>43</v>
      </c>
      <c r="P122" s="2"/>
      <c r="Q122" s="2" t="s">
        <v>43</v>
      </c>
      <c r="R122" s="2"/>
      <c r="S122" s="2" t="s">
        <v>43</v>
      </c>
      <c r="T122" s="2"/>
      <c r="U122" s="2" t="s">
        <v>43</v>
      </c>
      <c r="V122" s="2"/>
      <c r="W122" s="2" t="s">
        <v>43</v>
      </c>
      <c r="X122" s="2"/>
      <c r="Y122" s="2" t="s">
        <v>43</v>
      </c>
      <c r="Z122" s="2"/>
      <c r="AA122" s="2" t="s">
        <v>43</v>
      </c>
      <c r="AB122" s="2"/>
      <c r="AC122" s="2"/>
      <c r="AD122" s="2"/>
      <c r="AE122" s="2"/>
      <c r="AF122" s="2"/>
      <c r="AG122" s="2"/>
      <c r="AH122" s="2"/>
    </row>
    <row r="123" spans="1:34">
      <c r="A123" t="s">
        <v>878</v>
      </c>
      <c r="B123" t="s">
        <v>879</v>
      </c>
      <c r="C123" s="2">
        <v>20</v>
      </c>
      <c r="D123" s="2"/>
      <c r="E123" s="2" t="s">
        <v>43</v>
      </c>
      <c r="F123" s="2" t="s">
        <v>44</v>
      </c>
      <c r="G123" s="2" t="s">
        <v>43</v>
      </c>
      <c r="H123" s="2" t="s">
        <v>44</v>
      </c>
      <c r="I123" s="2" t="s">
        <v>43</v>
      </c>
      <c r="J123" s="2" t="s">
        <v>44</v>
      </c>
      <c r="K123" s="2">
        <v>20</v>
      </c>
      <c r="L123" s="2"/>
      <c r="M123" s="2" t="s">
        <v>43</v>
      </c>
      <c r="N123" s="2"/>
      <c r="O123" s="2" t="s">
        <v>43</v>
      </c>
      <c r="P123" s="2"/>
      <c r="Q123" s="2" t="s">
        <v>43</v>
      </c>
      <c r="R123" s="2"/>
      <c r="S123" s="2" t="s">
        <v>43</v>
      </c>
      <c r="T123" s="2"/>
      <c r="U123" s="2" t="s">
        <v>43</v>
      </c>
      <c r="V123" s="2"/>
      <c r="W123" s="2" t="s">
        <v>43</v>
      </c>
      <c r="X123" s="2"/>
      <c r="Y123" s="2" t="s">
        <v>43</v>
      </c>
      <c r="Z123" s="2"/>
      <c r="AA123" s="2" t="s">
        <v>43</v>
      </c>
      <c r="AB123" s="2"/>
      <c r="AC123" s="2"/>
      <c r="AD123" s="2"/>
      <c r="AE123" s="2"/>
      <c r="AF123" s="2"/>
      <c r="AG123" s="2"/>
      <c r="AH123" s="2"/>
    </row>
    <row r="124" spans="1:34">
      <c r="A124" t="s">
        <v>880</v>
      </c>
      <c r="B124" t="s">
        <v>881</v>
      </c>
      <c r="C124" s="2">
        <v>19</v>
      </c>
      <c r="D124" s="2"/>
      <c r="E124" s="2" t="s">
        <v>43</v>
      </c>
      <c r="F124" s="2" t="s">
        <v>44</v>
      </c>
      <c r="G124" s="2">
        <v>0</v>
      </c>
      <c r="H124" s="2"/>
      <c r="I124" s="2" t="s">
        <v>43</v>
      </c>
      <c r="J124" s="2" t="s">
        <v>44</v>
      </c>
      <c r="K124" s="2" t="s">
        <v>43</v>
      </c>
      <c r="L124" s="2" t="s">
        <v>44</v>
      </c>
      <c r="M124" s="2" t="s">
        <v>43</v>
      </c>
      <c r="N124" s="2"/>
      <c r="O124" s="2" t="s">
        <v>43</v>
      </c>
      <c r="P124" s="2"/>
      <c r="Q124" s="2" t="s">
        <v>43</v>
      </c>
      <c r="R124" s="2"/>
      <c r="S124" s="2" t="s">
        <v>43</v>
      </c>
      <c r="T124" s="2"/>
      <c r="U124" s="2" t="s">
        <v>43</v>
      </c>
      <c r="V124" s="2"/>
      <c r="W124" s="2" t="s">
        <v>43</v>
      </c>
      <c r="X124" s="2"/>
      <c r="Y124" s="2" t="s">
        <v>43</v>
      </c>
      <c r="Z124" s="2"/>
      <c r="AA124" s="2" t="s">
        <v>43</v>
      </c>
      <c r="AB124" s="2"/>
      <c r="AC124" s="2"/>
      <c r="AD124" s="2"/>
      <c r="AE124" s="2"/>
      <c r="AF124" s="2"/>
      <c r="AG124" s="2"/>
      <c r="AH124" s="2"/>
    </row>
    <row r="125" spans="1:34">
      <c r="A125" t="s">
        <v>882</v>
      </c>
      <c r="B125" t="s">
        <v>883</v>
      </c>
      <c r="C125" s="2">
        <v>20</v>
      </c>
      <c r="D125" s="2"/>
      <c r="E125" s="2" t="s">
        <v>43</v>
      </c>
      <c r="F125" s="2"/>
      <c r="G125" s="2">
        <v>0</v>
      </c>
      <c r="H125" s="2"/>
      <c r="I125" s="2" t="s">
        <v>43</v>
      </c>
      <c r="J125" s="2" t="s">
        <v>44</v>
      </c>
      <c r="K125" s="2">
        <v>13</v>
      </c>
      <c r="L125" s="2"/>
      <c r="M125" s="2" t="s">
        <v>43</v>
      </c>
      <c r="N125" s="2"/>
      <c r="O125" s="2" t="s">
        <v>43</v>
      </c>
      <c r="P125" s="2"/>
      <c r="Q125" s="2" t="s">
        <v>43</v>
      </c>
      <c r="R125" s="2"/>
      <c r="S125" s="2" t="s">
        <v>43</v>
      </c>
      <c r="T125" s="2"/>
      <c r="U125" s="2" t="s">
        <v>43</v>
      </c>
      <c r="V125" s="2"/>
      <c r="W125" s="2" t="s">
        <v>43</v>
      </c>
      <c r="X125" s="2"/>
      <c r="Y125" s="2" t="s">
        <v>43</v>
      </c>
      <c r="Z125" s="2"/>
      <c r="AA125" s="2" t="s">
        <v>43</v>
      </c>
      <c r="AB125" s="2"/>
      <c r="AC125" s="2"/>
      <c r="AD125" s="2"/>
      <c r="AE125" s="2"/>
      <c r="AF125" s="2"/>
      <c r="AG125" s="2"/>
      <c r="AH125" s="2"/>
    </row>
    <row r="126" spans="1:34">
      <c r="A126" t="s">
        <v>245</v>
      </c>
      <c r="B126" t="s">
        <v>246</v>
      </c>
      <c r="C126" s="2">
        <v>128</v>
      </c>
      <c r="D126" s="2"/>
      <c r="E126" s="2">
        <v>102</v>
      </c>
      <c r="F126" s="2"/>
      <c r="G126" s="2">
        <v>97</v>
      </c>
      <c r="H126" s="2"/>
      <c r="I126" s="2" t="s">
        <v>43</v>
      </c>
      <c r="J126" s="2" t="s">
        <v>44</v>
      </c>
      <c r="K126" s="2">
        <v>113</v>
      </c>
      <c r="L126" s="2"/>
      <c r="M126" s="2">
        <v>76</v>
      </c>
      <c r="N126" s="2"/>
      <c r="O126" s="2">
        <v>155</v>
      </c>
      <c r="P126" s="2"/>
      <c r="Q126" s="2">
        <v>158</v>
      </c>
      <c r="R126" s="2"/>
      <c r="S126" s="2">
        <v>150</v>
      </c>
      <c r="T126" s="2"/>
      <c r="U126" s="2">
        <v>145</v>
      </c>
      <c r="V126" s="2"/>
      <c r="W126" s="2">
        <v>154</v>
      </c>
      <c r="X126" s="2" t="s">
        <v>334</v>
      </c>
      <c r="Y126" s="2">
        <v>157</v>
      </c>
      <c r="Z126" s="2"/>
      <c r="AA126" s="2">
        <v>155</v>
      </c>
      <c r="AB126" s="2"/>
      <c r="AC126" s="2">
        <v>158</v>
      </c>
      <c r="AD126" s="2"/>
      <c r="AE126" s="2">
        <v>167</v>
      </c>
      <c r="AF126" s="2"/>
      <c r="AG126" s="2">
        <v>176</v>
      </c>
      <c r="AH126" s="2"/>
    </row>
    <row r="127" spans="1:34">
      <c r="A127" t="s">
        <v>247</v>
      </c>
      <c r="B127" t="s">
        <v>246</v>
      </c>
      <c r="C127" s="2">
        <v>128</v>
      </c>
      <c r="D127" s="2"/>
      <c r="E127" s="2">
        <v>102</v>
      </c>
      <c r="F127" s="2"/>
      <c r="G127" s="2">
        <v>97</v>
      </c>
      <c r="H127" s="2"/>
      <c r="I127" s="2">
        <v>107</v>
      </c>
      <c r="J127" s="2"/>
      <c r="K127" s="2">
        <v>113</v>
      </c>
      <c r="L127" s="2"/>
      <c r="M127" s="2">
        <v>76</v>
      </c>
      <c r="N127" s="2"/>
      <c r="O127" s="2">
        <v>155</v>
      </c>
      <c r="P127" s="2"/>
      <c r="Q127" s="2">
        <v>158</v>
      </c>
      <c r="R127" s="2"/>
      <c r="S127" s="2">
        <v>150</v>
      </c>
      <c r="T127" s="2"/>
      <c r="U127" s="2">
        <v>145</v>
      </c>
      <c r="V127" s="2"/>
      <c r="W127" s="2">
        <v>154</v>
      </c>
      <c r="X127" s="2" t="s">
        <v>334</v>
      </c>
      <c r="Y127" s="2">
        <v>157</v>
      </c>
      <c r="Z127" s="2"/>
      <c r="AA127" s="2">
        <v>155</v>
      </c>
      <c r="AB127" s="2"/>
      <c r="AC127" s="2">
        <v>158</v>
      </c>
      <c r="AD127" s="2"/>
      <c r="AE127" s="2">
        <v>167</v>
      </c>
      <c r="AF127" s="2"/>
      <c r="AG127" s="2">
        <v>176</v>
      </c>
      <c r="AH127" s="2"/>
    </row>
    <row r="128" spans="1:34">
      <c r="A128" t="s">
        <v>248</v>
      </c>
      <c r="B128" t="s">
        <v>249</v>
      </c>
      <c r="C128" s="2">
        <v>21</v>
      </c>
      <c r="D128" s="2"/>
      <c r="E128" s="2" t="s">
        <v>43</v>
      </c>
      <c r="F128" s="2"/>
      <c r="G128" s="2" t="s">
        <v>43</v>
      </c>
      <c r="H128" s="2" t="s">
        <v>44</v>
      </c>
      <c r="I128" s="2" t="s">
        <v>43</v>
      </c>
      <c r="J128" s="2" t="s">
        <v>44</v>
      </c>
      <c r="K128" s="2">
        <v>25</v>
      </c>
      <c r="L128" s="2"/>
      <c r="M128" s="2" t="s">
        <v>43</v>
      </c>
      <c r="N128" s="2" t="s">
        <v>44</v>
      </c>
      <c r="O128" s="2">
        <v>38</v>
      </c>
      <c r="P128" s="2"/>
      <c r="Q128" s="2">
        <v>34</v>
      </c>
      <c r="R128" s="2"/>
      <c r="S128" s="2">
        <v>33</v>
      </c>
      <c r="T128" s="2"/>
      <c r="U128" s="2">
        <v>34</v>
      </c>
      <c r="V128" s="2"/>
      <c r="W128" s="2">
        <v>39</v>
      </c>
      <c r="X128" s="2" t="s">
        <v>334</v>
      </c>
      <c r="Y128" s="2">
        <v>37</v>
      </c>
      <c r="Z128" s="2"/>
      <c r="AA128" s="2">
        <v>41</v>
      </c>
      <c r="AB128" s="2"/>
      <c r="AC128" s="2">
        <v>41</v>
      </c>
      <c r="AD128" s="2"/>
      <c r="AE128" s="2">
        <v>43</v>
      </c>
      <c r="AF128" s="2"/>
      <c r="AG128" s="2">
        <v>45</v>
      </c>
      <c r="AH128" s="2"/>
    </row>
    <row r="129" spans="1:34">
      <c r="A129" t="s">
        <v>250</v>
      </c>
      <c r="B129" t="s">
        <v>251</v>
      </c>
      <c r="C129" s="2">
        <v>3</v>
      </c>
      <c r="D129" s="2"/>
      <c r="E129" s="2" t="s">
        <v>43</v>
      </c>
      <c r="F129" s="2"/>
      <c r="G129" s="2">
        <v>0</v>
      </c>
      <c r="H129" s="2"/>
      <c r="I129" s="2" t="s">
        <v>43</v>
      </c>
      <c r="J129" s="2" t="s">
        <v>44</v>
      </c>
      <c r="K129" s="2">
        <v>4</v>
      </c>
      <c r="L129" s="2"/>
      <c r="M129" s="2" t="s">
        <v>43</v>
      </c>
      <c r="N129" s="2" t="s">
        <v>44</v>
      </c>
      <c r="O129" s="2" t="s">
        <v>43</v>
      </c>
      <c r="P129" s="2" t="s">
        <v>44</v>
      </c>
      <c r="Q129" s="2">
        <v>4</v>
      </c>
      <c r="R129" s="2"/>
      <c r="S129" s="2">
        <v>3</v>
      </c>
      <c r="T129" s="2"/>
      <c r="U129" s="2">
        <v>3</v>
      </c>
      <c r="V129" s="2"/>
      <c r="W129" s="2">
        <v>4</v>
      </c>
      <c r="X129" s="2" t="s">
        <v>334</v>
      </c>
      <c r="Y129" s="2">
        <v>3</v>
      </c>
      <c r="Z129" s="2"/>
      <c r="AA129" s="2" t="s">
        <v>43</v>
      </c>
      <c r="AB129" s="2" t="s">
        <v>44</v>
      </c>
      <c r="AC129" s="2">
        <v>5</v>
      </c>
      <c r="AD129" s="2"/>
      <c r="AE129" s="2">
        <v>5</v>
      </c>
      <c r="AF129" s="2"/>
      <c r="AG129" s="2">
        <v>5</v>
      </c>
      <c r="AH129" s="2"/>
    </row>
    <row r="130" spans="1:34">
      <c r="A130" t="s">
        <v>252</v>
      </c>
      <c r="B130" t="s">
        <v>253</v>
      </c>
      <c r="C130" s="2">
        <v>3</v>
      </c>
      <c r="D130" s="2"/>
      <c r="E130" s="2" t="s">
        <v>43</v>
      </c>
      <c r="F130" s="2"/>
      <c r="G130" s="2">
        <v>0</v>
      </c>
      <c r="H130" s="2"/>
      <c r="I130" s="2" t="s">
        <v>43</v>
      </c>
      <c r="J130" s="2" t="s">
        <v>44</v>
      </c>
      <c r="K130" s="2">
        <v>3</v>
      </c>
      <c r="L130" s="2"/>
      <c r="M130" s="2" t="s">
        <v>43</v>
      </c>
      <c r="N130" s="2" t="s">
        <v>44</v>
      </c>
      <c r="O130" s="2" t="s">
        <v>43</v>
      </c>
      <c r="P130" s="2" t="s">
        <v>44</v>
      </c>
      <c r="Q130" s="2">
        <v>5</v>
      </c>
      <c r="R130" s="2"/>
      <c r="S130" s="2">
        <v>6</v>
      </c>
      <c r="T130" s="2"/>
      <c r="U130" s="2">
        <v>4</v>
      </c>
      <c r="V130" s="2"/>
      <c r="W130" s="2">
        <v>4</v>
      </c>
      <c r="X130" s="2" t="s">
        <v>334</v>
      </c>
      <c r="Y130" s="2">
        <v>5</v>
      </c>
      <c r="Z130" s="2"/>
      <c r="AA130" s="2" t="s">
        <v>43</v>
      </c>
      <c r="AB130" s="2" t="s">
        <v>44</v>
      </c>
      <c r="AC130" s="2">
        <v>5</v>
      </c>
      <c r="AD130" s="2"/>
      <c r="AE130" s="2">
        <v>6</v>
      </c>
      <c r="AF130" s="2"/>
      <c r="AG130" s="2">
        <v>5</v>
      </c>
      <c r="AH130" s="2"/>
    </row>
    <row r="131" spans="1:34">
      <c r="A131" t="s">
        <v>254</v>
      </c>
      <c r="B131" t="s">
        <v>255</v>
      </c>
      <c r="C131" s="2">
        <v>15</v>
      </c>
      <c r="D131" s="2"/>
      <c r="E131" s="2" t="s">
        <v>43</v>
      </c>
      <c r="F131" s="2"/>
      <c r="G131" s="2" t="s">
        <v>43</v>
      </c>
      <c r="H131" s="2" t="s">
        <v>44</v>
      </c>
      <c r="I131" s="2" t="s">
        <v>43</v>
      </c>
      <c r="J131" s="2" t="s">
        <v>44</v>
      </c>
      <c r="K131" s="2">
        <v>18</v>
      </c>
      <c r="L131" s="2"/>
      <c r="M131" s="2">
        <v>11</v>
      </c>
      <c r="N131" s="2"/>
      <c r="O131" s="2">
        <v>26</v>
      </c>
      <c r="P131" s="2"/>
      <c r="Q131" s="2">
        <v>25</v>
      </c>
      <c r="R131" s="2"/>
      <c r="S131" s="2">
        <v>24</v>
      </c>
      <c r="T131" s="2"/>
      <c r="U131" s="2">
        <v>27</v>
      </c>
      <c r="V131" s="2"/>
      <c r="W131" s="2">
        <v>31</v>
      </c>
      <c r="X131" s="2" t="s">
        <v>334</v>
      </c>
      <c r="Y131" s="2">
        <v>29</v>
      </c>
      <c r="Z131" s="2"/>
      <c r="AA131" s="2">
        <v>32</v>
      </c>
      <c r="AB131" s="2"/>
      <c r="AC131" s="2">
        <v>31</v>
      </c>
      <c r="AD131" s="2"/>
      <c r="AE131" s="2">
        <v>32</v>
      </c>
      <c r="AF131" s="2"/>
      <c r="AG131" s="2">
        <v>35</v>
      </c>
      <c r="AH131" s="2"/>
    </row>
    <row r="132" spans="1:34">
      <c r="A132" t="s">
        <v>256</v>
      </c>
      <c r="B132" t="s">
        <v>257</v>
      </c>
      <c r="C132" s="2" t="s">
        <v>43</v>
      </c>
      <c r="D132" s="2"/>
      <c r="E132" s="2" t="s">
        <v>43</v>
      </c>
      <c r="F132" s="2"/>
      <c r="G132" s="2" t="s">
        <v>43</v>
      </c>
      <c r="H132" s="2"/>
      <c r="I132" s="2" t="s">
        <v>43</v>
      </c>
      <c r="J132" s="2"/>
      <c r="K132" s="2" t="s">
        <v>43</v>
      </c>
      <c r="L132" s="2"/>
      <c r="M132" s="2">
        <v>68</v>
      </c>
      <c r="N132" s="2"/>
      <c r="O132" s="2">
        <v>150</v>
      </c>
      <c r="P132" s="2"/>
      <c r="Q132" s="2">
        <v>153</v>
      </c>
      <c r="R132" s="2"/>
      <c r="S132" s="2">
        <v>137</v>
      </c>
      <c r="T132" s="2"/>
      <c r="U132" s="2">
        <v>143</v>
      </c>
      <c r="V132" s="2"/>
      <c r="W132" s="2">
        <v>146</v>
      </c>
      <c r="X132" s="2" t="s">
        <v>334</v>
      </c>
      <c r="Y132" s="2">
        <v>147</v>
      </c>
      <c r="Z132" s="2"/>
      <c r="AA132" s="2">
        <v>150</v>
      </c>
      <c r="AB132" s="2"/>
      <c r="AC132" s="2">
        <v>148</v>
      </c>
      <c r="AD132" s="2"/>
      <c r="AE132" s="2">
        <v>148</v>
      </c>
      <c r="AF132" s="2"/>
      <c r="AG132" s="2">
        <v>143</v>
      </c>
      <c r="AH132" s="2"/>
    </row>
    <row r="133" spans="1:34">
      <c r="A133" t="s">
        <v>258</v>
      </c>
      <c r="B133" t="s">
        <v>259</v>
      </c>
      <c r="C133" s="2" t="s">
        <v>43</v>
      </c>
      <c r="D133" s="2"/>
      <c r="E133" s="2" t="s">
        <v>43</v>
      </c>
      <c r="F133" s="2"/>
      <c r="G133" s="2" t="s">
        <v>43</v>
      </c>
      <c r="H133" s="2"/>
      <c r="I133" s="2" t="s">
        <v>43</v>
      </c>
      <c r="J133" s="2"/>
      <c r="K133" s="2" t="s">
        <v>43</v>
      </c>
      <c r="L133" s="2"/>
      <c r="M133" s="2">
        <v>11</v>
      </c>
      <c r="N133" s="2"/>
      <c r="O133" s="2">
        <v>25</v>
      </c>
      <c r="P133" s="2"/>
      <c r="Q133" s="2">
        <v>23</v>
      </c>
      <c r="R133" s="2"/>
      <c r="S133" s="2">
        <v>25</v>
      </c>
      <c r="T133" s="2"/>
      <c r="U133" s="2">
        <v>25</v>
      </c>
      <c r="V133" s="2"/>
      <c r="W133" s="2">
        <v>26</v>
      </c>
      <c r="X133" s="2" t="s">
        <v>334</v>
      </c>
      <c r="Y133" s="2">
        <v>27</v>
      </c>
      <c r="Z133" s="2"/>
      <c r="AA133" s="2">
        <v>27</v>
      </c>
      <c r="AB133" s="2"/>
      <c r="AC133" s="2">
        <v>25</v>
      </c>
      <c r="AD133" s="2"/>
      <c r="AE133" s="2">
        <v>23</v>
      </c>
      <c r="AF133" s="2"/>
      <c r="AG133" s="2">
        <v>26</v>
      </c>
      <c r="AH133" s="2"/>
    </row>
    <row r="134" spans="1:34">
      <c r="A134" t="s">
        <v>260</v>
      </c>
      <c r="B134" t="s">
        <v>261</v>
      </c>
      <c r="C134" s="2" t="s">
        <v>43</v>
      </c>
      <c r="D134" s="2"/>
      <c r="E134" s="2" t="s">
        <v>43</v>
      </c>
      <c r="F134" s="2"/>
      <c r="G134" s="2" t="s">
        <v>43</v>
      </c>
      <c r="H134" s="2"/>
      <c r="I134" s="2" t="s">
        <v>43</v>
      </c>
      <c r="J134" s="2"/>
      <c r="K134" s="2" t="s">
        <v>43</v>
      </c>
      <c r="L134" s="2"/>
      <c r="M134" s="2">
        <v>49</v>
      </c>
      <c r="N134" s="2"/>
      <c r="O134" s="2">
        <v>107</v>
      </c>
      <c r="P134" s="2"/>
      <c r="Q134" s="2">
        <v>113</v>
      </c>
      <c r="R134" s="2"/>
      <c r="S134" s="2">
        <v>96</v>
      </c>
      <c r="T134" s="2"/>
      <c r="U134" s="2">
        <v>105</v>
      </c>
      <c r="V134" s="2"/>
      <c r="W134" s="2">
        <v>106</v>
      </c>
      <c r="X134" s="2" t="s">
        <v>334</v>
      </c>
      <c r="Y134" s="2">
        <v>105</v>
      </c>
      <c r="Z134" s="2"/>
      <c r="AA134" s="2">
        <v>108</v>
      </c>
      <c r="AB134" s="2"/>
      <c r="AC134" s="2">
        <v>108</v>
      </c>
      <c r="AD134" s="2"/>
      <c r="AE134" s="2">
        <v>110</v>
      </c>
      <c r="AF134" s="2"/>
      <c r="AG134" s="2">
        <v>104</v>
      </c>
      <c r="AH134" s="2"/>
    </row>
    <row r="135" spans="1:34">
      <c r="A135" t="s">
        <v>262</v>
      </c>
      <c r="B135" t="s">
        <v>263</v>
      </c>
      <c r="C135" s="2" t="s">
        <v>43</v>
      </c>
      <c r="D135" s="2"/>
      <c r="E135" s="2" t="s">
        <v>43</v>
      </c>
      <c r="F135" s="2"/>
      <c r="G135" s="2" t="s">
        <v>43</v>
      </c>
      <c r="H135" s="2"/>
      <c r="I135" s="2" t="s">
        <v>43</v>
      </c>
      <c r="J135" s="2"/>
      <c r="K135" s="2" t="s">
        <v>43</v>
      </c>
      <c r="L135" s="2"/>
      <c r="M135" s="2">
        <v>4</v>
      </c>
      <c r="N135" s="2"/>
      <c r="O135" s="2" t="s">
        <v>43</v>
      </c>
      <c r="P135" s="2" t="s">
        <v>44</v>
      </c>
      <c r="Q135" s="2">
        <v>11</v>
      </c>
      <c r="R135" s="2"/>
      <c r="S135" s="2">
        <v>9</v>
      </c>
      <c r="T135" s="2"/>
      <c r="U135" s="2">
        <v>8</v>
      </c>
      <c r="V135" s="2"/>
      <c r="W135" s="2">
        <v>8</v>
      </c>
      <c r="X135" s="2" t="s">
        <v>334</v>
      </c>
      <c r="Y135" s="2">
        <v>8</v>
      </c>
      <c r="Z135" s="2"/>
      <c r="AA135" s="2" t="s">
        <v>43</v>
      </c>
      <c r="AB135" s="2" t="s">
        <v>44</v>
      </c>
      <c r="AC135" s="2">
        <v>9</v>
      </c>
      <c r="AD135" s="2"/>
      <c r="AE135" s="2">
        <v>9</v>
      </c>
      <c r="AF135" s="2"/>
      <c r="AG135" s="2">
        <v>7</v>
      </c>
      <c r="AH135" s="2"/>
    </row>
    <row r="136" spans="1:34">
      <c r="A136" t="s">
        <v>264</v>
      </c>
      <c r="B136" t="s">
        <v>265</v>
      </c>
      <c r="C136" s="2" t="s">
        <v>43</v>
      </c>
      <c r="D136" s="2"/>
      <c r="E136" s="2" t="s">
        <v>43</v>
      </c>
      <c r="F136" s="2"/>
      <c r="G136" s="2" t="s">
        <v>43</v>
      </c>
      <c r="H136" s="2"/>
      <c r="I136" s="2" t="s">
        <v>43</v>
      </c>
      <c r="J136" s="2"/>
      <c r="K136" s="2" t="s">
        <v>43</v>
      </c>
      <c r="L136" s="2"/>
      <c r="M136" s="2">
        <v>4</v>
      </c>
      <c r="N136" s="2"/>
      <c r="O136" s="2" t="s">
        <v>43</v>
      </c>
      <c r="P136" s="2" t="s">
        <v>44</v>
      </c>
      <c r="Q136" s="2">
        <v>6</v>
      </c>
      <c r="R136" s="2"/>
      <c r="S136" s="2">
        <v>7</v>
      </c>
      <c r="T136" s="2"/>
      <c r="U136" s="2">
        <v>5</v>
      </c>
      <c r="V136" s="2"/>
      <c r="W136" s="2">
        <v>6</v>
      </c>
      <c r="X136" s="2" t="s">
        <v>334</v>
      </c>
      <c r="Y136" s="2">
        <v>7</v>
      </c>
      <c r="Z136" s="2"/>
      <c r="AA136" s="2" t="s">
        <v>43</v>
      </c>
      <c r="AB136" s="2" t="s">
        <v>44</v>
      </c>
      <c r="AC136" s="2">
        <v>6</v>
      </c>
      <c r="AD136" s="2"/>
      <c r="AE136" s="2">
        <v>6</v>
      </c>
      <c r="AF136" s="2"/>
      <c r="AG136" s="2">
        <v>6</v>
      </c>
      <c r="AH136" s="2"/>
    </row>
    <row r="137" spans="1:34">
      <c r="A137" t="s">
        <v>266</v>
      </c>
      <c r="B137" t="s">
        <v>267</v>
      </c>
      <c r="C137" s="2" t="s">
        <v>43</v>
      </c>
      <c r="D137" s="2"/>
      <c r="E137" s="2" t="s">
        <v>43</v>
      </c>
      <c r="F137" s="2"/>
      <c r="G137" s="2" t="s">
        <v>43</v>
      </c>
      <c r="H137" s="2"/>
      <c r="I137" s="2" t="s">
        <v>43</v>
      </c>
      <c r="J137" s="2"/>
      <c r="K137" s="2" t="s">
        <v>43</v>
      </c>
      <c r="L137" s="2"/>
      <c r="M137" s="2" t="s">
        <v>43</v>
      </c>
      <c r="N137" s="2" t="s">
        <v>44</v>
      </c>
      <c r="O137" s="2">
        <v>116</v>
      </c>
      <c r="P137" s="2"/>
      <c r="Q137" s="2">
        <v>117</v>
      </c>
      <c r="R137" s="2"/>
      <c r="S137" s="2">
        <v>108</v>
      </c>
      <c r="T137" s="2"/>
      <c r="U137" s="2">
        <v>108</v>
      </c>
      <c r="V137" s="2"/>
      <c r="W137" s="2">
        <v>109</v>
      </c>
      <c r="X137" s="2" t="s">
        <v>334</v>
      </c>
      <c r="Y137" s="2">
        <v>116</v>
      </c>
      <c r="Z137" s="2"/>
      <c r="AA137" s="2">
        <v>116</v>
      </c>
      <c r="AB137" s="2"/>
      <c r="AC137" s="2">
        <v>116</v>
      </c>
      <c r="AD137" s="2"/>
      <c r="AE137" s="2">
        <v>117</v>
      </c>
      <c r="AF137" s="2"/>
      <c r="AG137" s="2">
        <v>128</v>
      </c>
      <c r="AH137" s="2"/>
    </row>
    <row r="138" spans="1:34">
      <c r="A138" t="s">
        <v>268</v>
      </c>
      <c r="B138" t="s">
        <v>269</v>
      </c>
      <c r="C138" s="2" t="s">
        <v>43</v>
      </c>
      <c r="D138" s="2"/>
      <c r="E138" s="2" t="s">
        <v>43</v>
      </c>
      <c r="F138" s="2"/>
      <c r="G138" s="2" t="s">
        <v>43</v>
      </c>
      <c r="H138" s="2"/>
      <c r="I138" s="2" t="s">
        <v>43</v>
      </c>
      <c r="J138" s="2"/>
      <c r="K138" s="2" t="s">
        <v>43</v>
      </c>
      <c r="L138" s="2"/>
      <c r="M138" s="2">
        <v>15</v>
      </c>
      <c r="N138" s="2"/>
      <c r="O138" s="2">
        <v>36</v>
      </c>
      <c r="P138" s="2"/>
      <c r="Q138" s="2">
        <v>35</v>
      </c>
      <c r="R138" s="2"/>
      <c r="S138" s="2">
        <v>32</v>
      </c>
      <c r="T138" s="2"/>
      <c r="U138" s="2">
        <v>31</v>
      </c>
      <c r="V138" s="2"/>
      <c r="W138" s="2">
        <v>31</v>
      </c>
      <c r="X138" s="2" t="s">
        <v>334</v>
      </c>
      <c r="Y138" s="2">
        <v>32</v>
      </c>
      <c r="Z138" s="2"/>
      <c r="AA138" s="2">
        <v>34</v>
      </c>
      <c r="AB138" s="2"/>
      <c r="AC138" s="2">
        <v>35</v>
      </c>
      <c r="AD138" s="2"/>
      <c r="AE138" s="2">
        <v>37</v>
      </c>
      <c r="AF138" s="2"/>
      <c r="AG138" s="2">
        <v>40</v>
      </c>
      <c r="AH138" s="2"/>
    </row>
    <row r="139" spans="1:34">
      <c r="A139" t="s">
        <v>270</v>
      </c>
      <c r="B139" t="s">
        <v>271</v>
      </c>
      <c r="C139" s="2" t="s">
        <v>43</v>
      </c>
      <c r="D139" s="2"/>
      <c r="E139" s="2" t="s">
        <v>43</v>
      </c>
      <c r="F139" s="2"/>
      <c r="G139" s="2" t="s">
        <v>43</v>
      </c>
      <c r="H139" s="2"/>
      <c r="I139" s="2" t="s">
        <v>43</v>
      </c>
      <c r="J139" s="2"/>
      <c r="K139" s="2" t="s">
        <v>43</v>
      </c>
      <c r="L139" s="2"/>
      <c r="M139" s="2" t="s">
        <v>43</v>
      </c>
      <c r="N139" s="2" t="s">
        <v>44</v>
      </c>
      <c r="O139" s="2" t="s">
        <v>43</v>
      </c>
      <c r="P139" s="2" t="s">
        <v>44</v>
      </c>
      <c r="Q139" s="2">
        <v>5</v>
      </c>
      <c r="R139" s="2"/>
      <c r="S139" s="2">
        <v>6</v>
      </c>
      <c r="T139" s="2"/>
      <c r="U139" s="2">
        <v>5</v>
      </c>
      <c r="V139" s="2"/>
      <c r="W139" s="2">
        <v>5</v>
      </c>
      <c r="X139" s="2" t="s">
        <v>334</v>
      </c>
      <c r="Y139" s="2">
        <v>7</v>
      </c>
      <c r="Z139" s="2"/>
      <c r="AA139" s="2" t="s">
        <v>43</v>
      </c>
      <c r="AB139" s="2" t="s">
        <v>44</v>
      </c>
      <c r="AC139" s="2">
        <v>5</v>
      </c>
      <c r="AD139" s="2"/>
      <c r="AE139" s="2">
        <v>5</v>
      </c>
      <c r="AF139" s="2"/>
      <c r="AG139" s="2">
        <v>5</v>
      </c>
      <c r="AH139" s="2"/>
    </row>
    <row r="140" spans="1:34">
      <c r="A140" t="s">
        <v>272</v>
      </c>
      <c r="B140" t="s">
        <v>273</v>
      </c>
      <c r="C140" s="2" t="s">
        <v>43</v>
      </c>
      <c r="D140" s="2"/>
      <c r="E140" s="2" t="s">
        <v>43</v>
      </c>
      <c r="F140" s="2"/>
      <c r="G140" s="2" t="s">
        <v>43</v>
      </c>
      <c r="H140" s="2"/>
      <c r="I140" s="2" t="s">
        <v>43</v>
      </c>
      <c r="J140" s="2"/>
      <c r="K140" s="2" t="s">
        <v>43</v>
      </c>
      <c r="L140" s="2"/>
      <c r="M140" s="2">
        <v>12</v>
      </c>
      <c r="N140" s="2"/>
      <c r="O140" s="2">
        <v>28</v>
      </c>
      <c r="P140" s="2"/>
      <c r="Q140" s="2">
        <v>33</v>
      </c>
      <c r="R140" s="2"/>
      <c r="S140" s="2">
        <v>30</v>
      </c>
      <c r="T140" s="2"/>
      <c r="U140" s="2">
        <v>28</v>
      </c>
      <c r="V140" s="2"/>
      <c r="W140" s="2">
        <v>28</v>
      </c>
      <c r="X140" s="2" t="s">
        <v>334</v>
      </c>
      <c r="Y140" s="2">
        <v>30</v>
      </c>
      <c r="Z140" s="2"/>
      <c r="AA140" s="2" t="s">
        <v>43</v>
      </c>
      <c r="AB140" s="2" t="s">
        <v>44</v>
      </c>
      <c r="AC140" s="2">
        <v>27</v>
      </c>
      <c r="AD140" s="2"/>
      <c r="AE140" s="2">
        <v>26</v>
      </c>
      <c r="AF140" s="2"/>
      <c r="AG140" s="2">
        <v>32</v>
      </c>
      <c r="AH140" s="2"/>
    </row>
    <row r="141" spans="1:34">
      <c r="A141" t="s">
        <v>274</v>
      </c>
      <c r="B141" t="s">
        <v>275</v>
      </c>
      <c r="C141" s="2" t="s">
        <v>43</v>
      </c>
      <c r="D141" s="2"/>
      <c r="E141" s="2" t="s">
        <v>43</v>
      </c>
      <c r="F141" s="2"/>
      <c r="G141" s="2" t="s">
        <v>43</v>
      </c>
      <c r="H141" s="2"/>
      <c r="I141" s="2" t="s">
        <v>43</v>
      </c>
      <c r="J141" s="2"/>
      <c r="K141" s="2" t="s">
        <v>43</v>
      </c>
      <c r="L141" s="2"/>
      <c r="M141" s="2">
        <v>7</v>
      </c>
      <c r="N141" s="2"/>
      <c r="O141" s="2" t="s">
        <v>43</v>
      </c>
      <c r="P141" s="2" t="s">
        <v>44</v>
      </c>
      <c r="Q141" s="2">
        <v>17</v>
      </c>
      <c r="R141" s="2"/>
      <c r="S141" s="2">
        <v>16</v>
      </c>
      <c r="T141" s="2"/>
      <c r="U141" s="2">
        <v>15</v>
      </c>
      <c r="V141" s="2"/>
      <c r="W141" s="2">
        <v>16</v>
      </c>
      <c r="X141" s="2" t="s">
        <v>334</v>
      </c>
      <c r="Y141" s="2">
        <v>16</v>
      </c>
      <c r="Z141" s="2"/>
      <c r="AA141" s="2">
        <v>16</v>
      </c>
      <c r="AB141" s="2"/>
      <c r="AC141" s="2">
        <v>17</v>
      </c>
      <c r="AD141" s="2"/>
      <c r="AE141" s="2">
        <v>17</v>
      </c>
      <c r="AF141" s="2"/>
      <c r="AG141" s="2">
        <v>20</v>
      </c>
      <c r="AH141" s="2"/>
    </row>
    <row r="142" spans="1:34">
      <c r="A142" t="s">
        <v>276</v>
      </c>
      <c r="B142" t="s">
        <v>277</v>
      </c>
      <c r="C142" s="2" t="s">
        <v>43</v>
      </c>
      <c r="D142" s="2"/>
      <c r="E142" s="2" t="s">
        <v>43</v>
      </c>
      <c r="F142" s="2"/>
      <c r="G142" s="2" t="s">
        <v>43</v>
      </c>
      <c r="H142" s="2"/>
      <c r="I142" s="2" t="s">
        <v>43</v>
      </c>
      <c r="J142" s="2"/>
      <c r="K142" s="2" t="s">
        <v>43</v>
      </c>
      <c r="L142" s="2"/>
      <c r="M142" s="2">
        <v>9</v>
      </c>
      <c r="N142" s="2"/>
      <c r="O142" s="2">
        <v>26</v>
      </c>
      <c r="P142" s="2"/>
      <c r="Q142" s="2">
        <v>27</v>
      </c>
      <c r="R142" s="2"/>
      <c r="S142" s="2">
        <v>24</v>
      </c>
      <c r="T142" s="2"/>
      <c r="U142" s="2">
        <v>29</v>
      </c>
      <c r="V142" s="2"/>
      <c r="W142" s="2">
        <v>29</v>
      </c>
      <c r="X142" s="2" t="s">
        <v>334</v>
      </c>
      <c r="Y142" s="2">
        <v>31</v>
      </c>
      <c r="Z142" s="2"/>
      <c r="AA142" s="2">
        <v>31</v>
      </c>
      <c r="AB142" s="2"/>
      <c r="AC142" s="2">
        <v>32</v>
      </c>
      <c r="AD142" s="2"/>
      <c r="AE142" s="2">
        <v>32</v>
      </c>
      <c r="AF142" s="2"/>
      <c r="AG142" s="2">
        <v>31</v>
      </c>
      <c r="AH142" s="2"/>
    </row>
    <row r="143" spans="1:34">
      <c r="A143" t="s">
        <v>278</v>
      </c>
      <c r="B143" t="s">
        <v>68</v>
      </c>
      <c r="C143" s="2">
        <v>0</v>
      </c>
      <c r="D143" s="2"/>
      <c r="E143" s="2" t="s">
        <v>43</v>
      </c>
      <c r="F143" s="2"/>
      <c r="G143" s="2" t="s">
        <v>43</v>
      </c>
      <c r="H143" s="2"/>
      <c r="I143" s="2" t="s">
        <v>43</v>
      </c>
      <c r="J143" s="2"/>
      <c r="K143" s="2" t="s">
        <v>43</v>
      </c>
      <c r="L143" s="2"/>
      <c r="M143" s="2" t="s">
        <v>43</v>
      </c>
      <c r="N143" s="2"/>
      <c r="O143" s="2">
        <v>0</v>
      </c>
      <c r="P143" s="2"/>
      <c r="Q143" s="2">
        <v>0</v>
      </c>
      <c r="R143" s="2" t="s">
        <v>334</v>
      </c>
      <c r="S143" s="2">
        <v>0</v>
      </c>
      <c r="T143" s="2"/>
      <c r="U143" s="2">
        <v>0</v>
      </c>
      <c r="V143" s="2"/>
      <c r="W143" s="2">
        <v>0</v>
      </c>
      <c r="X143" s="2" t="s">
        <v>334</v>
      </c>
      <c r="Y143" s="2" t="s">
        <v>43</v>
      </c>
      <c r="Z143" s="2"/>
      <c r="AA143" s="2" t="s">
        <v>43</v>
      </c>
      <c r="AB143" s="2"/>
      <c r="AC143" s="2">
        <v>0</v>
      </c>
      <c r="AD143" s="2"/>
      <c r="AE143" s="2">
        <v>0</v>
      </c>
      <c r="AF143" s="2"/>
      <c r="AG143" s="2">
        <v>0</v>
      </c>
      <c r="AH143" s="2"/>
    </row>
    <row r="144" spans="1:34">
      <c r="A144" t="s">
        <v>279</v>
      </c>
      <c r="B144" t="s">
        <v>70</v>
      </c>
      <c r="C144" s="2">
        <v>0</v>
      </c>
      <c r="D144" s="2"/>
      <c r="E144" s="2" t="s">
        <v>43</v>
      </c>
      <c r="F144" s="2"/>
      <c r="G144" s="2" t="s">
        <v>43</v>
      </c>
      <c r="H144" s="2"/>
      <c r="I144" s="2" t="s">
        <v>43</v>
      </c>
      <c r="J144" s="2"/>
      <c r="K144" s="2" t="s">
        <v>43</v>
      </c>
      <c r="L144" s="2"/>
      <c r="M144" s="2" t="s">
        <v>43</v>
      </c>
      <c r="N144" s="2"/>
      <c r="O144" s="2">
        <v>0</v>
      </c>
      <c r="P144" s="2"/>
      <c r="Q144" s="2">
        <v>0</v>
      </c>
      <c r="R144" s="2" t="s">
        <v>334</v>
      </c>
      <c r="S144" s="2">
        <v>0</v>
      </c>
      <c r="T144" s="2"/>
      <c r="U144" s="2">
        <v>0</v>
      </c>
      <c r="V144" s="2"/>
      <c r="W144" s="2">
        <v>0</v>
      </c>
      <c r="X144" s="2" t="s">
        <v>334</v>
      </c>
      <c r="Y144" s="2" t="s">
        <v>43</v>
      </c>
      <c r="Z144" s="2"/>
      <c r="AA144" s="2" t="s">
        <v>43</v>
      </c>
      <c r="AB144" s="2"/>
      <c r="AC144" s="2">
        <v>0</v>
      </c>
      <c r="AD144" s="2"/>
      <c r="AE144" s="2">
        <v>0</v>
      </c>
      <c r="AF144" s="2"/>
      <c r="AG144" s="2">
        <v>0</v>
      </c>
      <c r="AH144" s="2"/>
    </row>
    <row r="145" spans="1:34">
      <c r="A145" t="s">
        <v>280</v>
      </c>
      <c r="B145" t="s">
        <v>281</v>
      </c>
      <c r="C145" s="2">
        <v>2312</v>
      </c>
      <c r="D145" s="2"/>
      <c r="E145" s="2">
        <v>2259</v>
      </c>
      <c r="F145" s="2"/>
      <c r="G145" s="2">
        <v>2140</v>
      </c>
      <c r="H145" s="2"/>
      <c r="I145" s="2">
        <v>1958</v>
      </c>
      <c r="J145" s="2"/>
      <c r="K145" s="2">
        <v>1926</v>
      </c>
      <c r="L145" s="2"/>
      <c r="M145" s="2">
        <v>1851</v>
      </c>
      <c r="N145" s="2"/>
      <c r="O145" s="2">
        <v>1705</v>
      </c>
      <c r="P145" s="2"/>
      <c r="Q145" s="2">
        <v>1733</v>
      </c>
      <c r="R145" s="2"/>
      <c r="S145" s="2">
        <v>1748</v>
      </c>
      <c r="T145" s="2"/>
      <c r="U145" s="2">
        <v>1844</v>
      </c>
      <c r="V145" s="2"/>
      <c r="W145" s="2">
        <v>1869</v>
      </c>
      <c r="X145" s="2" t="s">
        <v>334</v>
      </c>
      <c r="Y145" s="2">
        <v>1853</v>
      </c>
      <c r="Z145" s="2"/>
      <c r="AA145" s="2">
        <v>1818</v>
      </c>
      <c r="AB145" s="2"/>
      <c r="AC145" s="2">
        <v>2037</v>
      </c>
      <c r="AD145" s="2"/>
      <c r="AE145" s="2">
        <v>2054</v>
      </c>
      <c r="AF145" s="2"/>
      <c r="AG145" s="2">
        <v>1998</v>
      </c>
      <c r="AH145" s="2"/>
    </row>
    <row r="146" spans="1:34">
      <c r="A146" t="s">
        <v>282</v>
      </c>
      <c r="B146" t="s">
        <v>283</v>
      </c>
      <c r="C146" s="2">
        <v>192</v>
      </c>
      <c r="D146" s="2"/>
      <c r="E146" s="2">
        <v>198</v>
      </c>
      <c r="F146" s="2"/>
      <c r="G146" s="2">
        <v>176</v>
      </c>
      <c r="H146" s="2"/>
      <c r="I146" s="2">
        <v>165</v>
      </c>
      <c r="J146" s="2"/>
      <c r="K146" s="2">
        <v>168</v>
      </c>
      <c r="L146" s="2"/>
      <c r="M146" s="2">
        <v>130</v>
      </c>
      <c r="N146" s="2"/>
      <c r="O146" s="2">
        <v>127</v>
      </c>
      <c r="P146" s="2"/>
      <c r="Q146" s="2">
        <v>152</v>
      </c>
      <c r="R146" s="2"/>
      <c r="S146" s="2">
        <v>155</v>
      </c>
      <c r="T146" s="2"/>
      <c r="U146" s="2">
        <v>164</v>
      </c>
      <c r="V146" s="2"/>
      <c r="W146" s="2">
        <v>169</v>
      </c>
      <c r="X146" s="2" t="s">
        <v>334</v>
      </c>
      <c r="Y146" s="2">
        <v>183</v>
      </c>
      <c r="Z146" s="2"/>
      <c r="AA146" s="2">
        <v>168</v>
      </c>
      <c r="AB146" s="2"/>
      <c r="AC146" s="2">
        <v>168</v>
      </c>
      <c r="AD146" s="2"/>
      <c r="AE146" s="2">
        <v>209</v>
      </c>
      <c r="AF146" s="2"/>
      <c r="AG146" s="2">
        <v>201</v>
      </c>
      <c r="AH146" s="2"/>
    </row>
    <row r="147" spans="1:34">
      <c r="A147" t="s">
        <v>284</v>
      </c>
      <c r="B147" t="s">
        <v>285</v>
      </c>
      <c r="C147" s="2">
        <v>129</v>
      </c>
      <c r="D147" s="2"/>
      <c r="E147" s="2">
        <v>136</v>
      </c>
      <c r="F147" s="2"/>
      <c r="G147" s="2">
        <v>116</v>
      </c>
      <c r="H147" s="2"/>
      <c r="I147" s="2">
        <v>110</v>
      </c>
      <c r="J147" s="2"/>
      <c r="K147" s="2">
        <v>111</v>
      </c>
      <c r="L147" s="2"/>
      <c r="M147" s="2">
        <v>94</v>
      </c>
      <c r="N147" s="2"/>
      <c r="O147" s="2">
        <v>86</v>
      </c>
      <c r="P147" s="2"/>
      <c r="Q147" s="2">
        <v>106</v>
      </c>
      <c r="R147" s="2"/>
      <c r="S147" s="2">
        <v>111</v>
      </c>
      <c r="T147" s="2"/>
      <c r="U147" s="2">
        <v>115</v>
      </c>
      <c r="V147" s="2"/>
      <c r="W147" s="2">
        <v>117</v>
      </c>
      <c r="X147" s="2" t="s">
        <v>334</v>
      </c>
      <c r="Y147" s="2">
        <v>127</v>
      </c>
      <c r="Z147" s="2"/>
      <c r="AA147" s="2">
        <v>110</v>
      </c>
      <c r="AB147" s="2"/>
      <c r="AC147" s="2">
        <v>121</v>
      </c>
      <c r="AD147" s="2"/>
      <c r="AE147" s="2">
        <v>156</v>
      </c>
      <c r="AF147" s="2"/>
      <c r="AG147" s="2">
        <v>143</v>
      </c>
      <c r="AH147" s="2"/>
    </row>
    <row r="148" spans="1:34">
      <c r="A148" t="s">
        <v>286</v>
      </c>
      <c r="B148" t="s">
        <v>287</v>
      </c>
      <c r="C148" s="2">
        <v>38</v>
      </c>
      <c r="D148" s="2"/>
      <c r="E148" s="2">
        <v>39</v>
      </c>
      <c r="F148" s="2"/>
      <c r="G148" s="2">
        <v>38</v>
      </c>
      <c r="H148" s="2"/>
      <c r="I148" s="2">
        <v>38</v>
      </c>
      <c r="J148" s="2"/>
      <c r="K148" s="2">
        <v>37</v>
      </c>
      <c r="L148" s="2"/>
      <c r="M148" s="2">
        <v>22</v>
      </c>
      <c r="N148" s="2"/>
      <c r="O148" s="2">
        <v>27</v>
      </c>
      <c r="P148" s="2"/>
      <c r="Q148" s="2">
        <v>30</v>
      </c>
      <c r="R148" s="2"/>
      <c r="S148" s="2">
        <v>31</v>
      </c>
      <c r="T148" s="2"/>
      <c r="U148" s="2">
        <v>33</v>
      </c>
      <c r="V148" s="2"/>
      <c r="W148" s="2">
        <v>33</v>
      </c>
      <c r="X148" s="2" t="s">
        <v>334</v>
      </c>
      <c r="Y148" s="2">
        <v>37</v>
      </c>
      <c r="Z148" s="2"/>
      <c r="AA148" s="2">
        <v>40</v>
      </c>
      <c r="AB148" s="2"/>
      <c r="AC148" s="2">
        <v>27</v>
      </c>
      <c r="AD148" s="2"/>
      <c r="AE148" s="2">
        <v>35</v>
      </c>
      <c r="AF148" s="2"/>
      <c r="AG148" s="2">
        <v>38</v>
      </c>
      <c r="AH148" s="2"/>
    </row>
    <row r="149" spans="1:34">
      <c r="A149" t="s">
        <v>288</v>
      </c>
      <c r="B149" t="s">
        <v>289</v>
      </c>
      <c r="C149" s="2">
        <v>24</v>
      </c>
      <c r="D149" s="2"/>
      <c r="E149" s="2">
        <v>24</v>
      </c>
      <c r="F149" s="2"/>
      <c r="G149" s="2">
        <v>22</v>
      </c>
      <c r="H149" s="2"/>
      <c r="I149" s="2">
        <v>17</v>
      </c>
      <c r="J149" s="2"/>
      <c r="K149" s="2">
        <v>19</v>
      </c>
      <c r="L149" s="2"/>
      <c r="M149" s="2">
        <v>15</v>
      </c>
      <c r="N149" s="2"/>
      <c r="O149" s="2">
        <v>14</v>
      </c>
      <c r="P149" s="2"/>
      <c r="Q149" s="2">
        <v>16</v>
      </c>
      <c r="R149" s="2"/>
      <c r="S149" s="2">
        <v>13</v>
      </c>
      <c r="T149" s="2"/>
      <c r="U149" s="2">
        <v>17</v>
      </c>
      <c r="V149" s="2"/>
      <c r="W149" s="2">
        <v>19</v>
      </c>
      <c r="X149" s="2" t="s">
        <v>334</v>
      </c>
      <c r="Y149" s="2">
        <v>19</v>
      </c>
      <c r="Z149" s="2"/>
      <c r="AA149" s="2">
        <v>18</v>
      </c>
      <c r="AB149" s="2"/>
      <c r="AC149" s="2">
        <v>20</v>
      </c>
      <c r="AD149" s="2"/>
      <c r="AE149" s="2">
        <v>18</v>
      </c>
      <c r="AF149" s="2"/>
      <c r="AG149" s="2">
        <v>20</v>
      </c>
      <c r="AH149" s="2"/>
    </row>
    <row r="150" spans="1:34">
      <c r="A150" t="s">
        <v>290</v>
      </c>
      <c r="B150" t="s">
        <v>291</v>
      </c>
      <c r="C150" s="2">
        <v>459</v>
      </c>
      <c r="D150" s="2"/>
      <c r="E150" s="2">
        <v>481</v>
      </c>
      <c r="F150" s="2"/>
      <c r="G150" s="2">
        <v>494</v>
      </c>
      <c r="H150" s="2"/>
      <c r="I150" s="2">
        <v>432</v>
      </c>
      <c r="J150" s="2"/>
      <c r="K150" s="2">
        <v>423</v>
      </c>
      <c r="L150" s="2"/>
      <c r="M150" s="2">
        <v>352</v>
      </c>
      <c r="N150" s="2"/>
      <c r="O150" s="2">
        <v>403</v>
      </c>
      <c r="P150" s="2"/>
      <c r="Q150" s="2">
        <v>388</v>
      </c>
      <c r="R150" s="2"/>
      <c r="S150" s="2">
        <v>369</v>
      </c>
      <c r="T150" s="2"/>
      <c r="U150" s="2">
        <v>389</v>
      </c>
      <c r="V150" s="2"/>
      <c r="W150" s="2">
        <v>395</v>
      </c>
      <c r="X150" s="2" t="s">
        <v>334</v>
      </c>
      <c r="Y150" s="2">
        <v>393</v>
      </c>
      <c r="Z150" s="2"/>
      <c r="AA150" s="2">
        <v>388</v>
      </c>
      <c r="AB150" s="2"/>
      <c r="AC150" s="2">
        <v>436</v>
      </c>
      <c r="AD150" s="2"/>
      <c r="AE150" s="2">
        <v>426</v>
      </c>
      <c r="AF150" s="2"/>
      <c r="AG150" s="2">
        <v>457</v>
      </c>
      <c r="AH150" s="2"/>
    </row>
    <row r="151" spans="1:34">
      <c r="A151" t="s">
        <v>292</v>
      </c>
      <c r="B151" t="s">
        <v>293</v>
      </c>
      <c r="C151" s="2">
        <v>158</v>
      </c>
      <c r="D151" s="2"/>
      <c r="E151" s="2">
        <v>174</v>
      </c>
      <c r="F151" s="2"/>
      <c r="G151" s="2">
        <v>189</v>
      </c>
      <c r="H151" s="2"/>
      <c r="I151" s="2">
        <v>135</v>
      </c>
      <c r="J151" s="2"/>
      <c r="K151" s="2">
        <v>141</v>
      </c>
      <c r="L151" s="2"/>
      <c r="M151" s="2">
        <v>128</v>
      </c>
      <c r="N151" s="2"/>
      <c r="O151" s="2">
        <v>187</v>
      </c>
      <c r="P151" s="2"/>
      <c r="Q151" s="2">
        <v>109</v>
      </c>
      <c r="R151" s="2"/>
      <c r="S151" s="2">
        <v>123</v>
      </c>
      <c r="T151" s="2"/>
      <c r="U151" s="2">
        <v>131</v>
      </c>
      <c r="V151" s="2"/>
      <c r="W151" s="2">
        <v>136</v>
      </c>
      <c r="X151" s="2" t="s">
        <v>334</v>
      </c>
      <c r="Y151" s="2">
        <v>136</v>
      </c>
      <c r="Z151" s="2"/>
      <c r="AA151" s="2">
        <v>143</v>
      </c>
      <c r="AB151" s="2"/>
      <c r="AC151" s="2">
        <v>138</v>
      </c>
      <c r="AD151" s="2"/>
      <c r="AE151" s="2">
        <v>143</v>
      </c>
      <c r="AF151" s="2"/>
      <c r="AG151" s="2">
        <v>156</v>
      </c>
      <c r="AH151" s="2"/>
    </row>
    <row r="152" spans="1:34">
      <c r="A152" t="s">
        <v>294</v>
      </c>
      <c r="B152" t="s">
        <v>295</v>
      </c>
      <c r="C152" s="2">
        <v>107</v>
      </c>
      <c r="D152" s="2"/>
      <c r="E152" s="2">
        <v>115</v>
      </c>
      <c r="F152" s="2"/>
      <c r="G152" s="2">
        <v>112</v>
      </c>
      <c r="H152" s="2"/>
      <c r="I152" s="2">
        <v>108</v>
      </c>
      <c r="J152" s="2"/>
      <c r="K152" s="2">
        <v>109</v>
      </c>
      <c r="L152" s="2"/>
      <c r="M152" s="2">
        <v>92</v>
      </c>
      <c r="N152" s="2"/>
      <c r="O152" s="2">
        <v>88</v>
      </c>
      <c r="P152" s="2"/>
      <c r="Q152" s="2">
        <v>96</v>
      </c>
      <c r="R152" s="2"/>
      <c r="S152" s="2">
        <v>95</v>
      </c>
      <c r="T152" s="2"/>
      <c r="U152" s="2">
        <v>93</v>
      </c>
      <c r="V152" s="2"/>
      <c r="W152" s="2">
        <v>97</v>
      </c>
      <c r="X152" s="2" t="s">
        <v>334</v>
      </c>
      <c r="Y152" s="2">
        <v>95</v>
      </c>
      <c r="Z152" s="2"/>
      <c r="AA152" s="2">
        <v>97</v>
      </c>
      <c r="AB152" s="2"/>
      <c r="AC152" s="2">
        <v>103</v>
      </c>
      <c r="AD152" s="2"/>
      <c r="AE152" s="2">
        <v>106</v>
      </c>
      <c r="AF152" s="2"/>
      <c r="AG152" s="2">
        <v>113</v>
      </c>
      <c r="AH152" s="2"/>
    </row>
    <row r="153" spans="1:34">
      <c r="A153" t="s">
        <v>296</v>
      </c>
      <c r="B153" t="s">
        <v>297</v>
      </c>
      <c r="C153" s="2">
        <v>28</v>
      </c>
      <c r="D153" s="2"/>
      <c r="E153" s="2">
        <v>28</v>
      </c>
      <c r="F153" s="2"/>
      <c r="G153" s="2">
        <v>29</v>
      </c>
      <c r="H153" s="2"/>
      <c r="I153" s="2">
        <v>25</v>
      </c>
      <c r="J153" s="2"/>
      <c r="K153" s="2">
        <v>27</v>
      </c>
      <c r="L153" s="2"/>
      <c r="M153" s="2">
        <v>19</v>
      </c>
      <c r="N153" s="2"/>
      <c r="O153" s="2">
        <v>19</v>
      </c>
      <c r="P153" s="2"/>
      <c r="Q153" s="2">
        <v>21</v>
      </c>
      <c r="R153" s="2"/>
      <c r="S153" s="2">
        <v>12</v>
      </c>
      <c r="T153" s="2"/>
      <c r="U153" s="2">
        <v>20</v>
      </c>
      <c r="V153" s="2"/>
      <c r="W153" s="2">
        <v>22</v>
      </c>
      <c r="X153" s="2" t="s">
        <v>334</v>
      </c>
      <c r="Y153" s="2">
        <v>19</v>
      </c>
      <c r="Z153" s="2"/>
      <c r="AA153" s="2">
        <v>17</v>
      </c>
      <c r="AB153" s="2"/>
      <c r="AC153" s="2">
        <v>19</v>
      </c>
      <c r="AD153" s="2"/>
      <c r="AE153" s="2">
        <v>23</v>
      </c>
      <c r="AF153" s="2"/>
      <c r="AG153" s="2">
        <v>21</v>
      </c>
      <c r="AH153" s="2"/>
    </row>
    <row r="154" spans="1:34">
      <c r="A154" t="s">
        <v>298</v>
      </c>
      <c r="B154" t="s">
        <v>299</v>
      </c>
      <c r="C154" s="2">
        <v>165</v>
      </c>
      <c r="D154" s="2"/>
      <c r="E154" s="2">
        <v>164</v>
      </c>
      <c r="F154" s="2"/>
      <c r="G154" s="2">
        <v>164</v>
      </c>
      <c r="H154" s="2"/>
      <c r="I154" s="2">
        <v>164</v>
      </c>
      <c r="J154" s="2"/>
      <c r="K154" s="2">
        <v>146</v>
      </c>
      <c r="L154" s="2"/>
      <c r="M154" s="2">
        <v>114</v>
      </c>
      <c r="N154" s="2"/>
      <c r="O154" s="2">
        <v>109</v>
      </c>
      <c r="P154" s="2"/>
      <c r="Q154" s="2">
        <v>162</v>
      </c>
      <c r="R154" s="2"/>
      <c r="S154" s="2">
        <v>140</v>
      </c>
      <c r="T154" s="2"/>
      <c r="U154" s="2">
        <v>145</v>
      </c>
      <c r="V154" s="2"/>
      <c r="W154" s="2">
        <v>140</v>
      </c>
      <c r="X154" s="2" t="s">
        <v>334</v>
      </c>
      <c r="Y154" s="2">
        <v>143</v>
      </c>
      <c r="Z154" s="2"/>
      <c r="AA154" s="2">
        <v>132</v>
      </c>
      <c r="AB154" s="2"/>
      <c r="AC154" s="2">
        <v>176</v>
      </c>
      <c r="AD154" s="2"/>
      <c r="AE154" s="2">
        <v>154</v>
      </c>
      <c r="AF154" s="2"/>
      <c r="AG154" s="2">
        <v>166</v>
      </c>
      <c r="AH154" s="2"/>
    </row>
    <row r="155" spans="1:34">
      <c r="A155" t="s">
        <v>300</v>
      </c>
      <c r="B155" t="s">
        <v>301</v>
      </c>
      <c r="C155" s="2">
        <v>227</v>
      </c>
      <c r="D155" s="2"/>
      <c r="E155" s="2">
        <v>218</v>
      </c>
      <c r="F155" s="2"/>
      <c r="G155" s="2">
        <v>200</v>
      </c>
      <c r="H155" s="2"/>
      <c r="I155" s="2">
        <v>163</v>
      </c>
      <c r="J155" s="2"/>
      <c r="K155" s="2">
        <v>180</v>
      </c>
      <c r="L155" s="2"/>
      <c r="M155" s="2">
        <v>204</v>
      </c>
      <c r="N155" s="2"/>
      <c r="O155" s="2">
        <v>127</v>
      </c>
      <c r="P155" s="2"/>
      <c r="Q155" s="2">
        <v>155</v>
      </c>
      <c r="R155" s="2"/>
      <c r="S155" s="2">
        <v>175</v>
      </c>
      <c r="T155" s="2"/>
      <c r="U155" s="2">
        <v>171</v>
      </c>
      <c r="V155" s="2"/>
      <c r="W155" s="2">
        <v>160</v>
      </c>
      <c r="X155" s="2" t="s">
        <v>334</v>
      </c>
      <c r="Y155" s="2">
        <v>190</v>
      </c>
      <c r="Z155" s="2"/>
      <c r="AA155" s="2">
        <v>174</v>
      </c>
      <c r="AB155" s="2"/>
      <c r="AC155" s="2">
        <v>190</v>
      </c>
      <c r="AD155" s="2"/>
      <c r="AE155" s="2">
        <v>205</v>
      </c>
      <c r="AF155" s="2"/>
      <c r="AG155" s="2">
        <v>170</v>
      </c>
      <c r="AH155" s="2"/>
    </row>
    <row r="156" spans="1:34">
      <c r="A156" t="s">
        <v>302</v>
      </c>
      <c r="B156" t="s">
        <v>301</v>
      </c>
      <c r="C156" s="2">
        <v>227</v>
      </c>
      <c r="D156" s="2"/>
      <c r="E156" s="2">
        <v>218</v>
      </c>
      <c r="F156" s="2"/>
      <c r="G156" s="2">
        <v>200</v>
      </c>
      <c r="H156" s="2"/>
      <c r="I156" s="2">
        <v>163</v>
      </c>
      <c r="J156" s="2"/>
      <c r="K156" s="2">
        <v>180</v>
      </c>
      <c r="L156" s="2"/>
      <c r="M156" s="2">
        <v>204</v>
      </c>
      <c r="N156" s="2"/>
      <c r="O156" s="2">
        <v>127</v>
      </c>
      <c r="P156" s="2"/>
      <c r="Q156" s="2">
        <v>155</v>
      </c>
      <c r="R156" s="2"/>
      <c r="S156" s="2">
        <v>175</v>
      </c>
      <c r="T156" s="2"/>
      <c r="U156" s="2">
        <v>171</v>
      </c>
      <c r="V156" s="2"/>
      <c r="W156" s="2">
        <v>160</v>
      </c>
      <c r="X156" s="2" t="s">
        <v>334</v>
      </c>
      <c r="Y156" s="2">
        <v>190</v>
      </c>
      <c r="Z156" s="2"/>
      <c r="AA156" s="2">
        <v>174</v>
      </c>
      <c r="AB156" s="2"/>
      <c r="AC156" s="2">
        <v>190</v>
      </c>
      <c r="AD156" s="2"/>
      <c r="AE156" s="2">
        <v>205</v>
      </c>
      <c r="AF156" s="2"/>
      <c r="AG156" s="2">
        <v>170</v>
      </c>
      <c r="AH156" s="2"/>
    </row>
    <row r="157" spans="1:34">
      <c r="A157" t="s">
        <v>303</v>
      </c>
      <c r="B157" t="s">
        <v>304</v>
      </c>
      <c r="C157" s="2">
        <v>324</v>
      </c>
      <c r="D157" s="2"/>
      <c r="E157" s="2">
        <v>304</v>
      </c>
      <c r="F157" s="2"/>
      <c r="G157" s="2">
        <v>295</v>
      </c>
      <c r="H157" s="2"/>
      <c r="I157" s="2">
        <v>295</v>
      </c>
      <c r="J157" s="2"/>
      <c r="K157" s="2">
        <v>268</v>
      </c>
      <c r="L157" s="2"/>
      <c r="M157" s="2">
        <v>403</v>
      </c>
      <c r="N157" s="2"/>
      <c r="O157" s="2">
        <v>277</v>
      </c>
      <c r="P157" s="2"/>
      <c r="Q157" s="2">
        <v>255</v>
      </c>
      <c r="R157" s="2"/>
      <c r="S157" s="2">
        <v>248</v>
      </c>
      <c r="T157" s="2"/>
      <c r="U157" s="2">
        <v>252</v>
      </c>
      <c r="V157" s="2"/>
      <c r="W157" s="2">
        <v>274</v>
      </c>
      <c r="X157" s="2" t="s">
        <v>334</v>
      </c>
      <c r="Y157" s="2">
        <v>259</v>
      </c>
      <c r="Z157" s="2"/>
      <c r="AA157" s="2">
        <v>260</v>
      </c>
      <c r="AB157" s="2"/>
      <c r="AC157" s="2">
        <v>287</v>
      </c>
      <c r="AD157" s="2"/>
      <c r="AE157" s="2">
        <v>314</v>
      </c>
      <c r="AF157" s="2"/>
      <c r="AG157" s="2">
        <v>285</v>
      </c>
      <c r="AH157" s="2"/>
    </row>
    <row r="158" spans="1:34">
      <c r="A158" t="s">
        <v>305</v>
      </c>
      <c r="B158" t="s">
        <v>306</v>
      </c>
      <c r="C158" s="2">
        <v>155</v>
      </c>
      <c r="D158" s="2"/>
      <c r="E158" s="2">
        <v>157</v>
      </c>
      <c r="F158" s="2"/>
      <c r="G158" s="2">
        <v>154</v>
      </c>
      <c r="H158" s="2"/>
      <c r="I158" s="2">
        <v>135</v>
      </c>
      <c r="J158" s="2"/>
      <c r="K158" s="2">
        <v>124</v>
      </c>
      <c r="L158" s="2"/>
      <c r="M158" s="2">
        <v>121</v>
      </c>
      <c r="N158" s="2"/>
      <c r="O158" s="2">
        <v>171</v>
      </c>
      <c r="P158" s="2"/>
      <c r="Q158" s="2">
        <v>142</v>
      </c>
      <c r="R158" s="2"/>
      <c r="S158" s="2">
        <v>121</v>
      </c>
      <c r="T158" s="2"/>
      <c r="U158" s="2">
        <v>134</v>
      </c>
      <c r="V158" s="2"/>
      <c r="W158" s="2">
        <v>131</v>
      </c>
      <c r="X158" s="2" t="s">
        <v>334</v>
      </c>
      <c r="Y158" s="2">
        <v>128</v>
      </c>
      <c r="Z158" s="2"/>
      <c r="AA158" s="2">
        <v>138</v>
      </c>
      <c r="AB158" s="2"/>
      <c r="AC158" s="2">
        <v>144</v>
      </c>
      <c r="AD158" s="2"/>
      <c r="AE158" s="2">
        <v>160</v>
      </c>
      <c r="AF158" s="2"/>
      <c r="AG158" s="2">
        <v>151</v>
      </c>
      <c r="AH158" s="2"/>
    </row>
    <row r="159" spans="1:34">
      <c r="A159" t="s">
        <v>307</v>
      </c>
      <c r="B159" t="s">
        <v>308</v>
      </c>
      <c r="C159" s="2">
        <v>130</v>
      </c>
      <c r="D159" s="2"/>
      <c r="E159" s="2">
        <v>111</v>
      </c>
      <c r="F159" s="2"/>
      <c r="G159" s="2">
        <v>102</v>
      </c>
      <c r="H159" s="2"/>
      <c r="I159" s="2">
        <v>117</v>
      </c>
      <c r="J159" s="2"/>
      <c r="K159" s="2">
        <v>111</v>
      </c>
      <c r="L159" s="2"/>
      <c r="M159" s="2">
        <v>259</v>
      </c>
      <c r="N159" s="2"/>
      <c r="O159" s="2">
        <v>84</v>
      </c>
      <c r="P159" s="2"/>
      <c r="Q159" s="2">
        <v>87</v>
      </c>
      <c r="R159" s="2"/>
      <c r="S159" s="2">
        <v>98</v>
      </c>
      <c r="T159" s="2"/>
      <c r="U159" s="2">
        <v>94</v>
      </c>
      <c r="V159" s="2"/>
      <c r="W159" s="2">
        <v>117</v>
      </c>
      <c r="X159" s="2" t="s">
        <v>334</v>
      </c>
      <c r="Y159" s="2">
        <v>107</v>
      </c>
      <c r="Z159" s="2"/>
      <c r="AA159" s="2">
        <v>98</v>
      </c>
      <c r="AB159" s="2"/>
      <c r="AC159" s="2">
        <v>117</v>
      </c>
      <c r="AD159" s="2"/>
      <c r="AE159" s="2">
        <v>104</v>
      </c>
      <c r="AF159" s="2"/>
      <c r="AG159" s="2">
        <v>104</v>
      </c>
      <c r="AH159" s="2"/>
    </row>
    <row r="160" spans="1:34">
      <c r="A160" t="s">
        <v>309</v>
      </c>
      <c r="B160" t="s">
        <v>310</v>
      </c>
      <c r="C160" s="2">
        <v>40</v>
      </c>
      <c r="D160" s="2"/>
      <c r="E160" s="2">
        <v>36</v>
      </c>
      <c r="F160" s="2"/>
      <c r="G160" s="2">
        <v>38</v>
      </c>
      <c r="H160" s="2"/>
      <c r="I160" s="2">
        <v>42</v>
      </c>
      <c r="J160" s="2"/>
      <c r="K160" s="2">
        <v>33</v>
      </c>
      <c r="L160" s="2"/>
      <c r="M160" s="2">
        <v>24</v>
      </c>
      <c r="N160" s="2"/>
      <c r="O160" s="2">
        <v>22</v>
      </c>
      <c r="P160" s="2"/>
      <c r="Q160" s="2">
        <v>26</v>
      </c>
      <c r="R160" s="2"/>
      <c r="S160" s="2">
        <v>29</v>
      </c>
      <c r="T160" s="2"/>
      <c r="U160" s="2">
        <v>24</v>
      </c>
      <c r="V160" s="2"/>
      <c r="W160" s="2">
        <v>27</v>
      </c>
      <c r="X160" s="2" t="s">
        <v>334</v>
      </c>
      <c r="Y160" s="2">
        <v>23</v>
      </c>
      <c r="Z160" s="2"/>
      <c r="AA160" s="2">
        <v>24</v>
      </c>
      <c r="AB160" s="2"/>
      <c r="AC160" s="2">
        <v>26</v>
      </c>
      <c r="AD160" s="2"/>
      <c r="AE160" s="2">
        <v>50</v>
      </c>
      <c r="AF160" s="2"/>
      <c r="AG160" s="2">
        <v>29</v>
      </c>
      <c r="AH160" s="2"/>
    </row>
    <row r="161" spans="1:34">
      <c r="A161" t="s">
        <v>311</v>
      </c>
      <c r="B161" t="s">
        <v>312</v>
      </c>
      <c r="C161" s="2">
        <v>718</v>
      </c>
      <c r="D161" s="2"/>
      <c r="E161" s="2">
        <v>710</v>
      </c>
      <c r="F161" s="2"/>
      <c r="G161" s="2">
        <v>650</v>
      </c>
      <c r="H161" s="2"/>
      <c r="I161" s="2">
        <v>585</v>
      </c>
      <c r="J161" s="2"/>
      <c r="K161" s="2">
        <v>610</v>
      </c>
      <c r="L161" s="2"/>
      <c r="M161" s="2">
        <v>540</v>
      </c>
      <c r="N161" s="2"/>
      <c r="O161" s="2">
        <v>572</v>
      </c>
      <c r="P161" s="2"/>
      <c r="Q161" s="2">
        <v>550</v>
      </c>
      <c r="R161" s="2"/>
      <c r="S161" s="2">
        <v>527</v>
      </c>
      <c r="T161" s="2"/>
      <c r="U161" s="2">
        <v>580</v>
      </c>
      <c r="V161" s="2"/>
      <c r="W161" s="2">
        <v>594</v>
      </c>
      <c r="X161" s="2" t="s">
        <v>334</v>
      </c>
      <c r="Y161" s="2">
        <v>556</v>
      </c>
      <c r="Z161" s="2"/>
      <c r="AA161" s="2">
        <v>551</v>
      </c>
      <c r="AB161" s="2"/>
      <c r="AC161" s="2">
        <v>652</v>
      </c>
      <c r="AD161" s="2"/>
      <c r="AE161" s="2">
        <v>622</v>
      </c>
      <c r="AF161" s="2"/>
      <c r="AG161" s="2">
        <v>600</v>
      </c>
      <c r="AH161" s="2"/>
    </row>
    <row r="162" spans="1:34">
      <c r="A162" t="s">
        <v>313</v>
      </c>
      <c r="B162" t="s">
        <v>314</v>
      </c>
      <c r="C162" s="2">
        <v>529</v>
      </c>
      <c r="D162" s="2"/>
      <c r="E162" s="2">
        <v>539</v>
      </c>
      <c r="F162" s="2"/>
      <c r="G162" s="2">
        <v>498</v>
      </c>
      <c r="H162" s="2"/>
      <c r="I162" s="2">
        <v>433</v>
      </c>
      <c r="J162" s="2"/>
      <c r="K162" s="2">
        <v>464</v>
      </c>
      <c r="L162" s="2"/>
      <c r="M162" s="2">
        <v>402</v>
      </c>
      <c r="N162" s="2"/>
      <c r="O162" s="2">
        <v>441</v>
      </c>
      <c r="P162" s="2"/>
      <c r="Q162" s="2">
        <v>405</v>
      </c>
      <c r="R162" s="2"/>
      <c r="S162" s="2">
        <v>384</v>
      </c>
      <c r="T162" s="2"/>
      <c r="U162" s="2">
        <v>422</v>
      </c>
      <c r="V162" s="2"/>
      <c r="W162" s="2">
        <v>438</v>
      </c>
      <c r="X162" s="2" t="s">
        <v>334</v>
      </c>
      <c r="Y162" s="2">
        <v>405</v>
      </c>
      <c r="Z162" s="2"/>
      <c r="AA162" s="2">
        <v>396</v>
      </c>
      <c r="AB162" s="2"/>
      <c r="AC162" s="2">
        <v>461</v>
      </c>
      <c r="AD162" s="2"/>
      <c r="AE162" s="2">
        <v>447</v>
      </c>
      <c r="AF162" s="2"/>
      <c r="AG162" s="2">
        <v>428</v>
      </c>
      <c r="AH162" s="2"/>
    </row>
    <row r="163" spans="1:34">
      <c r="A163" t="s">
        <v>315</v>
      </c>
      <c r="B163" t="s">
        <v>316</v>
      </c>
      <c r="C163" s="2" t="s">
        <v>43</v>
      </c>
      <c r="D163" s="2" t="s">
        <v>44</v>
      </c>
      <c r="E163" s="2">
        <v>166</v>
      </c>
      <c r="F163" s="2"/>
      <c r="G163" s="2" t="s">
        <v>43</v>
      </c>
      <c r="H163" s="2" t="s">
        <v>44</v>
      </c>
      <c r="I163" s="2" t="s">
        <v>43</v>
      </c>
      <c r="J163" s="2" t="s">
        <v>44</v>
      </c>
      <c r="K163" s="2" t="s">
        <v>43</v>
      </c>
      <c r="L163" s="2" t="s">
        <v>44</v>
      </c>
      <c r="M163" s="2">
        <v>134</v>
      </c>
      <c r="N163" s="2"/>
      <c r="O163" s="2">
        <v>126</v>
      </c>
      <c r="P163" s="2"/>
      <c r="Q163" s="2">
        <v>141</v>
      </c>
      <c r="R163" s="2"/>
      <c r="S163" s="2">
        <v>139</v>
      </c>
      <c r="T163" s="2"/>
      <c r="U163" s="2">
        <v>150</v>
      </c>
      <c r="V163" s="2"/>
      <c r="W163" s="2">
        <v>148</v>
      </c>
      <c r="X163" s="2" t="s">
        <v>334</v>
      </c>
      <c r="Y163" s="2">
        <v>144</v>
      </c>
      <c r="Z163" s="2"/>
      <c r="AA163" s="2">
        <v>149</v>
      </c>
      <c r="AB163" s="2"/>
      <c r="AC163" s="2" t="s">
        <v>43</v>
      </c>
      <c r="AD163" s="2" t="s">
        <v>44</v>
      </c>
      <c r="AE163" s="2">
        <v>165</v>
      </c>
      <c r="AF163" s="2"/>
      <c r="AG163" s="2">
        <v>166</v>
      </c>
      <c r="AH163" s="2"/>
    </row>
    <row r="164" spans="1:34">
      <c r="A164" t="s">
        <v>317</v>
      </c>
      <c r="B164" t="s">
        <v>318</v>
      </c>
      <c r="C164" s="2" t="s">
        <v>43</v>
      </c>
      <c r="D164" s="2" t="s">
        <v>44</v>
      </c>
      <c r="E164" s="2">
        <v>5</v>
      </c>
      <c r="F164" s="2"/>
      <c r="G164" s="2" t="s">
        <v>43</v>
      </c>
      <c r="H164" s="2" t="s">
        <v>44</v>
      </c>
      <c r="I164" s="2" t="s">
        <v>43</v>
      </c>
      <c r="J164" s="2" t="s">
        <v>44</v>
      </c>
      <c r="K164" s="2" t="s">
        <v>43</v>
      </c>
      <c r="L164" s="2" t="s">
        <v>44</v>
      </c>
      <c r="M164" s="2">
        <v>4</v>
      </c>
      <c r="N164" s="2"/>
      <c r="O164" s="2">
        <v>4</v>
      </c>
      <c r="P164" s="2"/>
      <c r="Q164" s="2">
        <v>4</v>
      </c>
      <c r="R164" s="2"/>
      <c r="S164" s="2">
        <v>4</v>
      </c>
      <c r="T164" s="2"/>
      <c r="U164" s="2">
        <v>9</v>
      </c>
      <c r="V164" s="2"/>
      <c r="W164" s="2">
        <v>8</v>
      </c>
      <c r="X164" s="2" t="s">
        <v>334</v>
      </c>
      <c r="Y164" s="2">
        <v>7</v>
      </c>
      <c r="Z164" s="2"/>
      <c r="AA164" s="2">
        <v>5</v>
      </c>
      <c r="AB164" s="2"/>
      <c r="AC164" s="2" t="s">
        <v>43</v>
      </c>
      <c r="AD164" s="2" t="s">
        <v>44</v>
      </c>
      <c r="AE164" s="2">
        <v>9</v>
      </c>
      <c r="AF164" s="2"/>
      <c r="AG164" s="2">
        <v>7</v>
      </c>
      <c r="AH164" s="2"/>
    </row>
    <row r="165" spans="1:34">
      <c r="A165" t="s">
        <v>319</v>
      </c>
      <c r="B165" t="s">
        <v>320</v>
      </c>
      <c r="C165" s="2">
        <v>362</v>
      </c>
      <c r="D165" s="2"/>
      <c r="E165" s="2">
        <v>314</v>
      </c>
      <c r="F165" s="2"/>
      <c r="G165" s="2">
        <v>297</v>
      </c>
      <c r="H165" s="2"/>
      <c r="I165" s="2">
        <v>293</v>
      </c>
      <c r="J165" s="2"/>
      <c r="K165" s="2">
        <v>254</v>
      </c>
      <c r="L165" s="2"/>
      <c r="M165" s="2">
        <v>207</v>
      </c>
      <c r="N165" s="2"/>
      <c r="O165" s="2">
        <v>189</v>
      </c>
      <c r="P165" s="2"/>
      <c r="Q165" s="2">
        <v>216</v>
      </c>
      <c r="R165" s="2"/>
      <c r="S165" s="2">
        <v>254</v>
      </c>
      <c r="T165" s="2"/>
      <c r="U165" s="2">
        <v>267</v>
      </c>
      <c r="V165" s="2"/>
      <c r="W165" s="2">
        <v>253</v>
      </c>
      <c r="X165" s="2" t="s">
        <v>334</v>
      </c>
      <c r="Y165" s="2">
        <v>248</v>
      </c>
      <c r="Z165" s="2"/>
      <c r="AA165" s="2">
        <v>257</v>
      </c>
      <c r="AB165" s="2"/>
      <c r="AC165" s="2">
        <v>284</v>
      </c>
      <c r="AD165" s="2"/>
      <c r="AE165" s="2">
        <v>256</v>
      </c>
      <c r="AF165" s="2"/>
      <c r="AG165" s="2">
        <v>260</v>
      </c>
      <c r="AH165" s="2"/>
    </row>
    <row r="166" spans="1:34">
      <c r="A166" t="s">
        <v>321</v>
      </c>
      <c r="B166" t="s">
        <v>322</v>
      </c>
      <c r="C166" s="2">
        <v>299</v>
      </c>
      <c r="D166" s="2"/>
      <c r="E166" s="2">
        <v>260</v>
      </c>
      <c r="F166" s="2"/>
      <c r="G166" s="2">
        <v>223</v>
      </c>
      <c r="H166" s="2"/>
      <c r="I166" s="2">
        <v>229</v>
      </c>
      <c r="J166" s="2"/>
      <c r="K166" s="2">
        <v>189</v>
      </c>
      <c r="L166" s="2"/>
      <c r="M166" s="2">
        <v>158</v>
      </c>
      <c r="N166" s="2"/>
      <c r="O166" s="2">
        <v>144</v>
      </c>
      <c r="P166" s="2"/>
      <c r="Q166" s="2">
        <v>160</v>
      </c>
      <c r="R166" s="2"/>
      <c r="S166" s="2">
        <v>197</v>
      </c>
      <c r="T166" s="2"/>
      <c r="U166" s="2">
        <v>212</v>
      </c>
      <c r="V166" s="2"/>
      <c r="W166" s="2">
        <v>195</v>
      </c>
      <c r="X166" s="2" t="s">
        <v>334</v>
      </c>
      <c r="Y166" s="2">
        <v>199</v>
      </c>
      <c r="Z166" s="2"/>
      <c r="AA166" s="2">
        <v>201</v>
      </c>
      <c r="AB166" s="2"/>
      <c r="AC166" s="2">
        <v>231</v>
      </c>
      <c r="AD166" s="2"/>
      <c r="AE166" s="2">
        <v>193</v>
      </c>
      <c r="AF166" s="2"/>
      <c r="AG166" s="2">
        <v>207</v>
      </c>
      <c r="AH166" s="2"/>
    </row>
    <row r="167" spans="1:34">
      <c r="A167" t="s">
        <v>323</v>
      </c>
      <c r="B167" t="s">
        <v>324</v>
      </c>
      <c r="C167" s="2">
        <v>63</v>
      </c>
      <c r="D167" s="2"/>
      <c r="E167" s="2">
        <v>55</v>
      </c>
      <c r="F167" s="2"/>
      <c r="G167" s="2">
        <v>74</v>
      </c>
      <c r="H167" s="2"/>
      <c r="I167" s="2">
        <v>63</v>
      </c>
      <c r="J167" s="2"/>
      <c r="K167" s="2">
        <v>65</v>
      </c>
      <c r="L167" s="2"/>
      <c r="M167" s="2">
        <v>49</v>
      </c>
      <c r="N167" s="2"/>
      <c r="O167" s="2">
        <v>45</v>
      </c>
      <c r="P167" s="2"/>
      <c r="Q167" s="2">
        <v>56</v>
      </c>
      <c r="R167" s="2"/>
      <c r="S167" s="2">
        <v>58</v>
      </c>
      <c r="T167" s="2"/>
      <c r="U167" s="2">
        <v>55</v>
      </c>
      <c r="V167" s="2"/>
      <c r="W167" s="2">
        <v>57</v>
      </c>
      <c r="X167" s="2" t="s">
        <v>334</v>
      </c>
      <c r="Y167" s="2">
        <v>48</v>
      </c>
      <c r="Z167" s="2"/>
      <c r="AA167" s="2">
        <v>56</v>
      </c>
      <c r="AB167" s="2"/>
      <c r="AC167" s="2">
        <v>53</v>
      </c>
      <c r="AD167" s="2"/>
      <c r="AE167" s="2">
        <v>63</v>
      </c>
      <c r="AF167" s="2"/>
      <c r="AG167" s="2">
        <v>53</v>
      </c>
      <c r="AH167" s="2"/>
    </row>
    <row r="168" spans="1:34">
      <c r="A168" t="s">
        <v>325</v>
      </c>
      <c r="B168" t="s">
        <v>326</v>
      </c>
      <c r="C168" s="2">
        <v>0</v>
      </c>
      <c r="D168" s="2"/>
      <c r="E168" s="2">
        <v>0</v>
      </c>
      <c r="F168" s="2"/>
      <c r="G168" s="2">
        <v>0</v>
      </c>
      <c r="H168" s="2"/>
      <c r="I168" s="2">
        <v>0</v>
      </c>
      <c r="J168" s="2"/>
      <c r="K168" s="2">
        <v>0</v>
      </c>
      <c r="L168" s="2"/>
      <c r="M168" s="2">
        <v>0</v>
      </c>
      <c r="N168" s="2"/>
      <c r="O168" s="2">
        <v>0</v>
      </c>
      <c r="P168" s="2"/>
      <c r="Q168" s="2">
        <v>0</v>
      </c>
      <c r="R168" s="2"/>
      <c r="S168" s="2">
        <v>0</v>
      </c>
      <c r="T168" s="2"/>
      <c r="U168" s="2">
        <v>0</v>
      </c>
      <c r="V168" s="2"/>
      <c r="W168" s="2">
        <v>0</v>
      </c>
      <c r="X168" s="2" t="s">
        <v>334</v>
      </c>
      <c r="Y168" s="2">
        <v>0</v>
      </c>
      <c r="Z168" s="2"/>
      <c r="AA168" s="2">
        <v>0</v>
      </c>
      <c r="AB168" s="2"/>
      <c r="AC168" s="2">
        <v>0</v>
      </c>
      <c r="AD168" s="2"/>
      <c r="AE168" s="2">
        <v>0</v>
      </c>
      <c r="AF168" s="2"/>
      <c r="AG168" s="2">
        <v>0</v>
      </c>
      <c r="AH168" s="2"/>
    </row>
    <row r="169" spans="1:34">
      <c r="A169" t="s">
        <v>327</v>
      </c>
      <c r="B169" t="s">
        <v>328</v>
      </c>
      <c r="C169" s="2">
        <v>0</v>
      </c>
      <c r="D169" s="2"/>
      <c r="E169" s="2">
        <v>0</v>
      </c>
      <c r="F169" s="2"/>
      <c r="G169" s="2">
        <v>0</v>
      </c>
      <c r="H169" s="2"/>
      <c r="I169" s="2">
        <v>0</v>
      </c>
      <c r="J169" s="2"/>
      <c r="K169" s="2">
        <v>0</v>
      </c>
      <c r="L169" s="2"/>
      <c r="M169" s="2">
        <v>0</v>
      </c>
      <c r="N169" s="2"/>
      <c r="O169" s="2">
        <v>0</v>
      </c>
      <c r="P169" s="2"/>
      <c r="Q169" s="2">
        <v>0</v>
      </c>
      <c r="R169" s="2"/>
      <c r="S169" s="2">
        <v>0</v>
      </c>
      <c r="T169" s="2"/>
      <c r="U169" s="2">
        <v>0</v>
      </c>
      <c r="V169" s="2"/>
      <c r="W169" s="2">
        <v>0</v>
      </c>
      <c r="X169" s="2" t="s">
        <v>334</v>
      </c>
      <c r="Y169" s="2">
        <v>0</v>
      </c>
      <c r="Z169" s="2"/>
      <c r="AA169" s="2">
        <v>0</v>
      </c>
      <c r="AB169" s="2"/>
      <c r="AC169" s="2">
        <v>0</v>
      </c>
      <c r="AD169" s="2"/>
      <c r="AE169" s="2">
        <v>0</v>
      </c>
      <c r="AF169" s="2"/>
      <c r="AG169" s="2">
        <v>0</v>
      </c>
      <c r="AH169" s="2"/>
    </row>
    <row r="170" spans="1:34">
      <c r="A170" t="s">
        <v>329</v>
      </c>
      <c r="B170" t="s">
        <v>330</v>
      </c>
      <c r="C170" s="2">
        <v>30</v>
      </c>
      <c r="D170" s="2"/>
      <c r="E170" s="2">
        <v>33</v>
      </c>
      <c r="F170" s="2"/>
      <c r="G170" s="2">
        <v>28</v>
      </c>
      <c r="H170" s="2"/>
      <c r="I170" s="2">
        <v>25</v>
      </c>
      <c r="J170" s="2"/>
      <c r="K170" s="2">
        <v>24</v>
      </c>
      <c r="L170" s="2"/>
      <c r="M170" s="2">
        <v>16</v>
      </c>
      <c r="N170" s="2"/>
      <c r="O170" s="2">
        <v>12</v>
      </c>
      <c r="P170" s="2"/>
      <c r="Q170" s="2">
        <v>18</v>
      </c>
      <c r="R170" s="2"/>
      <c r="S170" s="2">
        <v>20</v>
      </c>
      <c r="T170" s="2"/>
      <c r="U170" s="2">
        <v>20</v>
      </c>
      <c r="V170" s="2"/>
      <c r="W170" s="2">
        <v>24</v>
      </c>
      <c r="X170" s="2" t="s">
        <v>334</v>
      </c>
      <c r="Y170" s="2">
        <v>25</v>
      </c>
      <c r="Z170" s="2"/>
      <c r="AA170" s="2">
        <v>20</v>
      </c>
      <c r="AB170" s="2"/>
      <c r="AC170" s="2">
        <v>21</v>
      </c>
      <c r="AD170" s="2"/>
      <c r="AE170" s="2">
        <v>23</v>
      </c>
      <c r="AF170" s="2"/>
      <c r="AG170" s="2">
        <v>26</v>
      </c>
      <c r="AH170" s="2"/>
    </row>
    <row r="171" spans="1:34">
      <c r="A171" t="s">
        <v>331</v>
      </c>
      <c r="B171" t="s">
        <v>330</v>
      </c>
      <c r="C171" s="2">
        <v>30</v>
      </c>
      <c r="D171" s="2"/>
      <c r="E171" s="2">
        <v>33</v>
      </c>
      <c r="F171" s="2"/>
      <c r="G171" s="2">
        <v>28</v>
      </c>
      <c r="H171" s="2"/>
      <c r="I171" s="2">
        <v>25</v>
      </c>
      <c r="J171" s="2"/>
      <c r="K171" s="2">
        <v>24</v>
      </c>
      <c r="L171" s="2"/>
      <c r="M171" s="2">
        <v>16</v>
      </c>
      <c r="N171" s="2"/>
      <c r="O171" s="2">
        <v>12</v>
      </c>
      <c r="P171" s="2"/>
      <c r="Q171" s="2">
        <v>18</v>
      </c>
      <c r="R171" s="2"/>
      <c r="S171" s="2">
        <v>20</v>
      </c>
      <c r="T171" s="2"/>
      <c r="U171" s="2">
        <v>20</v>
      </c>
      <c r="V171" s="2"/>
      <c r="W171" s="2">
        <v>24</v>
      </c>
      <c r="X171" s="2" t="s">
        <v>334</v>
      </c>
      <c r="Y171" s="2">
        <v>25</v>
      </c>
      <c r="Z171" s="2"/>
      <c r="AA171" s="2">
        <v>20</v>
      </c>
      <c r="AB171" s="2"/>
      <c r="AC171" s="2">
        <v>21</v>
      </c>
      <c r="AD171" s="2"/>
      <c r="AE171" s="2">
        <v>23</v>
      </c>
      <c r="AF171" s="2"/>
      <c r="AG171" s="2">
        <v>26</v>
      </c>
      <c r="AH171" s="2"/>
    </row>
    <row r="172" spans="1:34">
      <c r="A172" t="s">
        <v>884</v>
      </c>
      <c r="B172" t="s">
        <v>68</v>
      </c>
      <c r="C172" s="2" t="s">
        <v>43</v>
      </c>
      <c r="D172" s="2"/>
      <c r="E172" s="2" t="s">
        <v>43</v>
      </c>
      <c r="F172" s="2"/>
      <c r="G172" s="2" t="s">
        <v>43</v>
      </c>
      <c r="H172" s="2"/>
      <c r="I172" s="2" t="s">
        <v>43</v>
      </c>
      <c r="J172" s="2"/>
      <c r="K172" s="2" t="s">
        <v>43</v>
      </c>
      <c r="L172" s="2"/>
      <c r="M172" s="2" t="s">
        <v>43</v>
      </c>
      <c r="N172" s="2"/>
      <c r="O172" s="2" t="s">
        <v>43</v>
      </c>
      <c r="P172" s="2"/>
      <c r="Q172" s="2" t="s">
        <v>43</v>
      </c>
      <c r="R172" s="2"/>
      <c r="S172" s="2" t="s">
        <v>43</v>
      </c>
      <c r="T172" s="2"/>
      <c r="U172" s="2" t="s">
        <v>43</v>
      </c>
      <c r="V172" s="2"/>
      <c r="W172" s="2" t="s">
        <v>43</v>
      </c>
      <c r="X172" s="2"/>
      <c r="Y172" s="2" t="s">
        <v>43</v>
      </c>
      <c r="Z172" s="2"/>
      <c r="AA172" s="2" t="s">
        <v>43</v>
      </c>
      <c r="AB172" s="2"/>
      <c r="AC172" s="2"/>
      <c r="AD172" s="2"/>
      <c r="AE172" s="2"/>
      <c r="AF172" s="2"/>
      <c r="AG172" s="2"/>
      <c r="AH172" s="2"/>
    </row>
    <row r="173" spans="1:34">
      <c r="A173" t="s">
        <v>885</v>
      </c>
      <c r="B173" t="s">
        <v>70</v>
      </c>
      <c r="C173" s="2" t="s">
        <v>43</v>
      </c>
      <c r="D173" s="2"/>
      <c r="E173" s="2" t="s">
        <v>43</v>
      </c>
      <c r="F173" s="2"/>
      <c r="G173" s="2" t="s">
        <v>43</v>
      </c>
      <c r="H173" s="2"/>
      <c r="I173" s="2" t="s">
        <v>43</v>
      </c>
      <c r="J173" s="2"/>
      <c r="K173" s="2" t="s">
        <v>43</v>
      </c>
      <c r="L173" s="2"/>
      <c r="M173" s="2" t="s">
        <v>43</v>
      </c>
      <c r="N173" s="2"/>
      <c r="O173" s="2" t="s">
        <v>43</v>
      </c>
      <c r="P173" s="2"/>
      <c r="Q173" s="2" t="s">
        <v>43</v>
      </c>
      <c r="R173" s="2"/>
      <c r="S173" s="2" t="s">
        <v>43</v>
      </c>
      <c r="T173" s="2"/>
      <c r="U173" s="2" t="s">
        <v>43</v>
      </c>
      <c r="V173" s="2"/>
      <c r="W173" s="2" t="s">
        <v>43</v>
      </c>
      <c r="X173" s="2"/>
      <c r="Y173" s="2" t="s">
        <v>43</v>
      </c>
      <c r="Z173" s="2"/>
      <c r="AA173" s="2" t="s">
        <v>43</v>
      </c>
      <c r="AB173" s="2"/>
      <c r="AC173" s="2"/>
      <c r="AD173" s="2"/>
      <c r="AE173" s="2"/>
      <c r="AF173" s="2"/>
      <c r="AG173" s="2"/>
      <c r="AH173" s="2"/>
    </row>
    <row r="174" spans="1:34">
      <c r="A174" t="s">
        <v>332</v>
      </c>
      <c r="B174" t="s">
        <v>333</v>
      </c>
      <c r="C174" s="2">
        <v>2985</v>
      </c>
      <c r="D174" s="2"/>
      <c r="E174" s="2">
        <v>3033</v>
      </c>
      <c r="F174" s="2"/>
      <c r="G174" s="2">
        <v>2963</v>
      </c>
      <c r="H174" s="2"/>
      <c r="I174" s="2">
        <v>2923</v>
      </c>
      <c r="J174" s="2"/>
      <c r="K174" s="2">
        <v>3164</v>
      </c>
      <c r="L174" s="2"/>
      <c r="M174" s="2">
        <v>3103</v>
      </c>
      <c r="N174" s="2"/>
      <c r="O174" s="2">
        <v>3141</v>
      </c>
      <c r="P174" s="2" t="s">
        <v>334</v>
      </c>
      <c r="Q174" s="2">
        <v>3119</v>
      </c>
      <c r="R174" s="2" t="s">
        <v>334</v>
      </c>
      <c r="S174" s="2">
        <v>3196</v>
      </c>
      <c r="T174" s="2"/>
      <c r="U174" s="2">
        <v>4170</v>
      </c>
      <c r="V174" s="2" t="s">
        <v>334</v>
      </c>
      <c r="W174" s="2">
        <v>4637</v>
      </c>
      <c r="X174" s="2"/>
      <c r="Y174" s="2">
        <v>4747</v>
      </c>
      <c r="Z174" s="2"/>
      <c r="AA174" s="2">
        <v>4891</v>
      </c>
      <c r="AB174" s="2"/>
      <c r="AC174" s="2">
        <v>2679</v>
      </c>
      <c r="AD174" s="2" t="s">
        <v>334</v>
      </c>
      <c r="AE174" s="2">
        <v>2895</v>
      </c>
      <c r="AF174" s="2"/>
      <c r="AG174" s="2">
        <v>3054</v>
      </c>
      <c r="AH174" s="2"/>
    </row>
    <row r="175" spans="1:34">
      <c r="A175" t="s">
        <v>335</v>
      </c>
      <c r="B175" t="s">
        <v>336</v>
      </c>
      <c r="C175" s="2">
        <v>556</v>
      </c>
      <c r="D175" s="2"/>
      <c r="E175" s="2">
        <v>596</v>
      </c>
      <c r="F175" s="2"/>
      <c r="G175" s="2">
        <v>607</v>
      </c>
      <c r="H175" s="2"/>
      <c r="I175" s="2">
        <v>586</v>
      </c>
      <c r="J175" s="2"/>
      <c r="K175" s="2">
        <v>659</v>
      </c>
      <c r="L175" s="2"/>
      <c r="M175" s="2">
        <v>639</v>
      </c>
      <c r="N175" s="2"/>
      <c r="O175" s="2">
        <v>646</v>
      </c>
      <c r="P175" s="2" t="s">
        <v>334</v>
      </c>
      <c r="Q175" s="2">
        <v>653</v>
      </c>
      <c r="R175" s="2" t="s">
        <v>334</v>
      </c>
      <c r="S175" s="2">
        <v>653</v>
      </c>
      <c r="T175" s="2"/>
      <c r="U175" s="2">
        <v>1055</v>
      </c>
      <c r="V175" s="2" t="s">
        <v>334</v>
      </c>
      <c r="W175" s="2">
        <v>1465</v>
      </c>
      <c r="X175" s="2"/>
      <c r="Y175" s="2">
        <v>1533</v>
      </c>
      <c r="Z175" s="2"/>
      <c r="AA175" s="2">
        <v>1539</v>
      </c>
      <c r="AB175" s="2"/>
      <c r="AC175" s="2">
        <v>282</v>
      </c>
      <c r="AD175" s="2" t="s">
        <v>334</v>
      </c>
      <c r="AE175" s="2">
        <v>295</v>
      </c>
      <c r="AF175" s="2"/>
      <c r="AG175" s="2">
        <v>293</v>
      </c>
      <c r="AH175" s="2"/>
    </row>
    <row r="176" spans="1:34">
      <c r="A176" t="s">
        <v>337</v>
      </c>
      <c r="B176" t="s">
        <v>336</v>
      </c>
      <c r="C176" s="2">
        <v>556</v>
      </c>
      <c r="D176" s="2"/>
      <c r="E176" s="2">
        <v>596</v>
      </c>
      <c r="F176" s="2"/>
      <c r="G176" s="2">
        <v>607</v>
      </c>
      <c r="H176" s="2"/>
      <c r="I176" s="2">
        <v>586</v>
      </c>
      <c r="J176" s="2"/>
      <c r="K176" s="2">
        <v>659</v>
      </c>
      <c r="L176" s="2"/>
      <c r="M176" s="2">
        <v>639</v>
      </c>
      <c r="N176" s="2"/>
      <c r="O176" s="2">
        <v>646</v>
      </c>
      <c r="P176" s="2" t="s">
        <v>334</v>
      </c>
      <c r="Q176" s="2">
        <v>653</v>
      </c>
      <c r="R176" s="2" t="s">
        <v>334</v>
      </c>
      <c r="S176" s="2">
        <v>653</v>
      </c>
      <c r="T176" s="2"/>
      <c r="U176" s="2">
        <v>1055</v>
      </c>
      <c r="V176" s="2" t="s">
        <v>334</v>
      </c>
      <c r="W176" s="2">
        <v>1465</v>
      </c>
      <c r="X176" s="2"/>
      <c r="Y176" s="2">
        <v>1533</v>
      </c>
      <c r="Z176" s="2"/>
      <c r="AA176" s="2">
        <v>1539</v>
      </c>
      <c r="AB176" s="2"/>
      <c r="AC176" s="2">
        <v>282</v>
      </c>
      <c r="AD176" s="2" t="s">
        <v>334</v>
      </c>
      <c r="AE176" s="2">
        <v>295</v>
      </c>
      <c r="AF176" s="2"/>
      <c r="AG176" s="2">
        <v>293</v>
      </c>
      <c r="AH176" s="2"/>
    </row>
    <row r="177" spans="1:34">
      <c r="A177" t="s">
        <v>338</v>
      </c>
      <c r="B177" t="s">
        <v>339</v>
      </c>
      <c r="C177" s="2" t="s">
        <v>43</v>
      </c>
      <c r="D177" s="2"/>
      <c r="E177" s="2" t="s">
        <v>43</v>
      </c>
      <c r="F177" s="2"/>
      <c r="G177" s="2" t="s">
        <v>43</v>
      </c>
      <c r="H177" s="2"/>
      <c r="I177" s="2" t="s">
        <v>43</v>
      </c>
      <c r="J177" s="2"/>
      <c r="K177" s="2" t="s">
        <v>43</v>
      </c>
      <c r="L177" s="2"/>
      <c r="M177" s="2" t="s">
        <v>43</v>
      </c>
      <c r="N177" s="2"/>
      <c r="O177" s="2" t="s">
        <v>43</v>
      </c>
      <c r="P177" s="2"/>
      <c r="Q177" s="2" t="s">
        <v>43</v>
      </c>
      <c r="R177" s="2"/>
      <c r="S177" s="2">
        <v>127</v>
      </c>
      <c r="T177" s="2"/>
      <c r="U177" s="2">
        <v>129</v>
      </c>
      <c r="V177" s="2" t="s">
        <v>334</v>
      </c>
      <c r="W177" s="2">
        <v>135</v>
      </c>
      <c r="X177" s="2"/>
      <c r="Y177" s="2">
        <v>176</v>
      </c>
      <c r="Z177" s="2"/>
      <c r="AA177" s="2">
        <v>167</v>
      </c>
      <c r="AB177" s="2"/>
      <c r="AC177" s="2">
        <v>114</v>
      </c>
      <c r="AD177" s="2" t="s">
        <v>334</v>
      </c>
      <c r="AE177" s="2">
        <v>119</v>
      </c>
      <c r="AF177" s="2"/>
      <c r="AG177" s="2">
        <v>129</v>
      </c>
      <c r="AH177" s="2"/>
    </row>
    <row r="178" spans="1:34">
      <c r="A178" t="s">
        <v>340</v>
      </c>
      <c r="B178" t="s">
        <v>339</v>
      </c>
      <c r="C178" s="2" t="s">
        <v>43</v>
      </c>
      <c r="D178" s="2"/>
      <c r="E178" s="2" t="s">
        <v>43</v>
      </c>
      <c r="F178" s="2"/>
      <c r="G178" s="2" t="s">
        <v>43</v>
      </c>
      <c r="H178" s="2"/>
      <c r="I178" s="2" t="s">
        <v>43</v>
      </c>
      <c r="J178" s="2"/>
      <c r="K178" s="2" t="s">
        <v>43</v>
      </c>
      <c r="L178" s="2"/>
      <c r="M178" s="2" t="s">
        <v>43</v>
      </c>
      <c r="N178" s="2"/>
      <c r="O178" s="2" t="s">
        <v>43</v>
      </c>
      <c r="P178" s="2"/>
      <c r="Q178" s="2" t="s">
        <v>43</v>
      </c>
      <c r="R178" s="2"/>
      <c r="S178" s="2">
        <v>127</v>
      </c>
      <c r="T178" s="2"/>
      <c r="U178" s="2">
        <v>129</v>
      </c>
      <c r="V178" s="2" t="s">
        <v>334</v>
      </c>
      <c r="W178" s="2">
        <v>135</v>
      </c>
      <c r="X178" s="2"/>
      <c r="Y178" s="2">
        <v>176</v>
      </c>
      <c r="Z178" s="2"/>
      <c r="AA178" s="2">
        <v>167</v>
      </c>
      <c r="AB178" s="2"/>
      <c r="AC178" s="2">
        <v>114</v>
      </c>
      <c r="AD178" s="2" t="s">
        <v>334</v>
      </c>
      <c r="AE178" s="2">
        <v>119</v>
      </c>
      <c r="AF178" s="2"/>
      <c r="AG178" s="2">
        <v>129</v>
      </c>
      <c r="AH178" s="2"/>
    </row>
    <row r="179" spans="1:34">
      <c r="A179" t="s">
        <v>341</v>
      </c>
      <c r="B179" t="s">
        <v>342</v>
      </c>
      <c r="C179" s="2" t="s">
        <v>43</v>
      </c>
      <c r="D179" s="2"/>
      <c r="E179" s="2" t="s">
        <v>43</v>
      </c>
      <c r="F179" s="2"/>
      <c r="G179" s="2" t="s">
        <v>43</v>
      </c>
      <c r="H179" s="2"/>
      <c r="I179" s="2" t="s">
        <v>43</v>
      </c>
      <c r="J179" s="2"/>
      <c r="K179" s="2" t="s">
        <v>43</v>
      </c>
      <c r="L179" s="2"/>
      <c r="M179" s="2" t="s">
        <v>43</v>
      </c>
      <c r="N179" s="2"/>
      <c r="O179" s="2" t="s">
        <v>43</v>
      </c>
      <c r="P179" s="2"/>
      <c r="Q179" s="2" t="s">
        <v>43</v>
      </c>
      <c r="R179" s="2"/>
      <c r="S179" s="2">
        <v>151</v>
      </c>
      <c r="T179" s="2"/>
      <c r="U179" s="2">
        <v>146</v>
      </c>
      <c r="V179" s="2" t="s">
        <v>334</v>
      </c>
      <c r="W179" s="2">
        <v>162</v>
      </c>
      <c r="X179" s="2"/>
      <c r="Y179" s="2">
        <v>160</v>
      </c>
      <c r="Z179" s="2"/>
      <c r="AA179" s="2">
        <v>173</v>
      </c>
      <c r="AB179" s="2"/>
      <c r="AC179" s="2">
        <v>149</v>
      </c>
      <c r="AD179" s="2" t="s">
        <v>334</v>
      </c>
      <c r="AE179" s="2">
        <v>156</v>
      </c>
      <c r="AF179" s="2"/>
      <c r="AG179" s="2">
        <v>171</v>
      </c>
      <c r="AH179" s="2"/>
    </row>
    <row r="180" spans="1:34">
      <c r="A180" t="s">
        <v>343</v>
      </c>
      <c r="B180" t="s">
        <v>344</v>
      </c>
      <c r="C180" s="2" t="s">
        <v>43</v>
      </c>
      <c r="D180" s="2"/>
      <c r="E180" s="2" t="s">
        <v>43</v>
      </c>
      <c r="F180" s="2"/>
      <c r="G180" s="2" t="s">
        <v>43</v>
      </c>
      <c r="H180" s="2"/>
      <c r="I180" s="2" t="s">
        <v>43</v>
      </c>
      <c r="J180" s="2"/>
      <c r="K180" s="2" t="s">
        <v>43</v>
      </c>
      <c r="L180" s="2"/>
      <c r="M180" s="2" t="s">
        <v>43</v>
      </c>
      <c r="N180" s="2"/>
      <c r="O180" s="2" t="s">
        <v>43</v>
      </c>
      <c r="P180" s="2"/>
      <c r="Q180" s="2" t="s">
        <v>43</v>
      </c>
      <c r="R180" s="2"/>
      <c r="S180" s="2">
        <v>85</v>
      </c>
      <c r="T180" s="2"/>
      <c r="U180" s="2">
        <v>88</v>
      </c>
      <c r="V180" s="2" t="s">
        <v>334</v>
      </c>
      <c r="W180" s="2">
        <v>93</v>
      </c>
      <c r="X180" s="2"/>
      <c r="Y180" s="2">
        <v>89</v>
      </c>
      <c r="Z180" s="2"/>
      <c r="AA180" s="2">
        <v>110</v>
      </c>
      <c r="AB180" s="2"/>
      <c r="AC180" s="2">
        <v>82</v>
      </c>
      <c r="AD180" s="2" t="s">
        <v>334</v>
      </c>
      <c r="AE180" s="2">
        <v>83</v>
      </c>
      <c r="AF180" s="2"/>
      <c r="AG180" s="2">
        <v>97</v>
      </c>
      <c r="AH180" s="2"/>
    </row>
    <row r="181" spans="1:34">
      <c r="A181" t="s">
        <v>345</v>
      </c>
      <c r="B181" t="s">
        <v>346</v>
      </c>
      <c r="C181" s="2" t="s">
        <v>43</v>
      </c>
      <c r="D181" s="2"/>
      <c r="E181" s="2" t="s">
        <v>43</v>
      </c>
      <c r="F181" s="2"/>
      <c r="G181" s="2" t="s">
        <v>43</v>
      </c>
      <c r="H181" s="2"/>
      <c r="I181" s="2" t="s">
        <v>43</v>
      </c>
      <c r="J181" s="2"/>
      <c r="K181" s="2" t="s">
        <v>43</v>
      </c>
      <c r="L181" s="2"/>
      <c r="M181" s="2" t="s">
        <v>43</v>
      </c>
      <c r="N181" s="2"/>
      <c r="O181" s="2" t="s">
        <v>43</v>
      </c>
      <c r="P181" s="2"/>
      <c r="Q181" s="2" t="s">
        <v>43</v>
      </c>
      <c r="R181" s="2"/>
      <c r="S181" s="2">
        <v>66</v>
      </c>
      <c r="T181" s="2"/>
      <c r="U181" s="2">
        <v>58</v>
      </c>
      <c r="V181" s="2" t="s">
        <v>334</v>
      </c>
      <c r="W181" s="2">
        <v>69</v>
      </c>
      <c r="X181" s="2"/>
      <c r="Y181" s="2">
        <v>71</v>
      </c>
      <c r="Z181" s="2"/>
      <c r="AA181" s="2">
        <v>63</v>
      </c>
      <c r="AB181" s="2"/>
      <c r="AC181" s="2">
        <v>67</v>
      </c>
      <c r="AD181" s="2" t="s">
        <v>334</v>
      </c>
      <c r="AE181" s="2">
        <v>73</v>
      </c>
      <c r="AF181" s="2"/>
      <c r="AG181" s="2">
        <v>74</v>
      </c>
      <c r="AH181" s="2"/>
    </row>
    <row r="182" spans="1:34">
      <c r="A182" t="s">
        <v>347</v>
      </c>
      <c r="B182" t="s">
        <v>348</v>
      </c>
      <c r="C182" s="2" t="s">
        <v>43</v>
      </c>
      <c r="D182" s="2"/>
      <c r="E182" s="2" t="s">
        <v>43</v>
      </c>
      <c r="F182" s="2"/>
      <c r="G182" s="2" t="s">
        <v>43</v>
      </c>
      <c r="H182" s="2"/>
      <c r="I182" s="2" t="s">
        <v>43</v>
      </c>
      <c r="J182" s="2"/>
      <c r="K182" s="2" t="s">
        <v>43</v>
      </c>
      <c r="L182" s="2"/>
      <c r="M182" s="2" t="s">
        <v>43</v>
      </c>
      <c r="N182" s="2"/>
      <c r="O182" s="2" t="s">
        <v>43</v>
      </c>
      <c r="P182" s="2"/>
      <c r="Q182" s="2" t="s">
        <v>43</v>
      </c>
      <c r="R182" s="2"/>
      <c r="S182" s="2">
        <v>153</v>
      </c>
      <c r="T182" s="2"/>
      <c r="U182" s="2">
        <v>159</v>
      </c>
      <c r="V182" s="2" t="s">
        <v>334</v>
      </c>
      <c r="W182" s="2">
        <v>162</v>
      </c>
      <c r="X182" s="2"/>
      <c r="Y182" s="2">
        <v>157</v>
      </c>
      <c r="Z182" s="2"/>
      <c r="AA182" s="2">
        <v>163</v>
      </c>
      <c r="AB182" s="2"/>
      <c r="AC182" s="2">
        <v>153</v>
      </c>
      <c r="AD182" s="2" t="s">
        <v>334</v>
      </c>
      <c r="AE182" s="2">
        <v>158</v>
      </c>
      <c r="AF182" s="2"/>
      <c r="AG182" s="2">
        <v>169</v>
      </c>
      <c r="AH182" s="2"/>
    </row>
    <row r="183" spans="1:34">
      <c r="A183" t="s">
        <v>349</v>
      </c>
      <c r="B183" t="s">
        <v>350</v>
      </c>
      <c r="C183" s="2" t="s">
        <v>43</v>
      </c>
      <c r="D183" s="2"/>
      <c r="E183" s="2" t="s">
        <v>43</v>
      </c>
      <c r="F183" s="2"/>
      <c r="G183" s="2" t="s">
        <v>43</v>
      </c>
      <c r="H183" s="2"/>
      <c r="I183" s="2" t="s">
        <v>43</v>
      </c>
      <c r="J183" s="2"/>
      <c r="K183" s="2" t="s">
        <v>43</v>
      </c>
      <c r="L183" s="2"/>
      <c r="M183" s="2" t="s">
        <v>43</v>
      </c>
      <c r="N183" s="2"/>
      <c r="O183" s="2" t="s">
        <v>43</v>
      </c>
      <c r="P183" s="2"/>
      <c r="Q183" s="2" t="s">
        <v>43</v>
      </c>
      <c r="R183" s="2"/>
      <c r="S183" s="2">
        <v>79</v>
      </c>
      <c r="T183" s="2"/>
      <c r="U183" s="2">
        <v>75</v>
      </c>
      <c r="V183" s="2" t="s">
        <v>334</v>
      </c>
      <c r="W183" s="2">
        <v>86</v>
      </c>
      <c r="X183" s="2"/>
      <c r="Y183" s="2">
        <v>91</v>
      </c>
      <c r="Z183" s="2"/>
      <c r="AA183" s="2">
        <v>98</v>
      </c>
      <c r="AB183" s="2"/>
      <c r="AC183" s="2">
        <v>99</v>
      </c>
      <c r="AD183" s="2" t="s">
        <v>334</v>
      </c>
      <c r="AE183" s="2">
        <v>103</v>
      </c>
      <c r="AF183" s="2"/>
      <c r="AG183" s="2">
        <v>109</v>
      </c>
      <c r="AH183" s="2"/>
    </row>
    <row r="184" spans="1:34">
      <c r="A184" t="s">
        <v>351</v>
      </c>
      <c r="B184" t="s">
        <v>352</v>
      </c>
      <c r="C184" s="2" t="s">
        <v>43</v>
      </c>
      <c r="D184" s="2"/>
      <c r="E184" s="2" t="s">
        <v>43</v>
      </c>
      <c r="F184" s="2"/>
      <c r="G184" s="2" t="s">
        <v>43</v>
      </c>
      <c r="H184" s="2"/>
      <c r="I184" s="2" t="s">
        <v>43</v>
      </c>
      <c r="J184" s="2"/>
      <c r="K184" s="2" t="s">
        <v>43</v>
      </c>
      <c r="L184" s="2"/>
      <c r="M184" s="2" t="s">
        <v>43</v>
      </c>
      <c r="N184" s="2"/>
      <c r="O184" s="2" t="s">
        <v>43</v>
      </c>
      <c r="P184" s="2"/>
      <c r="Q184" s="2" t="s">
        <v>43</v>
      </c>
      <c r="R184" s="2"/>
      <c r="S184" s="2">
        <v>74</v>
      </c>
      <c r="T184" s="2"/>
      <c r="U184" s="2">
        <v>84</v>
      </c>
      <c r="V184" s="2" t="s">
        <v>334</v>
      </c>
      <c r="W184" s="2">
        <v>76</v>
      </c>
      <c r="X184" s="2"/>
      <c r="Y184" s="2">
        <v>66</v>
      </c>
      <c r="Z184" s="2"/>
      <c r="AA184" s="2">
        <v>65</v>
      </c>
      <c r="AB184" s="2"/>
      <c r="AC184" s="2">
        <v>54</v>
      </c>
      <c r="AD184" s="2" t="s">
        <v>334</v>
      </c>
      <c r="AE184" s="2">
        <v>55</v>
      </c>
      <c r="AF184" s="2"/>
      <c r="AG184" s="2">
        <v>60</v>
      </c>
      <c r="AH184" s="2"/>
    </row>
    <row r="185" spans="1:34">
      <c r="A185" t="s">
        <v>353</v>
      </c>
      <c r="B185" t="s">
        <v>354</v>
      </c>
      <c r="C185" s="2" t="s">
        <v>43</v>
      </c>
      <c r="D185" s="2"/>
      <c r="E185" s="2" t="s">
        <v>43</v>
      </c>
      <c r="F185" s="2"/>
      <c r="G185" s="2" t="s">
        <v>43</v>
      </c>
      <c r="H185" s="2"/>
      <c r="I185" s="2" t="s">
        <v>43</v>
      </c>
      <c r="J185" s="2"/>
      <c r="K185" s="2" t="s">
        <v>43</v>
      </c>
      <c r="L185" s="2"/>
      <c r="M185" s="2" t="s">
        <v>43</v>
      </c>
      <c r="N185" s="2"/>
      <c r="O185" s="2" t="s">
        <v>43</v>
      </c>
      <c r="P185" s="2"/>
      <c r="Q185" s="2" t="s">
        <v>43</v>
      </c>
      <c r="R185" s="2"/>
      <c r="S185" s="2">
        <v>219</v>
      </c>
      <c r="T185" s="2"/>
      <c r="U185" s="2">
        <v>242</v>
      </c>
      <c r="V185" s="2" t="s">
        <v>334</v>
      </c>
      <c r="W185" s="2">
        <v>257</v>
      </c>
      <c r="X185" s="2"/>
      <c r="Y185" s="2">
        <v>241</v>
      </c>
      <c r="Z185" s="2"/>
      <c r="AA185" s="2">
        <v>264</v>
      </c>
      <c r="AB185" s="2"/>
      <c r="AC185" s="2">
        <v>216</v>
      </c>
      <c r="AD185" s="2" t="s">
        <v>334</v>
      </c>
      <c r="AE185" s="2">
        <v>226</v>
      </c>
      <c r="AF185" s="2"/>
      <c r="AG185" s="2">
        <v>228</v>
      </c>
      <c r="AH185" s="2"/>
    </row>
    <row r="186" spans="1:34">
      <c r="A186" t="s">
        <v>355</v>
      </c>
      <c r="B186" t="s">
        <v>356</v>
      </c>
      <c r="C186" s="2" t="s">
        <v>43</v>
      </c>
      <c r="D186" s="2"/>
      <c r="E186" s="2" t="s">
        <v>43</v>
      </c>
      <c r="F186" s="2"/>
      <c r="G186" s="2" t="s">
        <v>43</v>
      </c>
      <c r="H186" s="2"/>
      <c r="I186" s="2" t="s">
        <v>43</v>
      </c>
      <c r="J186" s="2"/>
      <c r="K186" s="2" t="s">
        <v>43</v>
      </c>
      <c r="L186" s="2"/>
      <c r="M186" s="2" t="s">
        <v>43</v>
      </c>
      <c r="N186" s="2"/>
      <c r="O186" s="2" t="s">
        <v>43</v>
      </c>
      <c r="P186" s="2"/>
      <c r="Q186" s="2" t="s">
        <v>43</v>
      </c>
      <c r="R186" s="2"/>
      <c r="S186" s="2">
        <v>146</v>
      </c>
      <c r="T186" s="2"/>
      <c r="U186" s="2">
        <v>171</v>
      </c>
      <c r="V186" s="2" t="s">
        <v>334</v>
      </c>
      <c r="W186" s="2">
        <v>185</v>
      </c>
      <c r="X186" s="2"/>
      <c r="Y186" s="2">
        <v>168</v>
      </c>
      <c r="Z186" s="2"/>
      <c r="AA186" s="2">
        <v>181</v>
      </c>
      <c r="AB186" s="2"/>
      <c r="AC186" s="2">
        <v>150</v>
      </c>
      <c r="AD186" s="2" t="s">
        <v>334</v>
      </c>
      <c r="AE186" s="2">
        <v>161</v>
      </c>
      <c r="AF186" s="2"/>
      <c r="AG186" s="2">
        <v>164</v>
      </c>
      <c r="AH186" s="2"/>
    </row>
    <row r="187" spans="1:34">
      <c r="A187" t="s">
        <v>357</v>
      </c>
      <c r="B187" t="s">
        <v>358</v>
      </c>
      <c r="C187" s="2" t="s">
        <v>43</v>
      </c>
      <c r="D187" s="2"/>
      <c r="E187" s="2" t="s">
        <v>43</v>
      </c>
      <c r="F187" s="2"/>
      <c r="G187" s="2" t="s">
        <v>43</v>
      </c>
      <c r="H187" s="2"/>
      <c r="I187" s="2" t="s">
        <v>43</v>
      </c>
      <c r="J187" s="2"/>
      <c r="K187" s="2" t="s">
        <v>43</v>
      </c>
      <c r="L187" s="2"/>
      <c r="M187" s="2" t="s">
        <v>43</v>
      </c>
      <c r="N187" s="2"/>
      <c r="O187" s="2" t="s">
        <v>43</v>
      </c>
      <c r="P187" s="2"/>
      <c r="Q187" s="2" t="s">
        <v>43</v>
      </c>
      <c r="R187" s="2"/>
      <c r="S187" s="2">
        <v>73</v>
      </c>
      <c r="T187" s="2"/>
      <c r="U187" s="2">
        <v>71</v>
      </c>
      <c r="V187" s="2" t="s">
        <v>334</v>
      </c>
      <c r="W187" s="2">
        <v>72</v>
      </c>
      <c r="X187" s="2"/>
      <c r="Y187" s="2">
        <v>73</v>
      </c>
      <c r="Z187" s="2"/>
      <c r="AA187" s="2">
        <v>83</v>
      </c>
      <c r="AB187" s="2"/>
      <c r="AC187" s="2">
        <v>66</v>
      </c>
      <c r="AD187" s="2" t="s">
        <v>334</v>
      </c>
      <c r="AE187" s="2">
        <v>65</v>
      </c>
      <c r="AF187" s="2"/>
      <c r="AG187" s="2">
        <v>64</v>
      </c>
      <c r="AH187" s="2"/>
    </row>
    <row r="188" spans="1:34">
      <c r="A188" t="s">
        <v>359</v>
      </c>
      <c r="B188" t="s">
        <v>360</v>
      </c>
      <c r="C188" s="2" t="s">
        <v>43</v>
      </c>
      <c r="D188" s="2"/>
      <c r="E188" s="2" t="s">
        <v>43</v>
      </c>
      <c r="F188" s="2"/>
      <c r="G188" s="2" t="s">
        <v>43</v>
      </c>
      <c r="H188" s="2"/>
      <c r="I188" s="2" t="s">
        <v>43</v>
      </c>
      <c r="J188" s="2"/>
      <c r="K188" s="2" t="s">
        <v>43</v>
      </c>
      <c r="L188" s="2"/>
      <c r="M188" s="2" t="s">
        <v>43</v>
      </c>
      <c r="N188" s="2"/>
      <c r="O188" s="2" t="s">
        <v>43</v>
      </c>
      <c r="P188" s="2"/>
      <c r="Q188" s="2" t="s">
        <v>43</v>
      </c>
      <c r="R188" s="2"/>
      <c r="S188" s="2">
        <v>254</v>
      </c>
      <c r="T188" s="2"/>
      <c r="U188" s="2">
        <v>285</v>
      </c>
      <c r="V188" s="2" t="s">
        <v>334</v>
      </c>
      <c r="W188" s="2">
        <v>287</v>
      </c>
      <c r="X188" s="2"/>
      <c r="Y188" s="2">
        <v>284</v>
      </c>
      <c r="Z188" s="2"/>
      <c r="AA188" s="2">
        <v>274</v>
      </c>
      <c r="AB188" s="2"/>
      <c r="AC188" s="2">
        <v>202</v>
      </c>
      <c r="AD188" s="2" t="s">
        <v>334</v>
      </c>
      <c r="AE188" s="2">
        <v>214</v>
      </c>
      <c r="AF188" s="2"/>
      <c r="AG188" s="2">
        <v>227</v>
      </c>
      <c r="AH188" s="2"/>
    </row>
    <row r="189" spans="1:34">
      <c r="A189" t="s">
        <v>361</v>
      </c>
      <c r="B189" t="s">
        <v>362</v>
      </c>
      <c r="C189" s="2" t="s">
        <v>43</v>
      </c>
      <c r="D189" s="2"/>
      <c r="E189" s="2" t="s">
        <v>43</v>
      </c>
      <c r="F189" s="2"/>
      <c r="G189" s="2" t="s">
        <v>43</v>
      </c>
      <c r="H189" s="2"/>
      <c r="I189" s="2" t="s">
        <v>43</v>
      </c>
      <c r="J189" s="2"/>
      <c r="K189" s="2" t="s">
        <v>43</v>
      </c>
      <c r="L189" s="2"/>
      <c r="M189" s="2" t="s">
        <v>43</v>
      </c>
      <c r="N189" s="2"/>
      <c r="O189" s="2" t="s">
        <v>43</v>
      </c>
      <c r="P189" s="2"/>
      <c r="Q189" s="2" t="s">
        <v>43</v>
      </c>
      <c r="R189" s="2"/>
      <c r="S189" s="2">
        <v>84</v>
      </c>
      <c r="T189" s="2"/>
      <c r="U189" s="2">
        <v>104</v>
      </c>
      <c r="V189" s="2" t="s">
        <v>334</v>
      </c>
      <c r="W189" s="2">
        <v>109</v>
      </c>
      <c r="X189" s="2"/>
      <c r="Y189" s="2">
        <v>108</v>
      </c>
      <c r="Z189" s="2"/>
      <c r="AA189" s="2">
        <v>96</v>
      </c>
      <c r="AB189" s="2"/>
      <c r="AC189" s="2">
        <v>70</v>
      </c>
      <c r="AD189" s="2" t="s">
        <v>334</v>
      </c>
      <c r="AE189" s="2">
        <v>78</v>
      </c>
      <c r="AF189" s="2"/>
      <c r="AG189" s="2">
        <v>84</v>
      </c>
      <c r="AH189" s="2"/>
    </row>
    <row r="190" spans="1:34">
      <c r="A190" t="s">
        <v>363</v>
      </c>
      <c r="B190" t="s">
        <v>364</v>
      </c>
      <c r="C190" s="2" t="s">
        <v>43</v>
      </c>
      <c r="D190" s="2"/>
      <c r="E190" s="2" t="s">
        <v>43</v>
      </c>
      <c r="F190" s="2"/>
      <c r="G190" s="2" t="s">
        <v>43</v>
      </c>
      <c r="H190" s="2"/>
      <c r="I190" s="2" t="s">
        <v>43</v>
      </c>
      <c r="J190" s="2"/>
      <c r="K190" s="2" t="s">
        <v>43</v>
      </c>
      <c r="L190" s="2"/>
      <c r="M190" s="2" t="s">
        <v>43</v>
      </c>
      <c r="N190" s="2"/>
      <c r="O190" s="2" t="s">
        <v>43</v>
      </c>
      <c r="P190" s="2"/>
      <c r="Q190" s="2" t="s">
        <v>43</v>
      </c>
      <c r="R190" s="2"/>
      <c r="S190" s="2">
        <v>49</v>
      </c>
      <c r="T190" s="2"/>
      <c r="U190" s="2">
        <v>54</v>
      </c>
      <c r="V190" s="2" t="s">
        <v>334</v>
      </c>
      <c r="W190" s="2">
        <v>47</v>
      </c>
      <c r="X190" s="2"/>
      <c r="Y190" s="2">
        <v>40</v>
      </c>
      <c r="Z190" s="2"/>
      <c r="AA190" s="2">
        <v>42</v>
      </c>
      <c r="AB190" s="2"/>
      <c r="AC190" s="2">
        <v>43</v>
      </c>
      <c r="AD190" s="2" t="s">
        <v>334</v>
      </c>
      <c r="AE190" s="2">
        <v>41</v>
      </c>
      <c r="AF190" s="2"/>
      <c r="AG190" s="2">
        <v>43</v>
      </c>
      <c r="AH190" s="2"/>
    </row>
    <row r="191" spans="1:34">
      <c r="A191" t="s">
        <v>365</v>
      </c>
      <c r="B191" t="s">
        <v>366</v>
      </c>
      <c r="C191" s="2" t="s">
        <v>43</v>
      </c>
      <c r="D191" s="2"/>
      <c r="E191" s="2" t="s">
        <v>43</v>
      </c>
      <c r="F191" s="2"/>
      <c r="G191" s="2" t="s">
        <v>43</v>
      </c>
      <c r="H191" s="2"/>
      <c r="I191" s="2" t="s">
        <v>43</v>
      </c>
      <c r="J191" s="2"/>
      <c r="K191" s="2" t="s">
        <v>43</v>
      </c>
      <c r="L191" s="2"/>
      <c r="M191" s="2" t="s">
        <v>43</v>
      </c>
      <c r="N191" s="2"/>
      <c r="O191" s="2" t="s">
        <v>43</v>
      </c>
      <c r="P191" s="2"/>
      <c r="Q191" s="2" t="s">
        <v>43</v>
      </c>
      <c r="R191" s="2"/>
      <c r="S191" s="2">
        <v>121</v>
      </c>
      <c r="T191" s="2"/>
      <c r="U191" s="2">
        <v>127</v>
      </c>
      <c r="V191" s="2" t="s">
        <v>334</v>
      </c>
      <c r="W191" s="2">
        <v>131</v>
      </c>
      <c r="X191" s="2"/>
      <c r="Y191" s="2">
        <v>136</v>
      </c>
      <c r="Z191" s="2"/>
      <c r="AA191" s="2">
        <v>136</v>
      </c>
      <c r="AB191" s="2"/>
      <c r="AC191" s="2">
        <v>89</v>
      </c>
      <c r="AD191" s="2" t="s">
        <v>334</v>
      </c>
      <c r="AE191" s="2">
        <v>95</v>
      </c>
      <c r="AF191" s="2"/>
      <c r="AG191" s="2">
        <v>100</v>
      </c>
      <c r="AH191" s="2"/>
    </row>
    <row r="192" spans="1:34">
      <c r="A192" t="s">
        <v>367</v>
      </c>
      <c r="B192" t="s">
        <v>368</v>
      </c>
      <c r="C192" s="2" t="s">
        <v>43</v>
      </c>
      <c r="D192" s="2"/>
      <c r="E192" s="2" t="s">
        <v>43</v>
      </c>
      <c r="F192" s="2"/>
      <c r="G192" s="2" t="s">
        <v>43</v>
      </c>
      <c r="H192" s="2"/>
      <c r="I192" s="2" t="s">
        <v>43</v>
      </c>
      <c r="J192" s="2"/>
      <c r="K192" s="2" t="s">
        <v>43</v>
      </c>
      <c r="L192" s="2"/>
      <c r="M192" s="2" t="s">
        <v>43</v>
      </c>
      <c r="N192" s="2"/>
      <c r="O192" s="2" t="s">
        <v>43</v>
      </c>
      <c r="P192" s="2"/>
      <c r="Q192" s="2" t="s">
        <v>43</v>
      </c>
      <c r="R192" s="2"/>
      <c r="S192" s="2">
        <v>259</v>
      </c>
      <c r="T192" s="2"/>
      <c r="U192" s="2">
        <v>342</v>
      </c>
      <c r="V192" s="2" t="s">
        <v>334</v>
      </c>
      <c r="W192" s="2">
        <v>314</v>
      </c>
      <c r="X192" s="2"/>
      <c r="Y192" s="2">
        <v>307</v>
      </c>
      <c r="Z192" s="2"/>
      <c r="AA192" s="2">
        <v>316</v>
      </c>
      <c r="AB192" s="2"/>
      <c r="AC192" s="2">
        <v>227</v>
      </c>
      <c r="AD192" s="2" t="s">
        <v>334</v>
      </c>
      <c r="AE192" s="2">
        <v>262</v>
      </c>
      <c r="AF192" s="2"/>
      <c r="AG192" s="2">
        <v>274</v>
      </c>
      <c r="AH192" s="2"/>
    </row>
    <row r="193" spans="1:34">
      <c r="A193" t="s">
        <v>369</v>
      </c>
      <c r="B193" t="s">
        <v>368</v>
      </c>
      <c r="C193" s="2" t="s">
        <v>43</v>
      </c>
      <c r="D193" s="2"/>
      <c r="E193" s="2" t="s">
        <v>43</v>
      </c>
      <c r="F193" s="2"/>
      <c r="G193" s="2" t="s">
        <v>43</v>
      </c>
      <c r="H193" s="2"/>
      <c r="I193" s="2" t="s">
        <v>43</v>
      </c>
      <c r="J193" s="2"/>
      <c r="K193" s="2" t="s">
        <v>43</v>
      </c>
      <c r="L193" s="2"/>
      <c r="M193" s="2" t="s">
        <v>43</v>
      </c>
      <c r="N193" s="2"/>
      <c r="O193" s="2" t="s">
        <v>43</v>
      </c>
      <c r="P193" s="2"/>
      <c r="Q193" s="2" t="s">
        <v>43</v>
      </c>
      <c r="R193" s="2"/>
      <c r="S193" s="2">
        <v>259</v>
      </c>
      <c r="T193" s="2"/>
      <c r="U193" s="2">
        <v>342</v>
      </c>
      <c r="V193" s="2" t="s">
        <v>334</v>
      </c>
      <c r="W193" s="2">
        <v>314</v>
      </c>
      <c r="X193" s="2"/>
      <c r="Y193" s="2">
        <v>307</v>
      </c>
      <c r="Z193" s="2"/>
      <c r="AA193" s="2">
        <v>316</v>
      </c>
      <c r="AB193" s="2"/>
      <c r="AC193" s="2">
        <v>227</v>
      </c>
      <c r="AD193" s="2" t="s">
        <v>334</v>
      </c>
      <c r="AE193" s="2">
        <v>262</v>
      </c>
      <c r="AF193" s="2"/>
      <c r="AG193" s="2">
        <v>274</v>
      </c>
      <c r="AH193" s="2"/>
    </row>
    <row r="194" spans="1:34">
      <c r="A194" t="s">
        <v>370</v>
      </c>
      <c r="B194" t="s">
        <v>371</v>
      </c>
      <c r="C194" s="2" t="s">
        <v>43</v>
      </c>
      <c r="D194" s="2"/>
      <c r="E194" s="2" t="s">
        <v>43</v>
      </c>
      <c r="F194" s="2"/>
      <c r="G194" s="2" t="s">
        <v>43</v>
      </c>
      <c r="H194" s="2"/>
      <c r="I194" s="2" t="s">
        <v>43</v>
      </c>
      <c r="J194" s="2"/>
      <c r="K194" s="2" t="s">
        <v>43</v>
      </c>
      <c r="L194" s="2"/>
      <c r="M194" s="2" t="s">
        <v>43</v>
      </c>
      <c r="N194" s="2"/>
      <c r="O194" s="2" t="s">
        <v>43</v>
      </c>
      <c r="P194" s="2"/>
      <c r="Q194" s="2" t="s">
        <v>43</v>
      </c>
      <c r="R194" s="2"/>
      <c r="S194" s="2">
        <v>134</v>
      </c>
      <c r="T194" s="2"/>
      <c r="U194" s="2">
        <v>136</v>
      </c>
      <c r="V194" s="2" t="s">
        <v>334</v>
      </c>
      <c r="W194" s="2">
        <v>149</v>
      </c>
      <c r="X194" s="2"/>
      <c r="Y194" s="2">
        <v>169</v>
      </c>
      <c r="Z194" s="2"/>
      <c r="AA194" s="2">
        <v>168</v>
      </c>
      <c r="AB194" s="2"/>
      <c r="AC194" s="2">
        <v>145</v>
      </c>
      <c r="AD194" s="2" t="s">
        <v>334</v>
      </c>
      <c r="AE194" s="2">
        <v>158</v>
      </c>
      <c r="AF194" s="2"/>
      <c r="AG194" s="2">
        <v>169</v>
      </c>
      <c r="AH194" s="2"/>
    </row>
    <row r="195" spans="1:34">
      <c r="A195" t="s">
        <v>372</v>
      </c>
      <c r="B195" t="s">
        <v>371</v>
      </c>
      <c r="C195" s="2" t="s">
        <v>43</v>
      </c>
      <c r="D195" s="2"/>
      <c r="E195" s="2" t="s">
        <v>43</v>
      </c>
      <c r="F195" s="2"/>
      <c r="G195" s="2" t="s">
        <v>43</v>
      </c>
      <c r="H195" s="2"/>
      <c r="I195" s="2" t="s">
        <v>43</v>
      </c>
      <c r="J195" s="2"/>
      <c r="K195" s="2" t="s">
        <v>43</v>
      </c>
      <c r="L195" s="2"/>
      <c r="M195" s="2" t="s">
        <v>43</v>
      </c>
      <c r="N195" s="2"/>
      <c r="O195" s="2" t="s">
        <v>43</v>
      </c>
      <c r="P195" s="2"/>
      <c r="Q195" s="2" t="s">
        <v>43</v>
      </c>
      <c r="R195" s="2"/>
      <c r="S195" s="2">
        <v>134</v>
      </c>
      <c r="T195" s="2"/>
      <c r="U195" s="2">
        <v>136</v>
      </c>
      <c r="V195" s="2" t="s">
        <v>334</v>
      </c>
      <c r="W195" s="2">
        <v>149</v>
      </c>
      <c r="X195" s="2"/>
      <c r="Y195" s="2">
        <v>169</v>
      </c>
      <c r="Z195" s="2"/>
      <c r="AA195" s="2">
        <v>168</v>
      </c>
      <c r="AB195" s="2"/>
      <c r="AC195" s="2">
        <v>145</v>
      </c>
      <c r="AD195" s="2" t="s">
        <v>334</v>
      </c>
      <c r="AE195" s="2">
        <v>158</v>
      </c>
      <c r="AF195" s="2"/>
      <c r="AG195" s="2">
        <v>169</v>
      </c>
      <c r="AH195" s="2"/>
    </row>
    <row r="196" spans="1:34">
      <c r="A196" t="s">
        <v>373</v>
      </c>
      <c r="B196" t="s">
        <v>374</v>
      </c>
      <c r="C196" s="2" t="s">
        <v>43</v>
      </c>
      <c r="D196" s="2"/>
      <c r="E196" s="2" t="s">
        <v>43</v>
      </c>
      <c r="F196" s="2"/>
      <c r="G196" s="2" t="s">
        <v>43</v>
      </c>
      <c r="H196" s="2"/>
      <c r="I196" s="2" t="s">
        <v>43</v>
      </c>
      <c r="J196" s="2"/>
      <c r="K196" s="2" t="s">
        <v>43</v>
      </c>
      <c r="L196" s="2"/>
      <c r="M196" s="2" t="s">
        <v>43</v>
      </c>
      <c r="N196" s="2"/>
      <c r="O196" s="2" t="s">
        <v>43</v>
      </c>
      <c r="P196" s="2"/>
      <c r="Q196" s="2" t="s">
        <v>43</v>
      </c>
      <c r="R196" s="2"/>
      <c r="S196" s="2">
        <v>253</v>
      </c>
      <c r="T196" s="2"/>
      <c r="U196" s="2">
        <v>277</v>
      </c>
      <c r="V196" s="2" t="s">
        <v>334</v>
      </c>
      <c r="W196" s="2">
        <v>281</v>
      </c>
      <c r="X196" s="2"/>
      <c r="Y196" s="2">
        <v>312</v>
      </c>
      <c r="Z196" s="2"/>
      <c r="AA196" s="2">
        <v>325</v>
      </c>
      <c r="AB196" s="2"/>
      <c r="AC196" s="2">
        <v>274</v>
      </c>
      <c r="AD196" s="2" t="s">
        <v>334</v>
      </c>
      <c r="AE196" s="2">
        <v>299</v>
      </c>
      <c r="AF196" s="2"/>
      <c r="AG196" s="2">
        <v>339</v>
      </c>
      <c r="AH196" s="2"/>
    </row>
    <row r="197" spans="1:34">
      <c r="A197" t="s">
        <v>375</v>
      </c>
      <c r="B197" t="s">
        <v>376</v>
      </c>
      <c r="C197" s="2" t="s">
        <v>43</v>
      </c>
      <c r="D197" s="2"/>
      <c r="E197" s="2" t="s">
        <v>43</v>
      </c>
      <c r="F197" s="2"/>
      <c r="G197" s="2" t="s">
        <v>43</v>
      </c>
      <c r="H197" s="2"/>
      <c r="I197" s="2" t="s">
        <v>43</v>
      </c>
      <c r="J197" s="2"/>
      <c r="K197" s="2" t="s">
        <v>43</v>
      </c>
      <c r="L197" s="2"/>
      <c r="M197" s="2" t="s">
        <v>43</v>
      </c>
      <c r="N197" s="2"/>
      <c r="O197" s="2" t="s">
        <v>43</v>
      </c>
      <c r="P197" s="2"/>
      <c r="Q197" s="2" t="s">
        <v>43</v>
      </c>
      <c r="R197" s="2"/>
      <c r="S197" s="2">
        <v>140</v>
      </c>
      <c r="T197" s="2"/>
      <c r="U197" s="2">
        <v>142</v>
      </c>
      <c r="V197" s="2" t="s">
        <v>334</v>
      </c>
      <c r="W197" s="2">
        <v>155</v>
      </c>
      <c r="X197" s="2"/>
      <c r="Y197" s="2">
        <v>178</v>
      </c>
      <c r="Z197" s="2"/>
      <c r="AA197" s="2">
        <v>187</v>
      </c>
      <c r="AB197" s="2"/>
      <c r="AC197" s="2">
        <v>166</v>
      </c>
      <c r="AD197" s="2" t="s">
        <v>334</v>
      </c>
      <c r="AE197" s="2">
        <v>182</v>
      </c>
      <c r="AF197" s="2"/>
      <c r="AG197" s="2">
        <v>208</v>
      </c>
      <c r="AH197" s="2"/>
    </row>
    <row r="198" spans="1:34">
      <c r="A198" t="s">
        <v>377</v>
      </c>
      <c r="B198" t="s">
        <v>378</v>
      </c>
      <c r="C198" s="2" t="s">
        <v>43</v>
      </c>
      <c r="D198" s="2"/>
      <c r="E198" s="2" t="s">
        <v>43</v>
      </c>
      <c r="F198" s="2"/>
      <c r="G198" s="2" t="s">
        <v>43</v>
      </c>
      <c r="H198" s="2"/>
      <c r="I198" s="2" t="s">
        <v>43</v>
      </c>
      <c r="J198" s="2"/>
      <c r="K198" s="2" t="s">
        <v>43</v>
      </c>
      <c r="L198" s="2"/>
      <c r="M198" s="2" t="s">
        <v>43</v>
      </c>
      <c r="N198" s="2"/>
      <c r="O198" s="2" t="s">
        <v>43</v>
      </c>
      <c r="P198" s="2"/>
      <c r="Q198" s="2" t="s">
        <v>43</v>
      </c>
      <c r="R198" s="2"/>
      <c r="S198" s="2">
        <v>21</v>
      </c>
      <c r="T198" s="2"/>
      <c r="U198" s="2">
        <v>21</v>
      </c>
      <c r="V198" s="2" t="s">
        <v>334</v>
      </c>
      <c r="W198" s="2">
        <v>23</v>
      </c>
      <c r="X198" s="2"/>
      <c r="Y198" s="2">
        <v>24</v>
      </c>
      <c r="Z198" s="2"/>
      <c r="AA198" s="2">
        <v>29</v>
      </c>
      <c r="AB198" s="2"/>
      <c r="AC198" s="2">
        <v>25</v>
      </c>
      <c r="AD198" s="2" t="s">
        <v>334</v>
      </c>
      <c r="AE198" s="2">
        <v>29</v>
      </c>
      <c r="AF198" s="2"/>
      <c r="AG198" s="2">
        <v>31</v>
      </c>
      <c r="AH198" s="2"/>
    </row>
    <row r="199" spans="1:34">
      <c r="A199" t="s">
        <v>379</v>
      </c>
      <c r="B199" t="s">
        <v>380</v>
      </c>
      <c r="C199" s="2" t="s">
        <v>43</v>
      </c>
      <c r="D199" s="2"/>
      <c r="E199" s="2" t="s">
        <v>43</v>
      </c>
      <c r="F199" s="2"/>
      <c r="G199" s="2" t="s">
        <v>43</v>
      </c>
      <c r="H199" s="2"/>
      <c r="I199" s="2" t="s">
        <v>43</v>
      </c>
      <c r="J199" s="2"/>
      <c r="K199" s="2" t="s">
        <v>43</v>
      </c>
      <c r="L199" s="2"/>
      <c r="M199" s="2" t="s">
        <v>43</v>
      </c>
      <c r="N199" s="2"/>
      <c r="O199" s="2" t="s">
        <v>43</v>
      </c>
      <c r="P199" s="2"/>
      <c r="Q199" s="2" t="s">
        <v>43</v>
      </c>
      <c r="R199" s="2"/>
      <c r="S199" s="2">
        <v>92</v>
      </c>
      <c r="T199" s="2"/>
      <c r="U199" s="2">
        <v>114</v>
      </c>
      <c r="V199" s="2" t="s">
        <v>334</v>
      </c>
      <c r="W199" s="2">
        <v>103</v>
      </c>
      <c r="X199" s="2"/>
      <c r="Y199" s="2">
        <v>110</v>
      </c>
      <c r="Z199" s="2"/>
      <c r="AA199" s="2">
        <v>109</v>
      </c>
      <c r="AB199" s="2"/>
      <c r="AC199" s="2">
        <v>83</v>
      </c>
      <c r="AD199" s="2" t="s">
        <v>334</v>
      </c>
      <c r="AE199" s="2">
        <v>88</v>
      </c>
      <c r="AF199" s="2"/>
      <c r="AG199" s="2">
        <v>100</v>
      </c>
      <c r="AH199" s="2"/>
    </row>
    <row r="200" spans="1:34">
      <c r="A200" t="s">
        <v>381</v>
      </c>
      <c r="B200" t="s">
        <v>382</v>
      </c>
      <c r="C200" s="2" t="s">
        <v>43</v>
      </c>
      <c r="D200" s="2"/>
      <c r="E200" s="2" t="s">
        <v>43</v>
      </c>
      <c r="F200" s="2"/>
      <c r="G200" s="2" t="s">
        <v>43</v>
      </c>
      <c r="H200" s="2"/>
      <c r="I200" s="2" t="s">
        <v>43</v>
      </c>
      <c r="J200" s="2"/>
      <c r="K200" s="2" t="s">
        <v>43</v>
      </c>
      <c r="L200" s="2"/>
      <c r="M200" s="2" t="s">
        <v>43</v>
      </c>
      <c r="N200" s="2"/>
      <c r="O200" s="2" t="s">
        <v>43</v>
      </c>
      <c r="P200" s="2"/>
      <c r="Q200" s="2" t="s">
        <v>43</v>
      </c>
      <c r="R200" s="2"/>
      <c r="S200" s="2">
        <v>207</v>
      </c>
      <c r="T200" s="2"/>
      <c r="U200" s="2">
        <v>216</v>
      </c>
      <c r="V200" s="2" t="s">
        <v>334</v>
      </c>
      <c r="W200" s="2">
        <v>226</v>
      </c>
      <c r="X200" s="2"/>
      <c r="Y200" s="2">
        <v>242</v>
      </c>
      <c r="Z200" s="2"/>
      <c r="AA200" s="2">
        <v>257</v>
      </c>
      <c r="AB200" s="2"/>
      <c r="AC200" s="2">
        <v>237</v>
      </c>
      <c r="AD200" s="2" t="s">
        <v>334</v>
      </c>
      <c r="AE200" s="2">
        <v>264</v>
      </c>
      <c r="AF200" s="2"/>
      <c r="AG200" s="2">
        <v>286</v>
      </c>
      <c r="AH200" s="2"/>
    </row>
    <row r="201" spans="1:34">
      <c r="A201" t="s">
        <v>383</v>
      </c>
      <c r="B201" t="s">
        <v>384</v>
      </c>
      <c r="C201" s="2" t="s">
        <v>43</v>
      </c>
      <c r="D201" s="2"/>
      <c r="E201" s="2" t="s">
        <v>43</v>
      </c>
      <c r="F201" s="2"/>
      <c r="G201" s="2" t="s">
        <v>43</v>
      </c>
      <c r="H201" s="2"/>
      <c r="I201" s="2" t="s">
        <v>43</v>
      </c>
      <c r="J201" s="2"/>
      <c r="K201" s="2" t="s">
        <v>43</v>
      </c>
      <c r="L201" s="2"/>
      <c r="M201" s="2" t="s">
        <v>43</v>
      </c>
      <c r="N201" s="2"/>
      <c r="O201" s="2" t="s">
        <v>43</v>
      </c>
      <c r="P201" s="2"/>
      <c r="Q201" s="2" t="s">
        <v>43</v>
      </c>
      <c r="R201" s="2"/>
      <c r="S201" s="2">
        <v>92</v>
      </c>
      <c r="T201" s="2"/>
      <c r="U201" s="2">
        <v>98</v>
      </c>
      <c r="V201" s="2" t="s">
        <v>334</v>
      </c>
      <c r="W201" s="2">
        <v>96</v>
      </c>
      <c r="X201" s="2"/>
      <c r="Y201" s="2">
        <v>106</v>
      </c>
      <c r="Z201" s="2"/>
      <c r="AA201" s="2">
        <v>111</v>
      </c>
      <c r="AB201" s="2"/>
      <c r="AC201" s="2">
        <v>105</v>
      </c>
      <c r="AD201" s="2" t="s">
        <v>334</v>
      </c>
      <c r="AE201" s="2">
        <v>113</v>
      </c>
      <c r="AF201" s="2"/>
      <c r="AG201" s="2">
        <v>122</v>
      </c>
      <c r="AH201" s="2"/>
    </row>
    <row r="202" spans="1:34">
      <c r="A202" t="s">
        <v>385</v>
      </c>
      <c r="B202" t="s">
        <v>386</v>
      </c>
      <c r="C202" s="2" t="s">
        <v>43</v>
      </c>
      <c r="D202" s="2"/>
      <c r="E202" s="2" t="s">
        <v>43</v>
      </c>
      <c r="F202" s="2"/>
      <c r="G202" s="2" t="s">
        <v>43</v>
      </c>
      <c r="H202" s="2"/>
      <c r="I202" s="2" t="s">
        <v>43</v>
      </c>
      <c r="J202" s="2"/>
      <c r="K202" s="2" t="s">
        <v>43</v>
      </c>
      <c r="L202" s="2"/>
      <c r="M202" s="2" t="s">
        <v>43</v>
      </c>
      <c r="N202" s="2"/>
      <c r="O202" s="2" t="s">
        <v>43</v>
      </c>
      <c r="P202" s="2"/>
      <c r="Q202" s="2" t="s">
        <v>43</v>
      </c>
      <c r="R202" s="2"/>
      <c r="S202" s="2">
        <v>115</v>
      </c>
      <c r="T202" s="2"/>
      <c r="U202" s="2">
        <v>118</v>
      </c>
      <c r="V202" s="2" t="s">
        <v>334</v>
      </c>
      <c r="W202" s="2">
        <v>130</v>
      </c>
      <c r="X202" s="2"/>
      <c r="Y202" s="2">
        <v>136</v>
      </c>
      <c r="Z202" s="2"/>
      <c r="AA202" s="2">
        <v>146</v>
      </c>
      <c r="AB202" s="2"/>
      <c r="AC202" s="2">
        <v>132</v>
      </c>
      <c r="AD202" s="2" t="s">
        <v>334</v>
      </c>
      <c r="AE202" s="2">
        <v>151</v>
      </c>
      <c r="AF202" s="2"/>
      <c r="AG202" s="2">
        <v>164</v>
      </c>
      <c r="AH202" s="2"/>
    </row>
    <row r="203" spans="1:34">
      <c r="A203" t="s">
        <v>387</v>
      </c>
      <c r="B203" t="s">
        <v>388</v>
      </c>
      <c r="C203" s="2" t="s">
        <v>43</v>
      </c>
      <c r="D203" s="2"/>
      <c r="E203" s="2" t="s">
        <v>43</v>
      </c>
      <c r="F203" s="2"/>
      <c r="G203" s="2" t="s">
        <v>43</v>
      </c>
      <c r="H203" s="2"/>
      <c r="I203" s="2" t="s">
        <v>43</v>
      </c>
      <c r="J203" s="2"/>
      <c r="K203" s="2" t="s">
        <v>43</v>
      </c>
      <c r="L203" s="2"/>
      <c r="M203" s="2" t="s">
        <v>43</v>
      </c>
      <c r="N203" s="2"/>
      <c r="O203" s="2" t="s">
        <v>43</v>
      </c>
      <c r="P203" s="2"/>
      <c r="Q203" s="2" t="s">
        <v>43</v>
      </c>
      <c r="R203" s="2"/>
      <c r="S203" s="2">
        <v>542</v>
      </c>
      <c r="T203" s="2"/>
      <c r="U203" s="2">
        <v>897</v>
      </c>
      <c r="V203" s="2" t="s">
        <v>334</v>
      </c>
      <c r="W203" s="2">
        <v>895</v>
      </c>
      <c r="X203" s="2"/>
      <c r="Y203" s="2">
        <v>876</v>
      </c>
      <c r="Z203" s="2"/>
      <c r="AA203" s="2">
        <v>934</v>
      </c>
      <c r="AB203" s="2"/>
      <c r="AC203" s="2">
        <v>482</v>
      </c>
      <c r="AD203" s="2" t="s">
        <v>334</v>
      </c>
      <c r="AE203" s="2">
        <v>530</v>
      </c>
      <c r="AF203" s="2"/>
      <c r="AG203" s="2">
        <v>550</v>
      </c>
      <c r="AH203" s="2"/>
    </row>
    <row r="204" spans="1:34">
      <c r="A204" t="s">
        <v>389</v>
      </c>
      <c r="B204" t="s">
        <v>390</v>
      </c>
      <c r="C204" s="2" t="s">
        <v>43</v>
      </c>
      <c r="D204" s="2"/>
      <c r="E204" s="2" t="s">
        <v>43</v>
      </c>
      <c r="F204" s="2"/>
      <c r="G204" s="2" t="s">
        <v>43</v>
      </c>
      <c r="H204" s="2"/>
      <c r="I204" s="2" t="s">
        <v>43</v>
      </c>
      <c r="J204" s="2"/>
      <c r="K204" s="2" t="s">
        <v>43</v>
      </c>
      <c r="L204" s="2"/>
      <c r="M204" s="2" t="s">
        <v>43</v>
      </c>
      <c r="N204" s="2"/>
      <c r="O204" s="2" t="s">
        <v>43</v>
      </c>
      <c r="P204" s="2"/>
      <c r="Q204" s="2" t="s">
        <v>43</v>
      </c>
      <c r="R204" s="2"/>
      <c r="S204" s="2">
        <v>63</v>
      </c>
      <c r="T204" s="2"/>
      <c r="U204" s="2">
        <v>69</v>
      </c>
      <c r="V204" s="2" t="s">
        <v>334</v>
      </c>
      <c r="W204" s="2">
        <v>70</v>
      </c>
      <c r="X204" s="2"/>
      <c r="Y204" s="2">
        <v>67</v>
      </c>
      <c r="Z204" s="2"/>
      <c r="AA204" s="2">
        <v>77</v>
      </c>
      <c r="AB204" s="2"/>
      <c r="AC204" s="2">
        <v>68</v>
      </c>
      <c r="AD204" s="2" t="s">
        <v>334</v>
      </c>
      <c r="AE204" s="2">
        <v>71</v>
      </c>
      <c r="AF204" s="2"/>
      <c r="AG204" s="2">
        <v>76</v>
      </c>
      <c r="AH204" s="2"/>
    </row>
    <row r="205" spans="1:34">
      <c r="A205" t="s">
        <v>391</v>
      </c>
      <c r="B205" t="s">
        <v>392</v>
      </c>
      <c r="C205" s="2" t="s">
        <v>43</v>
      </c>
      <c r="D205" s="2"/>
      <c r="E205" s="2" t="s">
        <v>43</v>
      </c>
      <c r="F205" s="2"/>
      <c r="G205" s="2" t="s">
        <v>43</v>
      </c>
      <c r="H205" s="2"/>
      <c r="I205" s="2" t="s">
        <v>43</v>
      </c>
      <c r="J205" s="2"/>
      <c r="K205" s="2" t="s">
        <v>43</v>
      </c>
      <c r="L205" s="2"/>
      <c r="M205" s="2" t="s">
        <v>43</v>
      </c>
      <c r="N205" s="2"/>
      <c r="O205" s="2" t="s">
        <v>43</v>
      </c>
      <c r="P205" s="2"/>
      <c r="Q205" s="2" t="s">
        <v>43</v>
      </c>
      <c r="R205" s="2"/>
      <c r="S205" s="2">
        <v>479</v>
      </c>
      <c r="T205" s="2"/>
      <c r="U205" s="2">
        <v>828</v>
      </c>
      <c r="V205" s="2" t="s">
        <v>334</v>
      </c>
      <c r="W205" s="2">
        <v>825</v>
      </c>
      <c r="X205" s="2"/>
      <c r="Y205" s="2">
        <v>809</v>
      </c>
      <c r="Z205" s="2"/>
      <c r="AA205" s="2">
        <v>857</v>
      </c>
      <c r="AB205" s="2"/>
      <c r="AC205" s="2">
        <v>414</v>
      </c>
      <c r="AD205" s="2" t="s">
        <v>334</v>
      </c>
      <c r="AE205" s="2">
        <v>459</v>
      </c>
      <c r="AF205" s="2"/>
      <c r="AG205" s="2">
        <v>474</v>
      </c>
      <c r="AH205" s="2"/>
    </row>
    <row r="206" spans="1:34">
      <c r="A206" t="s">
        <v>393</v>
      </c>
      <c r="B206" t="s">
        <v>394</v>
      </c>
      <c r="C206" s="2" t="s">
        <v>43</v>
      </c>
      <c r="D206" s="2"/>
      <c r="E206" s="2" t="s">
        <v>43</v>
      </c>
      <c r="F206" s="2"/>
      <c r="G206" s="2" t="s">
        <v>43</v>
      </c>
      <c r="H206" s="2"/>
      <c r="I206" s="2" t="s">
        <v>43</v>
      </c>
      <c r="J206" s="2"/>
      <c r="K206" s="2" t="s">
        <v>43</v>
      </c>
      <c r="L206" s="2"/>
      <c r="M206" s="2" t="s">
        <v>43</v>
      </c>
      <c r="N206" s="2"/>
      <c r="O206" s="2" t="s">
        <v>43</v>
      </c>
      <c r="P206" s="2"/>
      <c r="Q206" s="2" t="s">
        <v>43</v>
      </c>
      <c r="R206" s="2"/>
      <c r="S206" s="2">
        <v>152</v>
      </c>
      <c r="T206" s="2"/>
      <c r="U206" s="2">
        <v>192</v>
      </c>
      <c r="V206" s="2" t="s">
        <v>334</v>
      </c>
      <c r="W206" s="2">
        <v>198</v>
      </c>
      <c r="X206" s="2"/>
      <c r="Y206" s="2">
        <v>160</v>
      </c>
      <c r="Z206" s="2"/>
      <c r="AA206" s="2">
        <v>173</v>
      </c>
      <c r="AB206" s="2"/>
      <c r="AC206" s="2">
        <v>146</v>
      </c>
      <c r="AD206" s="2" t="s">
        <v>334</v>
      </c>
      <c r="AE206" s="2">
        <v>159</v>
      </c>
      <c r="AF206" s="2"/>
      <c r="AG206" s="2">
        <v>163</v>
      </c>
      <c r="AH206" s="2"/>
    </row>
    <row r="207" spans="1:34">
      <c r="A207" t="s">
        <v>395</v>
      </c>
      <c r="B207" t="s">
        <v>394</v>
      </c>
      <c r="C207" s="2" t="s">
        <v>43</v>
      </c>
      <c r="D207" s="2"/>
      <c r="E207" s="2" t="s">
        <v>43</v>
      </c>
      <c r="F207" s="2"/>
      <c r="G207" s="2" t="s">
        <v>43</v>
      </c>
      <c r="H207" s="2"/>
      <c r="I207" s="2" t="s">
        <v>43</v>
      </c>
      <c r="J207" s="2"/>
      <c r="K207" s="2" t="s">
        <v>43</v>
      </c>
      <c r="L207" s="2"/>
      <c r="M207" s="2" t="s">
        <v>43</v>
      </c>
      <c r="N207" s="2"/>
      <c r="O207" s="2" t="s">
        <v>43</v>
      </c>
      <c r="P207" s="2"/>
      <c r="Q207" s="2" t="s">
        <v>43</v>
      </c>
      <c r="R207" s="2"/>
      <c r="S207" s="2">
        <v>152</v>
      </c>
      <c r="T207" s="2"/>
      <c r="U207" s="2">
        <v>192</v>
      </c>
      <c r="V207" s="2" t="s">
        <v>334</v>
      </c>
      <c r="W207" s="2">
        <v>198</v>
      </c>
      <c r="X207" s="2"/>
      <c r="Y207" s="2">
        <v>160</v>
      </c>
      <c r="Z207" s="2"/>
      <c r="AA207" s="2">
        <v>173</v>
      </c>
      <c r="AB207" s="2"/>
      <c r="AC207" s="2">
        <v>146</v>
      </c>
      <c r="AD207" s="2" t="s">
        <v>334</v>
      </c>
      <c r="AE207" s="2">
        <v>159</v>
      </c>
      <c r="AF207" s="2"/>
      <c r="AG207" s="2">
        <v>163</v>
      </c>
      <c r="AH207" s="2"/>
    </row>
    <row r="208" spans="1:34">
      <c r="A208" t="s">
        <v>396</v>
      </c>
      <c r="B208" t="s">
        <v>397</v>
      </c>
      <c r="C208" s="2" t="s">
        <v>43</v>
      </c>
      <c r="D208" s="2"/>
      <c r="E208" s="2" t="s">
        <v>43</v>
      </c>
      <c r="F208" s="2"/>
      <c r="G208" s="2" t="s">
        <v>43</v>
      </c>
      <c r="H208" s="2"/>
      <c r="I208" s="2" t="s">
        <v>43</v>
      </c>
      <c r="J208" s="2"/>
      <c r="K208" s="2" t="s">
        <v>43</v>
      </c>
      <c r="L208" s="2"/>
      <c r="M208" s="2" t="s">
        <v>43</v>
      </c>
      <c r="N208" s="2"/>
      <c r="O208" s="2" t="s">
        <v>43</v>
      </c>
      <c r="P208" s="2"/>
      <c r="Q208" s="2" t="s">
        <v>43</v>
      </c>
      <c r="R208" s="2"/>
      <c r="S208" s="2">
        <v>11</v>
      </c>
      <c r="T208" s="2"/>
      <c r="U208" s="2">
        <v>11</v>
      </c>
      <c r="V208" s="2" t="s">
        <v>334</v>
      </c>
      <c r="W208" s="2">
        <v>11</v>
      </c>
      <c r="X208" s="2"/>
      <c r="Y208" s="2">
        <v>10</v>
      </c>
      <c r="Z208" s="2"/>
      <c r="AA208" s="2">
        <v>10</v>
      </c>
      <c r="AB208" s="2"/>
      <c r="AC208" s="2">
        <v>5</v>
      </c>
      <c r="AD208" s="2" t="s">
        <v>334</v>
      </c>
      <c r="AE208" s="2">
        <v>5</v>
      </c>
      <c r="AF208" s="2"/>
      <c r="AG208" s="2">
        <v>5</v>
      </c>
      <c r="AH208" s="2"/>
    </row>
    <row r="209" spans="1:34">
      <c r="A209" t="s">
        <v>398</v>
      </c>
      <c r="B209" t="s">
        <v>397</v>
      </c>
      <c r="C209" s="2" t="s">
        <v>43</v>
      </c>
      <c r="D209" s="2"/>
      <c r="E209" s="2" t="s">
        <v>43</v>
      </c>
      <c r="F209" s="2"/>
      <c r="G209" s="2" t="s">
        <v>43</v>
      </c>
      <c r="H209" s="2"/>
      <c r="I209" s="2" t="s">
        <v>43</v>
      </c>
      <c r="J209" s="2"/>
      <c r="K209" s="2" t="s">
        <v>43</v>
      </c>
      <c r="L209" s="2"/>
      <c r="M209" s="2" t="s">
        <v>43</v>
      </c>
      <c r="N209" s="2"/>
      <c r="O209" s="2" t="s">
        <v>43</v>
      </c>
      <c r="P209" s="2"/>
      <c r="Q209" s="2" t="s">
        <v>43</v>
      </c>
      <c r="R209" s="2"/>
      <c r="S209" s="2">
        <v>11</v>
      </c>
      <c r="T209" s="2"/>
      <c r="U209" s="2">
        <v>11</v>
      </c>
      <c r="V209" s="2" t="s">
        <v>334</v>
      </c>
      <c r="W209" s="2">
        <v>11</v>
      </c>
      <c r="X209" s="2"/>
      <c r="Y209" s="2">
        <v>10</v>
      </c>
      <c r="Z209" s="2"/>
      <c r="AA209" s="2">
        <v>10</v>
      </c>
      <c r="AB209" s="2"/>
      <c r="AC209" s="2">
        <v>5</v>
      </c>
      <c r="AD209" s="2" t="s">
        <v>334</v>
      </c>
      <c r="AE209" s="2">
        <v>5</v>
      </c>
      <c r="AF209" s="2"/>
      <c r="AG209" s="2">
        <v>5</v>
      </c>
      <c r="AH209" s="2"/>
    </row>
    <row r="210" spans="1:34">
      <c r="A210" t="s">
        <v>399</v>
      </c>
      <c r="B210" t="s">
        <v>400</v>
      </c>
      <c r="C210" s="2" t="s">
        <v>43</v>
      </c>
      <c r="D210" s="2"/>
      <c r="E210" s="2" t="s">
        <v>43</v>
      </c>
      <c r="F210" s="2"/>
      <c r="G210" s="2" t="s">
        <v>43</v>
      </c>
      <c r="H210" s="2"/>
      <c r="I210" s="2" t="s">
        <v>43</v>
      </c>
      <c r="J210" s="2"/>
      <c r="K210" s="2" t="s">
        <v>43</v>
      </c>
      <c r="L210" s="2"/>
      <c r="M210" s="2" t="s">
        <v>43</v>
      </c>
      <c r="N210" s="2"/>
      <c r="O210" s="2" t="s">
        <v>43</v>
      </c>
      <c r="P210" s="2"/>
      <c r="Q210" s="2" t="s">
        <v>43</v>
      </c>
      <c r="R210" s="2"/>
      <c r="S210" s="2">
        <v>81</v>
      </c>
      <c r="T210" s="2"/>
      <c r="U210" s="2">
        <v>83</v>
      </c>
      <c r="V210" s="2" t="s">
        <v>334</v>
      </c>
      <c r="W210" s="2">
        <v>95</v>
      </c>
      <c r="X210" s="2"/>
      <c r="Y210" s="2">
        <v>93</v>
      </c>
      <c r="Z210" s="2"/>
      <c r="AA210" s="2">
        <v>100</v>
      </c>
      <c r="AB210" s="2"/>
      <c r="AC210" s="2">
        <v>47</v>
      </c>
      <c r="AD210" s="2" t="s">
        <v>334</v>
      </c>
      <c r="AE210" s="2">
        <v>50</v>
      </c>
      <c r="AF210" s="2"/>
      <c r="AG210" s="2">
        <v>51</v>
      </c>
      <c r="AH210" s="2"/>
    </row>
    <row r="211" spans="1:34">
      <c r="A211" t="s">
        <v>401</v>
      </c>
      <c r="B211" t="s">
        <v>402</v>
      </c>
      <c r="C211" s="2" t="s">
        <v>43</v>
      </c>
      <c r="D211" s="2"/>
      <c r="E211" s="2" t="s">
        <v>43</v>
      </c>
      <c r="F211" s="2"/>
      <c r="G211" s="2" t="s">
        <v>43</v>
      </c>
      <c r="H211" s="2"/>
      <c r="I211" s="2" t="s">
        <v>43</v>
      </c>
      <c r="J211" s="2"/>
      <c r="K211" s="2" t="s">
        <v>43</v>
      </c>
      <c r="L211" s="2"/>
      <c r="M211" s="2" t="s">
        <v>43</v>
      </c>
      <c r="N211" s="2"/>
      <c r="O211" s="2" t="s">
        <v>43</v>
      </c>
      <c r="P211" s="2"/>
      <c r="Q211" s="2" t="s">
        <v>43</v>
      </c>
      <c r="R211" s="2"/>
      <c r="S211" s="2">
        <v>19</v>
      </c>
      <c r="T211" s="2"/>
      <c r="U211" s="2">
        <v>21</v>
      </c>
      <c r="V211" s="2" t="s">
        <v>334</v>
      </c>
      <c r="W211" s="2">
        <v>21</v>
      </c>
      <c r="X211" s="2"/>
      <c r="Y211" s="2">
        <v>19</v>
      </c>
      <c r="Z211" s="2"/>
      <c r="AA211" s="2">
        <v>20</v>
      </c>
      <c r="AB211" s="2"/>
      <c r="AC211" s="2" t="s">
        <v>43</v>
      </c>
      <c r="AD211" s="2" t="s">
        <v>403</v>
      </c>
      <c r="AE211" s="2">
        <v>8</v>
      </c>
      <c r="AF211" s="2"/>
      <c r="AG211" s="2">
        <v>9</v>
      </c>
      <c r="AH211" s="2"/>
    </row>
    <row r="212" spans="1:34">
      <c r="A212" t="s">
        <v>404</v>
      </c>
      <c r="B212" t="s">
        <v>405</v>
      </c>
      <c r="C212" s="2" t="s">
        <v>43</v>
      </c>
      <c r="D212" s="2"/>
      <c r="E212" s="2" t="s">
        <v>43</v>
      </c>
      <c r="F212" s="2"/>
      <c r="G212" s="2" t="s">
        <v>43</v>
      </c>
      <c r="H212" s="2"/>
      <c r="I212" s="2" t="s">
        <v>43</v>
      </c>
      <c r="J212" s="2"/>
      <c r="K212" s="2" t="s">
        <v>43</v>
      </c>
      <c r="L212" s="2"/>
      <c r="M212" s="2" t="s">
        <v>43</v>
      </c>
      <c r="N212" s="2"/>
      <c r="O212" s="2" t="s">
        <v>43</v>
      </c>
      <c r="P212" s="2"/>
      <c r="Q212" s="2" t="s">
        <v>43</v>
      </c>
      <c r="R212" s="2"/>
      <c r="S212" s="2">
        <v>13</v>
      </c>
      <c r="T212" s="2"/>
      <c r="U212" s="2">
        <v>13</v>
      </c>
      <c r="V212" s="2" t="s">
        <v>334</v>
      </c>
      <c r="W212" s="2">
        <v>11</v>
      </c>
      <c r="X212" s="2"/>
      <c r="Y212" s="2">
        <v>12</v>
      </c>
      <c r="Z212" s="2"/>
      <c r="AA212" s="2">
        <v>15</v>
      </c>
      <c r="AB212" s="2"/>
      <c r="AC212" s="2">
        <v>7</v>
      </c>
      <c r="AD212" s="2" t="s">
        <v>334</v>
      </c>
      <c r="AE212" s="2">
        <v>6</v>
      </c>
      <c r="AF212" s="2"/>
      <c r="AG212" s="2">
        <v>4</v>
      </c>
      <c r="AH212" s="2"/>
    </row>
    <row r="213" spans="1:34">
      <c r="A213" t="s">
        <v>406</v>
      </c>
      <c r="B213" t="s">
        <v>407</v>
      </c>
      <c r="C213" s="2" t="s">
        <v>43</v>
      </c>
      <c r="D213" s="2"/>
      <c r="E213" s="2" t="s">
        <v>43</v>
      </c>
      <c r="F213" s="2"/>
      <c r="G213" s="2" t="s">
        <v>43</v>
      </c>
      <c r="H213" s="2"/>
      <c r="I213" s="2" t="s">
        <v>43</v>
      </c>
      <c r="J213" s="2"/>
      <c r="K213" s="2" t="s">
        <v>43</v>
      </c>
      <c r="L213" s="2"/>
      <c r="M213" s="2" t="s">
        <v>43</v>
      </c>
      <c r="N213" s="2"/>
      <c r="O213" s="2" t="s">
        <v>43</v>
      </c>
      <c r="P213" s="2"/>
      <c r="Q213" s="2" t="s">
        <v>43</v>
      </c>
      <c r="R213" s="2"/>
      <c r="S213" s="2">
        <v>3</v>
      </c>
      <c r="T213" s="2"/>
      <c r="U213" s="2">
        <v>4</v>
      </c>
      <c r="V213" s="2" t="s">
        <v>334</v>
      </c>
      <c r="W213" s="2">
        <v>7</v>
      </c>
      <c r="X213" s="2"/>
      <c r="Y213" s="2">
        <v>7</v>
      </c>
      <c r="Z213" s="2"/>
      <c r="AA213" s="2">
        <v>6</v>
      </c>
      <c r="AB213" s="2"/>
      <c r="AC213" s="2" t="s">
        <v>43</v>
      </c>
      <c r="AD213" s="2" t="s">
        <v>403</v>
      </c>
      <c r="AE213" s="2">
        <v>3</v>
      </c>
      <c r="AF213" s="2"/>
      <c r="AG213" s="2">
        <v>4</v>
      </c>
      <c r="AH213" s="2"/>
    </row>
    <row r="214" spans="1:34">
      <c r="A214" t="s">
        <v>408</v>
      </c>
      <c r="B214" t="s">
        <v>409</v>
      </c>
      <c r="C214" s="2" t="s">
        <v>43</v>
      </c>
      <c r="D214" s="2"/>
      <c r="E214" s="2" t="s">
        <v>43</v>
      </c>
      <c r="F214" s="2"/>
      <c r="G214" s="2" t="s">
        <v>43</v>
      </c>
      <c r="H214" s="2"/>
      <c r="I214" s="2" t="s">
        <v>43</v>
      </c>
      <c r="J214" s="2"/>
      <c r="K214" s="2" t="s">
        <v>43</v>
      </c>
      <c r="L214" s="2"/>
      <c r="M214" s="2" t="s">
        <v>43</v>
      </c>
      <c r="N214" s="2"/>
      <c r="O214" s="2" t="s">
        <v>43</v>
      </c>
      <c r="P214" s="2"/>
      <c r="Q214" s="2" t="s">
        <v>43</v>
      </c>
      <c r="R214" s="2"/>
      <c r="S214" s="2">
        <v>46</v>
      </c>
      <c r="T214" s="2"/>
      <c r="U214" s="2">
        <v>45</v>
      </c>
      <c r="V214" s="2" t="s">
        <v>334</v>
      </c>
      <c r="W214" s="2">
        <v>56</v>
      </c>
      <c r="X214" s="2"/>
      <c r="Y214" s="2">
        <v>55</v>
      </c>
      <c r="Z214" s="2"/>
      <c r="AA214" s="2">
        <v>59</v>
      </c>
      <c r="AB214" s="2"/>
      <c r="AC214" s="2">
        <v>33</v>
      </c>
      <c r="AD214" s="2" t="s">
        <v>334</v>
      </c>
      <c r="AE214" s="2">
        <v>33</v>
      </c>
      <c r="AF214" s="2"/>
      <c r="AG214" s="2">
        <v>34</v>
      </c>
      <c r="AH214" s="2"/>
    </row>
    <row r="215" spans="1:34">
      <c r="A215" t="s">
        <v>410</v>
      </c>
      <c r="B215" t="s">
        <v>411</v>
      </c>
      <c r="C215" s="2" t="s">
        <v>43</v>
      </c>
      <c r="D215" s="2"/>
      <c r="E215" s="2" t="s">
        <v>43</v>
      </c>
      <c r="F215" s="2"/>
      <c r="G215" s="2" t="s">
        <v>43</v>
      </c>
      <c r="H215" s="2"/>
      <c r="I215" s="2" t="s">
        <v>43</v>
      </c>
      <c r="J215" s="2"/>
      <c r="K215" s="2" t="s">
        <v>43</v>
      </c>
      <c r="L215" s="2"/>
      <c r="M215" s="2" t="s">
        <v>43</v>
      </c>
      <c r="N215" s="2"/>
      <c r="O215" s="2" t="s">
        <v>43</v>
      </c>
      <c r="P215" s="2"/>
      <c r="Q215" s="2" t="s">
        <v>43</v>
      </c>
      <c r="R215" s="2"/>
      <c r="S215" s="2">
        <v>0</v>
      </c>
      <c r="T215" s="2"/>
      <c r="U215" s="2">
        <v>0</v>
      </c>
      <c r="V215" s="2" t="s">
        <v>334</v>
      </c>
      <c r="W215" s="2">
        <v>0</v>
      </c>
      <c r="X215" s="2"/>
      <c r="Y215" s="2">
        <v>0</v>
      </c>
      <c r="Z215" s="2"/>
      <c r="AA215" s="2">
        <v>0</v>
      </c>
      <c r="AB215" s="2"/>
      <c r="AC215" s="2">
        <v>0</v>
      </c>
      <c r="AD215" s="2" t="s">
        <v>334</v>
      </c>
      <c r="AE215" s="2">
        <v>0</v>
      </c>
      <c r="AF215" s="2"/>
      <c r="AG215" s="2">
        <v>0</v>
      </c>
      <c r="AH215" s="2"/>
    </row>
    <row r="216" spans="1:34">
      <c r="A216" t="s">
        <v>889</v>
      </c>
      <c r="B216" t="s">
        <v>890</v>
      </c>
      <c r="C216" s="2">
        <v>469</v>
      </c>
      <c r="D216" s="2"/>
      <c r="E216" s="2">
        <v>479</v>
      </c>
      <c r="F216" s="2"/>
      <c r="G216" s="2">
        <v>462</v>
      </c>
      <c r="H216" s="2"/>
      <c r="I216" s="2">
        <v>447</v>
      </c>
      <c r="J216" s="2"/>
      <c r="K216" s="2">
        <v>471</v>
      </c>
      <c r="L216" s="2"/>
      <c r="M216" s="2">
        <v>457</v>
      </c>
      <c r="N216" s="2"/>
      <c r="O216" s="2">
        <v>468</v>
      </c>
      <c r="P216" s="2" t="s">
        <v>334</v>
      </c>
      <c r="Q216" s="2">
        <v>474</v>
      </c>
      <c r="R216" s="2" t="s">
        <v>334</v>
      </c>
      <c r="S216" s="2" t="s">
        <v>43</v>
      </c>
      <c r="T216" s="2"/>
      <c r="U216" s="2" t="s">
        <v>43</v>
      </c>
      <c r="V216" s="2"/>
      <c r="W216" s="2" t="s">
        <v>43</v>
      </c>
      <c r="X216" s="2"/>
      <c r="Y216" s="2" t="s">
        <v>43</v>
      </c>
      <c r="Z216" s="2"/>
      <c r="AA216" s="2" t="s">
        <v>43</v>
      </c>
      <c r="AB216" s="2"/>
      <c r="AC216" s="2"/>
      <c r="AD216" s="2"/>
      <c r="AE216" s="2"/>
      <c r="AF216" s="2"/>
      <c r="AG216" s="2"/>
      <c r="AH216" s="2"/>
    </row>
    <row r="217" spans="1:34">
      <c r="A217" t="s">
        <v>891</v>
      </c>
      <c r="B217" t="s">
        <v>892</v>
      </c>
      <c r="C217" s="2">
        <v>39</v>
      </c>
      <c r="D217" s="2"/>
      <c r="E217" s="2">
        <v>40</v>
      </c>
      <c r="F217" s="2"/>
      <c r="G217" s="2">
        <v>40</v>
      </c>
      <c r="H217" s="2"/>
      <c r="I217" s="2">
        <v>37</v>
      </c>
      <c r="J217" s="2"/>
      <c r="K217" s="2">
        <v>43</v>
      </c>
      <c r="L217" s="2"/>
      <c r="M217" s="2">
        <v>48</v>
      </c>
      <c r="N217" s="2"/>
      <c r="O217" s="2">
        <v>48</v>
      </c>
      <c r="P217" s="2" t="s">
        <v>334</v>
      </c>
      <c r="Q217" s="2">
        <v>48</v>
      </c>
      <c r="R217" s="2" t="s">
        <v>334</v>
      </c>
      <c r="S217" s="2" t="s">
        <v>43</v>
      </c>
      <c r="T217" s="2"/>
      <c r="U217" s="2" t="s">
        <v>43</v>
      </c>
      <c r="V217" s="2"/>
      <c r="W217" s="2" t="s">
        <v>43</v>
      </c>
      <c r="X217" s="2"/>
      <c r="Y217" s="2" t="s">
        <v>43</v>
      </c>
      <c r="Z217" s="2"/>
      <c r="AA217" s="2" t="s">
        <v>43</v>
      </c>
      <c r="AB217" s="2"/>
      <c r="AC217" s="2"/>
      <c r="AD217" s="2"/>
      <c r="AE217" s="2"/>
      <c r="AF217" s="2"/>
      <c r="AG217" s="2"/>
      <c r="AH217" s="2"/>
    </row>
    <row r="218" spans="1:34">
      <c r="A218" t="s">
        <v>893</v>
      </c>
      <c r="B218" t="s">
        <v>894</v>
      </c>
      <c r="C218" s="2">
        <v>63</v>
      </c>
      <c r="D218" s="2"/>
      <c r="E218" s="2">
        <v>72</v>
      </c>
      <c r="F218" s="2"/>
      <c r="G218" s="2">
        <v>68</v>
      </c>
      <c r="H218" s="2"/>
      <c r="I218" s="2">
        <v>61</v>
      </c>
      <c r="J218" s="2"/>
      <c r="K218" s="2">
        <v>64</v>
      </c>
      <c r="L218" s="2"/>
      <c r="M218" s="2">
        <v>64</v>
      </c>
      <c r="N218" s="2"/>
      <c r="O218" s="2">
        <v>71</v>
      </c>
      <c r="P218" s="2" t="s">
        <v>334</v>
      </c>
      <c r="Q218" s="2">
        <v>69</v>
      </c>
      <c r="R218" s="2" t="s">
        <v>334</v>
      </c>
      <c r="S218" s="2" t="s">
        <v>43</v>
      </c>
      <c r="T218" s="2"/>
      <c r="U218" s="2" t="s">
        <v>43</v>
      </c>
      <c r="V218" s="2"/>
      <c r="W218" s="2" t="s">
        <v>43</v>
      </c>
      <c r="X218" s="2"/>
      <c r="Y218" s="2" t="s">
        <v>43</v>
      </c>
      <c r="Z218" s="2"/>
      <c r="AA218" s="2" t="s">
        <v>43</v>
      </c>
      <c r="AB218" s="2"/>
      <c r="AC218" s="2"/>
      <c r="AD218" s="2"/>
      <c r="AE218" s="2"/>
      <c r="AF218" s="2"/>
      <c r="AG218" s="2"/>
      <c r="AH218" s="2"/>
    </row>
    <row r="219" spans="1:34">
      <c r="A219" t="s">
        <v>895</v>
      </c>
      <c r="B219" t="s">
        <v>896</v>
      </c>
      <c r="C219" s="2">
        <v>70</v>
      </c>
      <c r="D219" s="2"/>
      <c r="E219" s="2">
        <v>66</v>
      </c>
      <c r="F219" s="2"/>
      <c r="G219" s="2">
        <v>61</v>
      </c>
      <c r="H219" s="2"/>
      <c r="I219" s="2">
        <v>63</v>
      </c>
      <c r="J219" s="2"/>
      <c r="K219" s="2">
        <v>66</v>
      </c>
      <c r="L219" s="2"/>
      <c r="M219" s="2">
        <v>70</v>
      </c>
      <c r="N219" s="2"/>
      <c r="O219" s="2">
        <v>68</v>
      </c>
      <c r="P219" s="2" t="s">
        <v>334</v>
      </c>
      <c r="Q219" s="2">
        <v>70</v>
      </c>
      <c r="R219" s="2" t="s">
        <v>334</v>
      </c>
      <c r="S219" s="2" t="s">
        <v>43</v>
      </c>
      <c r="T219" s="2"/>
      <c r="U219" s="2" t="s">
        <v>43</v>
      </c>
      <c r="V219" s="2"/>
      <c r="W219" s="2" t="s">
        <v>43</v>
      </c>
      <c r="X219" s="2"/>
      <c r="Y219" s="2" t="s">
        <v>43</v>
      </c>
      <c r="Z219" s="2"/>
      <c r="AA219" s="2" t="s">
        <v>43</v>
      </c>
      <c r="AB219" s="2"/>
      <c r="AC219" s="2"/>
      <c r="AD219" s="2"/>
      <c r="AE219" s="2"/>
      <c r="AF219" s="2"/>
      <c r="AG219" s="2"/>
      <c r="AH219" s="2"/>
    </row>
    <row r="220" spans="1:34">
      <c r="A220" t="s">
        <v>897</v>
      </c>
      <c r="B220" t="s">
        <v>898</v>
      </c>
      <c r="C220" s="2">
        <v>118</v>
      </c>
      <c r="D220" s="2"/>
      <c r="E220" s="2">
        <v>118</v>
      </c>
      <c r="F220" s="2"/>
      <c r="G220" s="2">
        <v>113</v>
      </c>
      <c r="H220" s="2"/>
      <c r="I220" s="2">
        <v>110</v>
      </c>
      <c r="J220" s="2"/>
      <c r="K220" s="2">
        <v>123</v>
      </c>
      <c r="L220" s="2"/>
      <c r="M220" s="2">
        <v>115</v>
      </c>
      <c r="N220" s="2"/>
      <c r="O220" s="2">
        <v>122</v>
      </c>
      <c r="P220" s="2" t="s">
        <v>334</v>
      </c>
      <c r="Q220" s="2">
        <v>129</v>
      </c>
      <c r="R220" s="2" t="s">
        <v>334</v>
      </c>
      <c r="S220" s="2" t="s">
        <v>43</v>
      </c>
      <c r="T220" s="2"/>
      <c r="U220" s="2" t="s">
        <v>43</v>
      </c>
      <c r="V220" s="2"/>
      <c r="W220" s="2" t="s">
        <v>43</v>
      </c>
      <c r="X220" s="2"/>
      <c r="Y220" s="2" t="s">
        <v>43</v>
      </c>
      <c r="Z220" s="2"/>
      <c r="AA220" s="2" t="s">
        <v>43</v>
      </c>
      <c r="AB220" s="2"/>
      <c r="AC220" s="2"/>
      <c r="AD220" s="2"/>
      <c r="AE220" s="2"/>
      <c r="AF220" s="2"/>
      <c r="AG220" s="2"/>
      <c r="AH220" s="2"/>
    </row>
    <row r="221" spans="1:34">
      <c r="A221" t="s">
        <v>899</v>
      </c>
      <c r="B221" t="s">
        <v>900</v>
      </c>
      <c r="C221" s="2">
        <v>93</v>
      </c>
      <c r="D221" s="2"/>
      <c r="E221" s="2">
        <v>91</v>
      </c>
      <c r="F221" s="2"/>
      <c r="G221" s="2">
        <v>88</v>
      </c>
      <c r="H221" s="2"/>
      <c r="I221" s="2">
        <v>87</v>
      </c>
      <c r="J221" s="2"/>
      <c r="K221" s="2">
        <v>92</v>
      </c>
      <c r="L221" s="2"/>
      <c r="M221" s="2">
        <v>78</v>
      </c>
      <c r="N221" s="2"/>
      <c r="O221" s="2">
        <v>76</v>
      </c>
      <c r="P221" s="2" t="s">
        <v>334</v>
      </c>
      <c r="Q221" s="2">
        <v>74</v>
      </c>
      <c r="R221" s="2" t="s">
        <v>334</v>
      </c>
      <c r="S221" s="2" t="s">
        <v>43</v>
      </c>
      <c r="T221" s="2"/>
      <c r="U221" s="2" t="s">
        <v>43</v>
      </c>
      <c r="V221" s="2"/>
      <c r="W221" s="2" t="s">
        <v>43</v>
      </c>
      <c r="X221" s="2"/>
      <c r="Y221" s="2" t="s">
        <v>43</v>
      </c>
      <c r="Z221" s="2"/>
      <c r="AA221" s="2" t="s">
        <v>43</v>
      </c>
      <c r="AB221" s="2"/>
      <c r="AC221" s="2"/>
      <c r="AD221" s="2"/>
      <c r="AE221" s="2"/>
      <c r="AF221" s="2"/>
      <c r="AG221" s="2"/>
      <c r="AH221" s="2"/>
    </row>
    <row r="222" spans="1:34">
      <c r="A222" t="s">
        <v>901</v>
      </c>
      <c r="B222" t="s">
        <v>902</v>
      </c>
      <c r="C222" s="2">
        <v>86</v>
      </c>
      <c r="D222" s="2"/>
      <c r="E222" s="2">
        <v>92</v>
      </c>
      <c r="F222" s="2"/>
      <c r="G222" s="2">
        <v>92</v>
      </c>
      <c r="H222" s="2"/>
      <c r="I222" s="2">
        <v>89</v>
      </c>
      <c r="J222" s="2"/>
      <c r="K222" s="2">
        <v>83</v>
      </c>
      <c r="L222" s="2"/>
      <c r="M222" s="2">
        <v>82</v>
      </c>
      <c r="N222" s="2"/>
      <c r="O222" s="2">
        <v>83</v>
      </c>
      <c r="P222" s="2" t="s">
        <v>334</v>
      </c>
      <c r="Q222" s="2">
        <v>84</v>
      </c>
      <c r="R222" s="2" t="s">
        <v>334</v>
      </c>
      <c r="S222" s="2" t="s">
        <v>43</v>
      </c>
      <c r="T222" s="2"/>
      <c r="U222" s="2" t="s">
        <v>43</v>
      </c>
      <c r="V222" s="2"/>
      <c r="W222" s="2" t="s">
        <v>43</v>
      </c>
      <c r="X222" s="2"/>
      <c r="Y222" s="2" t="s">
        <v>43</v>
      </c>
      <c r="Z222" s="2"/>
      <c r="AA222" s="2" t="s">
        <v>43</v>
      </c>
      <c r="AB222" s="2"/>
      <c r="AC222" s="2"/>
      <c r="AD222" s="2"/>
      <c r="AE222" s="2"/>
      <c r="AF222" s="2"/>
      <c r="AG222" s="2"/>
      <c r="AH222" s="2"/>
    </row>
    <row r="223" spans="1:34">
      <c r="A223" t="s">
        <v>903</v>
      </c>
      <c r="B223" t="s">
        <v>904</v>
      </c>
      <c r="C223" s="2">
        <v>138</v>
      </c>
      <c r="D223" s="2"/>
      <c r="E223" s="2">
        <v>134</v>
      </c>
      <c r="F223" s="2"/>
      <c r="G223" s="2">
        <v>126</v>
      </c>
      <c r="H223" s="2"/>
      <c r="I223" s="2">
        <v>128</v>
      </c>
      <c r="J223" s="2"/>
      <c r="K223" s="2">
        <v>146</v>
      </c>
      <c r="L223" s="2"/>
      <c r="M223" s="2">
        <v>141</v>
      </c>
      <c r="N223" s="2"/>
      <c r="O223" s="2">
        <v>147</v>
      </c>
      <c r="P223" s="2" t="s">
        <v>334</v>
      </c>
      <c r="Q223" s="2">
        <v>145</v>
      </c>
      <c r="R223" s="2" t="s">
        <v>334</v>
      </c>
      <c r="S223" s="2" t="s">
        <v>43</v>
      </c>
      <c r="T223" s="2"/>
      <c r="U223" s="2" t="s">
        <v>43</v>
      </c>
      <c r="V223" s="2"/>
      <c r="W223" s="2" t="s">
        <v>43</v>
      </c>
      <c r="X223" s="2"/>
      <c r="Y223" s="2" t="s">
        <v>43</v>
      </c>
      <c r="Z223" s="2"/>
      <c r="AA223" s="2" t="s">
        <v>43</v>
      </c>
      <c r="AB223" s="2"/>
      <c r="AC223" s="2"/>
      <c r="AD223" s="2"/>
      <c r="AE223" s="2"/>
      <c r="AF223" s="2"/>
      <c r="AG223" s="2"/>
      <c r="AH223" s="2"/>
    </row>
    <row r="224" spans="1:34">
      <c r="A224" t="s">
        <v>905</v>
      </c>
      <c r="B224" t="s">
        <v>904</v>
      </c>
      <c r="C224" s="2">
        <v>138</v>
      </c>
      <c r="D224" s="2"/>
      <c r="E224" s="2">
        <v>134</v>
      </c>
      <c r="F224" s="2"/>
      <c r="G224" s="2">
        <v>126</v>
      </c>
      <c r="H224" s="2"/>
      <c r="I224" s="2">
        <v>128</v>
      </c>
      <c r="J224" s="2"/>
      <c r="K224" s="2">
        <v>146</v>
      </c>
      <c r="L224" s="2"/>
      <c r="M224" s="2">
        <v>141</v>
      </c>
      <c r="N224" s="2"/>
      <c r="O224" s="2">
        <v>147</v>
      </c>
      <c r="P224" s="2" t="s">
        <v>334</v>
      </c>
      <c r="Q224" s="2">
        <v>145</v>
      </c>
      <c r="R224" s="2" t="s">
        <v>334</v>
      </c>
      <c r="S224" s="2" t="s">
        <v>43</v>
      </c>
      <c r="T224" s="2"/>
      <c r="U224" s="2" t="s">
        <v>43</v>
      </c>
      <c r="V224" s="2"/>
      <c r="W224" s="2" t="s">
        <v>43</v>
      </c>
      <c r="X224" s="2"/>
      <c r="Y224" s="2" t="s">
        <v>43</v>
      </c>
      <c r="Z224" s="2"/>
      <c r="AA224" s="2" t="s">
        <v>43</v>
      </c>
      <c r="AB224" s="2"/>
      <c r="AC224" s="2"/>
      <c r="AD224" s="2"/>
      <c r="AE224" s="2"/>
      <c r="AF224" s="2"/>
      <c r="AG224" s="2"/>
      <c r="AH224" s="2"/>
    </row>
    <row r="225" spans="1:34">
      <c r="A225" t="s">
        <v>906</v>
      </c>
      <c r="B225" t="s">
        <v>907</v>
      </c>
      <c r="C225" s="2">
        <v>244</v>
      </c>
      <c r="D225" s="2"/>
      <c r="E225" s="2">
        <v>245</v>
      </c>
      <c r="F225" s="2"/>
      <c r="G225" s="2">
        <v>235</v>
      </c>
      <c r="H225" s="2"/>
      <c r="I225" s="2">
        <v>234</v>
      </c>
      <c r="J225" s="2"/>
      <c r="K225" s="2">
        <v>266</v>
      </c>
      <c r="L225" s="2"/>
      <c r="M225" s="2">
        <v>261</v>
      </c>
      <c r="N225" s="2"/>
      <c r="O225" s="2">
        <v>265</v>
      </c>
      <c r="P225" s="2" t="s">
        <v>334</v>
      </c>
      <c r="Q225" s="2">
        <v>263</v>
      </c>
      <c r="R225" s="2" t="s">
        <v>334</v>
      </c>
      <c r="S225" s="2" t="s">
        <v>43</v>
      </c>
      <c r="T225" s="2"/>
      <c r="U225" s="2" t="s">
        <v>43</v>
      </c>
      <c r="V225" s="2"/>
      <c r="W225" s="2" t="s">
        <v>43</v>
      </c>
      <c r="X225" s="2"/>
      <c r="Y225" s="2" t="s">
        <v>43</v>
      </c>
      <c r="Z225" s="2"/>
      <c r="AA225" s="2" t="s">
        <v>43</v>
      </c>
      <c r="AB225" s="2"/>
      <c r="AC225" s="2"/>
      <c r="AD225" s="2"/>
      <c r="AE225" s="2"/>
      <c r="AF225" s="2"/>
      <c r="AG225" s="2"/>
      <c r="AH225" s="2"/>
    </row>
    <row r="226" spans="1:34">
      <c r="A226" t="s">
        <v>908</v>
      </c>
      <c r="B226" t="s">
        <v>909</v>
      </c>
      <c r="C226" s="2">
        <v>106</v>
      </c>
      <c r="D226" s="2"/>
      <c r="E226" s="2">
        <v>109</v>
      </c>
      <c r="F226" s="2"/>
      <c r="G226" s="2">
        <v>109</v>
      </c>
      <c r="H226" s="2"/>
      <c r="I226" s="2">
        <v>113</v>
      </c>
      <c r="J226" s="2"/>
      <c r="K226" s="2">
        <v>119</v>
      </c>
      <c r="L226" s="2"/>
      <c r="M226" s="2">
        <v>117</v>
      </c>
      <c r="N226" s="2"/>
      <c r="O226" s="2">
        <v>117</v>
      </c>
      <c r="P226" s="2" t="s">
        <v>334</v>
      </c>
      <c r="Q226" s="2">
        <v>116</v>
      </c>
      <c r="R226" s="2" t="s">
        <v>334</v>
      </c>
      <c r="S226" s="2" t="s">
        <v>43</v>
      </c>
      <c r="T226" s="2"/>
      <c r="U226" s="2" t="s">
        <v>43</v>
      </c>
      <c r="V226" s="2"/>
      <c r="W226" s="2" t="s">
        <v>43</v>
      </c>
      <c r="X226" s="2"/>
      <c r="Y226" s="2" t="s">
        <v>43</v>
      </c>
      <c r="Z226" s="2"/>
      <c r="AA226" s="2" t="s">
        <v>43</v>
      </c>
      <c r="AB226" s="2"/>
      <c r="AC226" s="2"/>
      <c r="AD226" s="2"/>
      <c r="AE226" s="2"/>
      <c r="AF226" s="2"/>
      <c r="AG226" s="2"/>
      <c r="AH226" s="2"/>
    </row>
    <row r="227" spans="1:34">
      <c r="A227" t="s">
        <v>910</v>
      </c>
      <c r="B227" t="s">
        <v>911</v>
      </c>
      <c r="C227" s="2">
        <v>79</v>
      </c>
      <c r="D227" s="2"/>
      <c r="E227" s="2">
        <v>77</v>
      </c>
      <c r="F227" s="2"/>
      <c r="G227" s="2">
        <v>73</v>
      </c>
      <c r="H227" s="2"/>
      <c r="I227" s="2">
        <v>73</v>
      </c>
      <c r="J227" s="2"/>
      <c r="K227" s="2">
        <v>78</v>
      </c>
      <c r="L227" s="2"/>
      <c r="M227" s="2">
        <v>78</v>
      </c>
      <c r="N227" s="2"/>
      <c r="O227" s="2">
        <v>79</v>
      </c>
      <c r="P227" s="2" t="s">
        <v>334</v>
      </c>
      <c r="Q227" s="2">
        <v>81</v>
      </c>
      <c r="R227" s="2" t="s">
        <v>334</v>
      </c>
      <c r="S227" s="2" t="s">
        <v>43</v>
      </c>
      <c r="T227" s="2"/>
      <c r="U227" s="2" t="s">
        <v>43</v>
      </c>
      <c r="V227" s="2"/>
      <c r="W227" s="2" t="s">
        <v>43</v>
      </c>
      <c r="X227" s="2"/>
      <c r="Y227" s="2" t="s">
        <v>43</v>
      </c>
      <c r="Z227" s="2"/>
      <c r="AA227" s="2" t="s">
        <v>43</v>
      </c>
      <c r="AB227" s="2"/>
      <c r="AC227" s="2"/>
      <c r="AD227" s="2"/>
      <c r="AE227" s="2"/>
      <c r="AF227" s="2"/>
      <c r="AG227" s="2"/>
      <c r="AH227" s="2"/>
    </row>
    <row r="228" spans="1:34">
      <c r="A228" t="s">
        <v>912</v>
      </c>
      <c r="B228" t="s">
        <v>913</v>
      </c>
      <c r="C228" s="2">
        <v>59</v>
      </c>
      <c r="D228" s="2"/>
      <c r="E228" s="2">
        <v>59</v>
      </c>
      <c r="F228" s="2"/>
      <c r="G228" s="2">
        <v>53</v>
      </c>
      <c r="H228" s="2"/>
      <c r="I228" s="2">
        <v>48</v>
      </c>
      <c r="J228" s="2"/>
      <c r="K228" s="2">
        <v>69</v>
      </c>
      <c r="L228" s="2"/>
      <c r="M228" s="2">
        <v>66</v>
      </c>
      <c r="N228" s="2"/>
      <c r="O228" s="2">
        <v>69</v>
      </c>
      <c r="P228" s="2" t="s">
        <v>334</v>
      </c>
      <c r="Q228" s="2">
        <v>66</v>
      </c>
      <c r="R228" s="2" t="s">
        <v>334</v>
      </c>
      <c r="S228" s="2" t="s">
        <v>43</v>
      </c>
      <c r="T228" s="2"/>
      <c r="U228" s="2" t="s">
        <v>43</v>
      </c>
      <c r="V228" s="2"/>
      <c r="W228" s="2" t="s">
        <v>43</v>
      </c>
      <c r="X228" s="2"/>
      <c r="Y228" s="2" t="s">
        <v>43</v>
      </c>
      <c r="Z228" s="2"/>
      <c r="AA228" s="2" t="s">
        <v>43</v>
      </c>
      <c r="AB228" s="2"/>
      <c r="AC228" s="2"/>
      <c r="AD228" s="2"/>
      <c r="AE228" s="2"/>
      <c r="AF228" s="2"/>
      <c r="AG228" s="2"/>
      <c r="AH228" s="2"/>
    </row>
    <row r="229" spans="1:34">
      <c r="A229" t="s">
        <v>914</v>
      </c>
      <c r="B229" t="s">
        <v>915</v>
      </c>
      <c r="C229" s="2">
        <v>480</v>
      </c>
      <c r="D229" s="2"/>
      <c r="E229" s="2">
        <v>472</v>
      </c>
      <c r="F229" s="2"/>
      <c r="G229" s="2">
        <v>475</v>
      </c>
      <c r="H229" s="2"/>
      <c r="I229" s="2">
        <v>470</v>
      </c>
      <c r="J229" s="2"/>
      <c r="K229" s="2">
        <v>482</v>
      </c>
      <c r="L229" s="2"/>
      <c r="M229" s="2">
        <v>478</v>
      </c>
      <c r="N229" s="2"/>
      <c r="O229" s="2">
        <v>484</v>
      </c>
      <c r="P229" s="2" t="s">
        <v>334</v>
      </c>
      <c r="Q229" s="2">
        <v>470</v>
      </c>
      <c r="R229" s="2" t="s">
        <v>334</v>
      </c>
      <c r="S229" s="2" t="s">
        <v>43</v>
      </c>
      <c r="T229" s="2"/>
      <c r="U229" s="2" t="s">
        <v>43</v>
      </c>
      <c r="V229" s="2"/>
      <c r="W229" s="2" t="s">
        <v>43</v>
      </c>
      <c r="X229" s="2"/>
      <c r="Y229" s="2" t="s">
        <v>43</v>
      </c>
      <c r="Z229" s="2"/>
      <c r="AA229" s="2" t="s">
        <v>43</v>
      </c>
      <c r="AB229" s="2"/>
      <c r="AC229" s="2"/>
      <c r="AD229" s="2"/>
      <c r="AE229" s="2"/>
      <c r="AF229" s="2"/>
      <c r="AG229" s="2"/>
      <c r="AH229" s="2"/>
    </row>
    <row r="230" spans="1:34">
      <c r="A230" t="s">
        <v>916</v>
      </c>
      <c r="B230" t="s">
        <v>917</v>
      </c>
      <c r="C230" s="2">
        <v>246</v>
      </c>
      <c r="D230" s="2"/>
      <c r="E230" s="2">
        <v>249</v>
      </c>
      <c r="F230" s="2"/>
      <c r="G230" s="2">
        <v>258</v>
      </c>
      <c r="H230" s="2"/>
      <c r="I230" s="2">
        <v>252</v>
      </c>
      <c r="J230" s="2"/>
      <c r="K230" s="2">
        <v>263</v>
      </c>
      <c r="L230" s="2"/>
      <c r="M230" s="2">
        <v>268</v>
      </c>
      <c r="N230" s="2"/>
      <c r="O230" s="2">
        <v>274</v>
      </c>
      <c r="P230" s="2" t="s">
        <v>334</v>
      </c>
      <c r="Q230" s="2">
        <v>262</v>
      </c>
      <c r="R230" s="2" t="s">
        <v>334</v>
      </c>
      <c r="S230" s="2" t="s">
        <v>43</v>
      </c>
      <c r="T230" s="2"/>
      <c r="U230" s="2" t="s">
        <v>43</v>
      </c>
      <c r="V230" s="2"/>
      <c r="W230" s="2" t="s">
        <v>43</v>
      </c>
      <c r="X230" s="2"/>
      <c r="Y230" s="2" t="s">
        <v>43</v>
      </c>
      <c r="Z230" s="2"/>
      <c r="AA230" s="2" t="s">
        <v>43</v>
      </c>
      <c r="AB230" s="2"/>
      <c r="AC230" s="2"/>
      <c r="AD230" s="2"/>
      <c r="AE230" s="2"/>
      <c r="AF230" s="2"/>
      <c r="AG230" s="2"/>
      <c r="AH230" s="2"/>
    </row>
    <row r="231" spans="1:34">
      <c r="A231" t="s">
        <v>918</v>
      </c>
      <c r="B231" t="s">
        <v>919</v>
      </c>
      <c r="C231" s="2">
        <v>128</v>
      </c>
      <c r="D231" s="2"/>
      <c r="E231" s="2">
        <v>123</v>
      </c>
      <c r="F231" s="2"/>
      <c r="G231" s="2">
        <v>120</v>
      </c>
      <c r="H231" s="2"/>
      <c r="I231" s="2">
        <v>128</v>
      </c>
      <c r="J231" s="2"/>
      <c r="K231" s="2">
        <v>127</v>
      </c>
      <c r="L231" s="2"/>
      <c r="M231" s="2">
        <v>119</v>
      </c>
      <c r="N231" s="2"/>
      <c r="O231" s="2">
        <v>118</v>
      </c>
      <c r="P231" s="2" t="s">
        <v>334</v>
      </c>
      <c r="Q231" s="2">
        <v>119</v>
      </c>
      <c r="R231" s="2" t="s">
        <v>334</v>
      </c>
      <c r="S231" s="2" t="s">
        <v>43</v>
      </c>
      <c r="T231" s="2"/>
      <c r="U231" s="2" t="s">
        <v>43</v>
      </c>
      <c r="V231" s="2"/>
      <c r="W231" s="2" t="s">
        <v>43</v>
      </c>
      <c r="X231" s="2"/>
      <c r="Y231" s="2" t="s">
        <v>43</v>
      </c>
      <c r="Z231" s="2"/>
      <c r="AA231" s="2" t="s">
        <v>43</v>
      </c>
      <c r="AB231" s="2"/>
      <c r="AC231" s="2"/>
      <c r="AD231" s="2"/>
      <c r="AE231" s="2"/>
      <c r="AF231" s="2"/>
      <c r="AG231" s="2"/>
      <c r="AH231" s="2"/>
    </row>
    <row r="232" spans="1:34">
      <c r="A232" t="s">
        <v>920</v>
      </c>
      <c r="B232" t="s">
        <v>921</v>
      </c>
      <c r="C232" s="2">
        <v>106</v>
      </c>
      <c r="D232" s="2"/>
      <c r="E232" s="2">
        <v>100</v>
      </c>
      <c r="F232" s="2"/>
      <c r="G232" s="2">
        <v>97</v>
      </c>
      <c r="H232" s="2"/>
      <c r="I232" s="2">
        <v>90</v>
      </c>
      <c r="J232" s="2"/>
      <c r="K232" s="2">
        <v>92</v>
      </c>
      <c r="L232" s="2"/>
      <c r="M232" s="2">
        <v>91</v>
      </c>
      <c r="N232" s="2"/>
      <c r="O232" s="2">
        <v>92</v>
      </c>
      <c r="P232" s="2" t="s">
        <v>334</v>
      </c>
      <c r="Q232" s="2">
        <v>89</v>
      </c>
      <c r="R232" s="2" t="s">
        <v>334</v>
      </c>
      <c r="S232" s="2" t="s">
        <v>43</v>
      </c>
      <c r="T232" s="2"/>
      <c r="U232" s="2" t="s">
        <v>43</v>
      </c>
      <c r="V232" s="2"/>
      <c r="W232" s="2" t="s">
        <v>43</v>
      </c>
      <c r="X232" s="2"/>
      <c r="Y232" s="2" t="s">
        <v>43</v>
      </c>
      <c r="Z232" s="2"/>
      <c r="AA232" s="2" t="s">
        <v>43</v>
      </c>
      <c r="AB232" s="2"/>
      <c r="AC232" s="2"/>
      <c r="AD232" s="2"/>
      <c r="AE232" s="2"/>
      <c r="AF232" s="2"/>
      <c r="AG232" s="2"/>
      <c r="AH232" s="2"/>
    </row>
    <row r="233" spans="1:34">
      <c r="A233" t="s">
        <v>922</v>
      </c>
      <c r="B233" t="s">
        <v>923</v>
      </c>
      <c r="C233" s="2">
        <v>279</v>
      </c>
      <c r="D233" s="2"/>
      <c r="E233" s="2">
        <v>275</v>
      </c>
      <c r="F233" s="2"/>
      <c r="G233" s="2">
        <v>268</v>
      </c>
      <c r="H233" s="2"/>
      <c r="I233" s="2">
        <v>264</v>
      </c>
      <c r="J233" s="2"/>
      <c r="K233" s="2">
        <v>259</v>
      </c>
      <c r="L233" s="2"/>
      <c r="M233" s="2">
        <v>267</v>
      </c>
      <c r="N233" s="2"/>
      <c r="O233" s="2">
        <v>266</v>
      </c>
      <c r="P233" s="2" t="s">
        <v>334</v>
      </c>
      <c r="Q233" s="2">
        <v>270</v>
      </c>
      <c r="R233" s="2" t="s">
        <v>334</v>
      </c>
      <c r="S233" s="2" t="s">
        <v>43</v>
      </c>
      <c r="T233" s="2"/>
      <c r="U233" s="2" t="s">
        <v>43</v>
      </c>
      <c r="V233" s="2"/>
      <c r="W233" s="2" t="s">
        <v>43</v>
      </c>
      <c r="X233" s="2"/>
      <c r="Y233" s="2" t="s">
        <v>43</v>
      </c>
      <c r="Z233" s="2"/>
      <c r="AA233" s="2" t="s">
        <v>43</v>
      </c>
      <c r="AB233" s="2"/>
      <c r="AC233" s="2"/>
      <c r="AD233" s="2"/>
      <c r="AE233" s="2"/>
      <c r="AF233" s="2"/>
      <c r="AG233" s="2"/>
      <c r="AH233" s="2"/>
    </row>
    <row r="234" spans="1:34">
      <c r="A234" t="s">
        <v>924</v>
      </c>
      <c r="B234" t="s">
        <v>925</v>
      </c>
      <c r="C234" s="2">
        <v>140</v>
      </c>
      <c r="D234" s="2"/>
      <c r="E234" s="2">
        <v>136</v>
      </c>
      <c r="F234" s="2"/>
      <c r="G234" s="2">
        <v>137</v>
      </c>
      <c r="H234" s="2"/>
      <c r="I234" s="2">
        <v>134</v>
      </c>
      <c r="J234" s="2"/>
      <c r="K234" s="2">
        <v>131</v>
      </c>
      <c r="L234" s="2"/>
      <c r="M234" s="2">
        <v>139</v>
      </c>
      <c r="N234" s="2"/>
      <c r="O234" s="2">
        <v>132</v>
      </c>
      <c r="P234" s="2" t="s">
        <v>334</v>
      </c>
      <c r="Q234" s="2">
        <v>140</v>
      </c>
      <c r="R234" s="2" t="s">
        <v>334</v>
      </c>
      <c r="S234" s="2" t="s">
        <v>43</v>
      </c>
      <c r="T234" s="2"/>
      <c r="U234" s="2" t="s">
        <v>43</v>
      </c>
      <c r="V234" s="2"/>
      <c r="W234" s="2" t="s">
        <v>43</v>
      </c>
      <c r="X234" s="2"/>
      <c r="Y234" s="2" t="s">
        <v>43</v>
      </c>
      <c r="Z234" s="2"/>
      <c r="AA234" s="2" t="s">
        <v>43</v>
      </c>
      <c r="AB234" s="2"/>
      <c r="AC234" s="2"/>
      <c r="AD234" s="2"/>
      <c r="AE234" s="2"/>
      <c r="AF234" s="2"/>
      <c r="AG234" s="2"/>
      <c r="AH234" s="2"/>
    </row>
    <row r="235" spans="1:34">
      <c r="A235" t="s">
        <v>926</v>
      </c>
      <c r="B235" t="s">
        <v>927</v>
      </c>
      <c r="C235" s="2">
        <v>112</v>
      </c>
      <c r="D235" s="2"/>
      <c r="E235" s="2">
        <v>116</v>
      </c>
      <c r="F235" s="2"/>
      <c r="G235" s="2">
        <v>108</v>
      </c>
      <c r="H235" s="2"/>
      <c r="I235" s="2">
        <v>108</v>
      </c>
      <c r="J235" s="2"/>
      <c r="K235" s="2">
        <v>105</v>
      </c>
      <c r="L235" s="2"/>
      <c r="M235" s="2">
        <v>105</v>
      </c>
      <c r="N235" s="2"/>
      <c r="O235" s="2">
        <v>108</v>
      </c>
      <c r="P235" s="2" t="s">
        <v>334</v>
      </c>
      <c r="Q235" s="2">
        <v>108</v>
      </c>
      <c r="R235" s="2" t="s">
        <v>334</v>
      </c>
      <c r="S235" s="2" t="s">
        <v>43</v>
      </c>
      <c r="T235" s="2"/>
      <c r="U235" s="2" t="s">
        <v>43</v>
      </c>
      <c r="V235" s="2"/>
      <c r="W235" s="2" t="s">
        <v>43</v>
      </c>
      <c r="X235" s="2"/>
      <c r="Y235" s="2" t="s">
        <v>43</v>
      </c>
      <c r="Z235" s="2"/>
      <c r="AA235" s="2" t="s">
        <v>43</v>
      </c>
      <c r="AB235" s="2"/>
      <c r="AC235" s="2"/>
      <c r="AD235" s="2"/>
      <c r="AE235" s="2"/>
      <c r="AF235" s="2"/>
      <c r="AG235" s="2"/>
      <c r="AH235" s="2"/>
    </row>
    <row r="236" spans="1:34">
      <c r="A236" t="s">
        <v>928</v>
      </c>
      <c r="B236" t="s">
        <v>929</v>
      </c>
      <c r="C236" s="2">
        <v>27</v>
      </c>
      <c r="D236" s="2"/>
      <c r="E236" s="2">
        <v>23</v>
      </c>
      <c r="F236" s="2"/>
      <c r="G236" s="2">
        <v>23</v>
      </c>
      <c r="H236" s="2"/>
      <c r="I236" s="2">
        <v>22</v>
      </c>
      <c r="J236" s="2"/>
      <c r="K236" s="2">
        <v>23</v>
      </c>
      <c r="L236" s="2"/>
      <c r="M236" s="2">
        <v>23</v>
      </c>
      <c r="N236" s="2"/>
      <c r="O236" s="2">
        <v>26</v>
      </c>
      <c r="P236" s="2" t="s">
        <v>334</v>
      </c>
      <c r="Q236" s="2">
        <v>22</v>
      </c>
      <c r="R236" s="2" t="s">
        <v>334</v>
      </c>
      <c r="S236" s="2" t="s">
        <v>43</v>
      </c>
      <c r="T236" s="2"/>
      <c r="U236" s="2" t="s">
        <v>43</v>
      </c>
      <c r="V236" s="2"/>
      <c r="W236" s="2" t="s">
        <v>43</v>
      </c>
      <c r="X236" s="2"/>
      <c r="Y236" s="2" t="s">
        <v>43</v>
      </c>
      <c r="Z236" s="2"/>
      <c r="AA236" s="2" t="s">
        <v>43</v>
      </c>
      <c r="AB236" s="2"/>
      <c r="AC236" s="2"/>
      <c r="AD236" s="2"/>
      <c r="AE236" s="2"/>
      <c r="AF236" s="2"/>
      <c r="AG236" s="2"/>
      <c r="AH236" s="2"/>
    </row>
    <row r="237" spans="1:34">
      <c r="A237" t="s">
        <v>930</v>
      </c>
      <c r="B237" t="s">
        <v>931</v>
      </c>
      <c r="C237" s="2">
        <v>474</v>
      </c>
      <c r="D237" s="2"/>
      <c r="E237" s="2">
        <v>477</v>
      </c>
      <c r="F237" s="2"/>
      <c r="G237" s="2">
        <v>447</v>
      </c>
      <c r="H237" s="2"/>
      <c r="I237" s="2">
        <v>453</v>
      </c>
      <c r="J237" s="2"/>
      <c r="K237" s="2">
        <v>539</v>
      </c>
      <c r="L237" s="2"/>
      <c r="M237" s="2">
        <v>529</v>
      </c>
      <c r="N237" s="2"/>
      <c r="O237" s="2">
        <v>533</v>
      </c>
      <c r="P237" s="2" t="s">
        <v>334</v>
      </c>
      <c r="Q237" s="2">
        <v>512</v>
      </c>
      <c r="R237" s="2" t="s">
        <v>334</v>
      </c>
      <c r="S237" s="2" t="s">
        <v>43</v>
      </c>
      <c r="T237" s="2"/>
      <c r="U237" s="2" t="s">
        <v>43</v>
      </c>
      <c r="V237" s="2"/>
      <c r="W237" s="2" t="s">
        <v>43</v>
      </c>
      <c r="X237" s="2"/>
      <c r="Y237" s="2" t="s">
        <v>43</v>
      </c>
      <c r="Z237" s="2"/>
      <c r="AA237" s="2" t="s">
        <v>43</v>
      </c>
      <c r="AB237" s="2"/>
      <c r="AC237" s="2"/>
      <c r="AD237" s="2"/>
      <c r="AE237" s="2"/>
      <c r="AF237" s="2"/>
      <c r="AG237" s="2"/>
      <c r="AH237" s="2"/>
    </row>
    <row r="238" spans="1:34">
      <c r="A238" t="s">
        <v>932</v>
      </c>
      <c r="B238" t="s">
        <v>933</v>
      </c>
      <c r="C238" s="2">
        <v>416</v>
      </c>
      <c r="D238" s="2"/>
      <c r="E238" s="2">
        <v>421</v>
      </c>
      <c r="F238" s="2"/>
      <c r="G238" s="2">
        <v>397</v>
      </c>
      <c r="H238" s="2"/>
      <c r="I238" s="2">
        <v>400</v>
      </c>
      <c r="J238" s="2"/>
      <c r="K238" s="2">
        <v>483</v>
      </c>
      <c r="L238" s="2"/>
      <c r="M238" s="2">
        <v>470</v>
      </c>
      <c r="N238" s="2"/>
      <c r="O238" s="2">
        <v>472</v>
      </c>
      <c r="P238" s="2" t="s">
        <v>334</v>
      </c>
      <c r="Q238" s="2">
        <v>458</v>
      </c>
      <c r="R238" s="2" t="s">
        <v>334</v>
      </c>
      <c r="S238" s="2" t="s">
        <v>43</v>
      </c>
      <c r="T238" s="2"/>
      <c r="U238" s="2" t="s">
        <v>43</v>
      </c>
      <c r="V238" s="2"/>
      <c r="W238" s="2" t="s">
        <v>43</v>
      </c>
      <c r="X238" s="2"/>
      <c r="Y238" s="2" t="s">
        <v>43</v>
      </c>
      <c r="Z238" s="2"/>
      <c r="AA238" s="2" t="s">
        <v>43</v>
      </c>
      <c r="AB238" s="2"/>
      <c r="AC238" s="2"/>
      <c r="AD238" s="2"/>
      <c r="AE238" s="2"/>
      <c r="AF238" s="2"/>
      <c r="AG238" s="2"/>
      <c r="AH238" s="2"/>
    </row>
    <row r="239" spans="1:34">
      <c r="A239" t="s">
        <v>934</v>
      </c>
      <c r="B239" t="s">
        <v>935</v>
      </c>
      <c r="C239" s="2">
        <v>58</v>
      </c>
      <c r="D239" s="2"/>
      <c r="E239" s="2">
        <v>56</v>
      </c>
      <c r="F239" s="2"/>
      <c r="G239" s="2">
        <v>50</v>
      </c>
      <c r="H239" s="2"/>
      <c r="I239" s="2">
        <v>53</v>
      </c>
      <c r="J239" s="2"/>
      <c r="K239" s="2">
        <v>56</v>
      </c>
      <c r="L239" s="2"/>
      <c r="M239" s="2">
        <v>59</v>
      </c>
      <c r="N239" s="2"/>
      <c r="O239" s="2">
        <v>61</v>
      </c>
      <c r="P239" s="2" t="s">
        <v>334</v>
      </c>
      <c r="Q239" s="2">
        <v>54</v>
      </c>
      <c r="R239" s="2" t="s">
        <v>334</v>
      </c>
      <c r="S239" s="2" t="s">
        <v>43</v>
      </c>
      <c r="T239" s="2"/>
      <c r="U239" s="2" t="s">
        <v>43</v>
      </c>
      <c r="V239" s="2"/>
      <c r="W239" s="2" t="s">
        <v>43</v>
      </c>
      <c r="X239" s="2"/>
      <c r="Y239" s="2" t="s">
        <v>43</v>
      </c>
      <c r="Z239" s="2"/>
      <c r="AA239" s="2" t="s">
        <v>43</v>
      </c>
      <c r="AB239" s="2"/>
      <c r="AC239" s="2"/>
      <c r="AD239" s="2"/>
      <c r="AE239" s="2"/>
      <c r="AF239" s="2"/>
      <c r="AG239" s="2"/>
      <c r="AH239" s="2"/>
    </row>
    <row r="240" spans="1:34">
      <c r="A240" t="s">
        <v>936</v>
      </c>
      <c r="B240" t="s">
        <v>937</v>
      </c>
      <c r="C240" s="2">
        <v>278</v>
      </c>
      <c r="D240" s="2"/>
      <c r="E240" s="2">
        <v>282</v>
      </c>
      <c r="F240" s="2"/>
      <c r="G240" s="2">
        <v>274</v>
      </c>
      <c r="H240" s="2"/>
      <c r="I240" s="2">
        <v>266</v>
      </c>
      <c r="J240" s="2"/>
      <c r="K240" s="2">
        <v>268</v>
      </c>
      <c r="L240" s="2"/>
      <c r="M240" s="2">
        <v>254</v>
      </c>
      <c r="N240" s="2"/>
      <c r="O240" s="2">
        <v>252</v>
      </c>
      <c r="P240" s="2" t="s">
        <v>334</v>
      </c>
      <c r="Q240" s="2">
        <v>251</v>
      </c>
      <c r="R240" s="2" t="s">
        <v>334</v>
      </c>
      <c r="S240" s="2" t="s">
        <v>43</v>
      </c>
      <c r="T240" s="2"/>
      <c r="U240" s="2" t="s">
        <v>43</v>
      </c>
      <c r="V240" s="2"/>
      <c r="W240" s="2" t="s">
        <v>43</v>
      </c>
      <c r="X240" s="2"/>
      <c r="Y240" s="2" t="s">
        <v>43</v>
      </c>
      <c r="Z240" s="2"/>
      <c r="AA240" s="2" t="s">
        <v>43</v>
      </c>
      <c r="AB240" s="2"/>
      <c r="AC240" s="2"/>
      <c r="AD240" s="2"/>
      <c r="AE240" s="2"/>
      <c r="AF240" s="2"/>
      <c r="AG240" s="2"/>
      <c r="AH240" s="2"/>
    </row>
    <row r="241" spans="1:34">
      <c r="A241" t="s">
        <v>938</v>
      </c>
      <c r="B241" t="s">
        <v>939</v>
      </c>
      <c r="C241" s="2">
        <v>89</v>
      </c>
      <c r="D241" s="2"/>
      <c r="E241" s="2">
        <v>92</v>
      </c>
      <c r="F241" s="2"/>
      <c r="G241" s="2">
        <v>91</v>
      </c>
      <c r="H241" s="2"/>
      <c r="I241" s="2">
        <v>86</v>
      </c>
      <c r="J241" s="2"/>
      <c r="K241" s="2">
        <v>88</v>
      </c>
      <c r="L241" s="2"/>
      <c r="M241" s="2">
        <v>83</v>
      </c>
      <c r="N241" s="2"/>
      <c r="O241" s="2">
        <v>86</v>
      </c>
      <c r="P241" s="2" t="s">
        <v>334</v>
      </c>
      <c r="Q241" s="2">
        <v>88</v>
      </c>
      <c r="R241" s="2" t="s">
        <v>334</v>
      </c>
      <c r="S241" s="2" t="s">
        <v>43</v>
      </c>
      <c r="T241" s="2"/>
      <c r="U241" s="2" t="s">
        <v>43</v>
      </c>
      <c r="V241" s="2"/>
      <c r="W241" s="2" t="s">
        <v>43</v>
      </c>
      <c r="X241" s="2"/>
      <c r="Y241" s="2" t="s">
        <v>43</v>
      </c>
      <c r="Z241" s="2"/>
      <c r="AA241" s="2" t="s">
        <v>43</v>
      </c>
      <c r="AB241" s="2"/>
      <c r="AC241" s="2"/>
      <c r="AD241" s="2"/>
      <c r="AE241" s="2"/>
      <c r="AF241" s="2"/>
      <c r="AG241" s="2"/>
      <c r="AH241" s="2"/>
    </row>
    <row r="242" spans="1:34">
      <c r="A242" t="s">
        <v>940</v>
      </c>
      <c r="B242" t="s">
        <v>941</v>
      </c>
      <c r="C242" s="2">
        <v>179</v>
      </c>
      <c r="D242" s="2"/>
      <c r="E242" s="2">
        <v>178</v>
      </c>
      <c r="F242" s="2"/>
      <c r="G242" s="2">
        <v>172</v>
      </c>
      <c r="H242" s="2"/>
      <c r="I242" s="2">
        <v>169</v>
      </c>
      <c r="J242" s="2"/>
      <c r="K242" s="2">
        <v>169</v>
      </c>
      <c r="L242" s="2"/>
      <c r="M242" s="2">
        <v>161</v>
      </c>
      <c r="N242" s="2"/>
      <c r="O242" s="2">
        <v>155</v>
      </c>
      <c r="P242" s="2" t="s">
        <v>334</v>
      </c>
      <c r="Q242" s="2">
        <v>152</v>
      </c>
      <c r="R242" s="2" t="s">
        <v>334</v>
      </c>
      <c r="S242" s="2" t="s">
        <v>43</v>
      </c>
      <c r="T242" s="2"/>
      <c r="U242" s="2" t="s">
        <v>43</v>
      </c>
      <c r="V242" s="2"/>
      <c r="W242" s="2" t="s">
        <v>43</v>
      </c>
      <c r="X242" s="2"/>
      <c r="Y242" s="2" t="s">
        <v>43</v>
      </c>
      <c r="Z242" s="2"/>
      <c r="AA242" s="2" t="s">
        <v>43</v>
      </c>
      <c r="AB242" s="2"/>
      <c r="AC242" s="2"/>
      <c r="AD242" s="2"/>
      <c r="AE242" s="2"/>
      <c r="AF242" s="2"/>
      <c r="AG242" s="2"/>
      <c r="AH242" s="2"/>
    </row>
    <row r="243" spans="1:34">
      <c r="A243" t="s">
        <v>942</v>
      </c>
      <c r="B243" t="s">
        <v>943</v>
      </c>
      <c r="C243" s="2">
        <v>10</v>
      </c>
      <c r="D243" s="2"/>
      <c r="E243" s="2">
        <v>12</v>
      </c>
      <c r="F243" s="2"/>
      <c r="G243" s="2">
        <v>11</v>
      </c>
      <c r="H243" s="2"/>
      <c r="I243" s="2">
        <v>11</v>
      </c>
      <c r="J243" s="2"/>
      <c r="K243" s="2">
        <v>11</v>
      </c>
      <c r="L243" s="2"/>
      <c r="M243" s="2">
        <v>10</v>
      </c>
      <c r="N243" s="2"/>
      <c r="O243" s="2">
        <v>11</v>
      </c>
      <c r="P243" s="2" t="s">
        <v>334</v>
      </c>
      <c r="Q243" s="2">
        <v>11</v>
      </c>
      <c r="R243" s="2" t="s">
        <v>334</v>
      </c>
      <c r="S243" s="2" t="s">
        <v>43</v>
      </c>
      <c r="T243" s="2"/>
      <c r="U243" s="2" t="s">
        <v>43</v>
      </c>
      <c r="V243" s="2"/>
      <c r="W243" s="2" t="s">
        <v>43</v>
      </c>
      <c r="X243" s="2"/>
      <c r="Y243" s="2" t="s">
        <v>43</v>
      </c>
      <c r="Z243" s="2"/>
      <c r="AA243" s="2" t="s">
        <v>43</v>
      </c>
      <c r="AB243" s="2"/>
      <c r="AC243" s="2"/>
      <c r="AD243" s="2"/>
      <c r="AE243" s="2"/>
      <c r="AF243" s="2"/>
      <c r="AG243" s="2"/>
      <c r="AH243" s="2"/>
    </row>
    <row r="244" spans="1:34">
      <c r="A244" t="s">
        <v>944</v>
      </c>
      <c r="B244" t="s">
        <v>945</v>
      </c>
      <c r="C244" s="2" t="s">
        <v>43</v>
      </c>
      <c r="D244" s="2"/>
      <c r="E244" s="2" t="s">
        <v>43</v>
      </c>
      <c r="F244" s="2"/>
      <c r="G244" s="2" t="s">
        <v>43</v>
      </c>
      <c r="H244" s="2"/>
      <c r="I244" s="2" t="s">
        <v>43</v>
      </c>
      <c r="J244" s="2"/>
      <c r="K244" s="2" t="s">
        <v>43</v>
      </c>
      <c r="L244" s="2"/>
      <c r="M244" s="2">
        <v>77</v>
      </c>
      <c r="N244" s="2"/>
      <c r="O244" s="2">
        <v>80</v>
      </c>
      <c r="P244" s="2" t="s">
        <v>334</v>
      </c>
      <c r="Q244" s="2">
        <v>81</v>
      </c>
      <c r="R244" s="2" t="s">
        <v>334</v>
      </c>
      <c r="S244" s="2" t="s">
        <v>43</v>
      </c>
      <c r="T244" s="2"/>
      <c r="U244" s="2" t="s">
        <v>43</v>
      </c>
      <c r="V244" s="2"/>
      <c r="W244" s="2" t="s">
        <v>43</v>
      </c>
      <c r="X244" s="2"/>
      <c r="Y244" s="2" t="s">
        <v>43</v>
      </c>
      <c r="Z244" s="2"/>
      <c r="AA244" s="2" t="s">
        <v>43</v>
      </c>
      <c r="AB244" s="2"/>
      <c r="AC244" s="2"/>
      <c r="AD244" s="2"/>
      <c r="AE244" s="2"/>
      <c r="AF244" s="2"/>
      <c r="AG244" s="2"/>
      <c r="AH244" s="2"/>
    </row>
    <row r="245" spans="1:34">
      <c r="A245" t="s">
        <v>946</v>
      </c>
      <c r="B245" t="s">
        <v>947</v>
      </c>
      <c r="C245" s="2" t="s">
        <v>43</v>
      </c>
      <c r="D245" s="2"/>
      <c r="E245" s="2" t="s">
        <v>43</v>
      </c>
      <c r="F245" s="2"/>
      <c r="G245" s="2" t="s">
        <v>43</v>
      </c>
      <c r="H245" s="2"/>
      <c r="I245" s="2" t="s">
        <v>43</v>
      </c>
      <c r="J245" s="2"/>
      <c r="K245" s="2" t="s">
        <v>43</v>
      </c>
      <c r="L245" s="2"/>
      <c r="M245" s="2">
        <v>13</v>
      </c>
      <c r="N245" s="2"/>
      <c r="O245" s="2">
        <v>14</v>
      </c>
      <c r="P245" s="2" t="s">
        <v>334</v>
      </c>
      <c r="Q245" s="2">
        <v>17</v>
      </c>
      <c r="R245" s="2" t="s">
        <v>334</v>
      </c>
      <c r="S245" s="2" t="s">
        <v>43</v>
      </c>
      <c r="T245" s="2"/>
      <c r="U245" s="2" t="s">
        <v>43</v>
      </c>
      <c r="V245" s="2"/>
      <c r="W245" s="2" t="s">
        <v>43</v>
      </c>
      <c r="X245" s="2"/>
      <c r="Y245" s="2" t="s">
        <v>43</v>
      </c>
      <c r="Z245" s="2"/>
      <c r="AA245" s="2" t="s">
        <v>43</v>
      </c>
      <c r="AB245" s="2"/>
      <c r="AC245" s="2"/>
      <c r="AD245" s="2"/>
      <c r="AE245" s="2"/>
      <c r="AF245" s="2"/>
      <c r="AG245" s="2"/>
      <c r="AH245" s="2"/>
    </row>
    <row r="246" spans="1:34">
      <c r="A246" t="s">
        <v>948</v>
      </c>
      <c r="B246" t="s">
        <v>949</v>
      </c>
      <c r="C246" s="2" t="s">
        <v>43</v>
      </c>
      <c r="D246" s="2"/>
      <c r="E246" s="2" t="s">
        <v>43</v>
      </c>
      <c r="F246" s="2"/>
      <c r="G246" s="2" t="s">
        <v>43</v>
      </c>
      <c r="H246" s="2"/>
      <c r="I246" s="2" t="s">
        <v>43</v>
      </c>
      <c r="J246" s="2"/>
      <c r="K246" s="2" t="s">
        <v>43</v>
      </c>
      <c r="L246" s="2"/>
      <c r="M246" s="2">
        <v>9</v>
      </c>
      <c r="N246" s="2"/>
      <c r="O246" s="2">
        <v>10</v>
      </c>
      <c r="P246" s="2" t="s">
        <v>334</v>
      </c>
      <c r="Q246" s="2">
        <v>11</v>
      </c>
      <c r="R246" s="2" t="s">
        <v>334</v>
      </c>
      <c r="S246" s="2" t="s">
        <v>43</v>
      </c>
      <c r="T246" s="2"/>
      <c r="U246" s="2" t="s">
        <v>43</v>
      </c>
      <c r="V246" s="2"/>
      <c r="W246" s="2" t="s">
        <v>43</v>
      </c>
      <c r="X246" s="2"/>
      <c r="Y246" s="2" t="s">
        <v>43</v>
      </c>
      <c r="Z246" s="2"/>
      <c r="AA246" s="2" t="s">
        <v>43</v>
      </c>
      <c r="AB246" s="2"/>
      <c r="AC246" s="2"/>
      <c r="AD246" s="2"/>
      <c r="AE246" s="2"/>
      <c r="AF246" s="2"/>
      <c r="AG246" s="2"/>
      <c r="AH246" s="2"/>
    </row>
    <row r="247" spans="1:34">
      <c r="A247" t="s">
        <v>950</v>
      </c>
      <c r="B247" t="s">
        <v>951</v>
      </c>
      <c r="C247" s="2" t="s">
        <v>43</v>
      </c>
      <c r="D247" s="2"/>
      <c r="E247" s="2" t="s">
        <v>43</v>
      </c>
      <c r="F247" s="2"/>
      <c r="G247" s="2" t="s">
        <v>43</v>
      </c>
      <c r="H247" s="2"/>
      <c r="I247" s="2" t="s">
        <v>43</v>
      </c>
      <c r="J247" s="2"/>
      <c r="K247" s="2" t="s">
        <v>43</v>
      </c>
      <c r="L247" s="2"/>
      <c r="M247" s="2">
        <v>6</v>
      </c>
      <c r="N247" s="2"/>
      <c r="O247" s="2">
        <v>6</v>
      </c>
      <c r="P247" s="2" t="s">
        <v>334</v>
      </c>
      <c r="Q247" s="2">
        <v>4</v>
      </c>
      <c r="R247" s="2" t="s">
        <v>334</v>
      </c>
      <c r="S247" s="2" t="s">
        <v>43</v>
      </c>
      <c r="T247" s="2"/>
      <c r="U247" s="2" t="s">
        <v>43</v>
      </c>
      <c r="V247" s="2"/>
      <c r="W247" s="2" t="s">
        <v>43</v>
      </c>
      <c r="X247" s="2"/>
      <c r="Y247" s="2" t="s">
        <v>43</v>
      </c>
      <c r="Z247" s="2"/>
      <c r="AA247" s="2" t="s">
        <v>43</v>
      </c>
      <c r="AB247" s="2"/>
      <c r="AC247" s="2"/>
      <c r="AD247" s="2"/>
      <c r="AE247" s="2"/>
      <c r="AF247" s="2"/>
      <c r="AG247" s="2"/>
      <c r="AH247" s="2"/>
    </row>
    <row r="248" spans="1:34">
      <c r="A248" t="s">
        <v>952</v>
      </c>
      <c r="B248" t="s">
        <v>953</v>
      </c>
      <c r="C248" s="2" t="s">
        <v>43</v>
      </c>
      <c r="D248" s="2"/>
      <c r="E248" s="2" t="s">
        <v>43</v>
      </c>
      <c r="F248" s="2"/>
      <c r="G248" s="2" t="s">
        <v>43</v>
      </c>
      <c r="H248" s="2"/>
      <c r="I248" s="2" t="s">
        <v>43</v>
      </c>
      <c r="J248" s="2"/>
      <c r="K248" s="2" t="s">
        <v>43</v>
      </c>
      <c r="L248" s="2"/>
      <c r="M248" s="2">
        <v>49</v>
      </c>
      <c r="N248" s="2"/>
      <c r="O248" s="2">
        <v>50</v>
      </c>
      <c r="P248" s="2" t="s">
        <v>334</v>
      </c>
      <c r="Q248" s="2">
        <v>49</v>
      </c>
      <c r="R248" s="2" t="s">
        <v>334</v>
      </c>
      <c r="S248" s="2" t="s">
        <v>43</v>
      </c>
      <c r="T248" s="2"/>
      <c r="U248" s="2" t="s">
        <v>43</v>
      </c>
      <c r="V248" s="2"/>
      <c r="W248" s="2" t="s">
        <v>43</v>
      </c>
      <c r="X248" s="2"/>
      <c r="Y248" s="2" t="s">
        <v>43</v>
      </c>
      <c r="Z248" s="2"/>
      <c r="AA248" s="2" t="s">
        <v>43</v>
      </c>
      <c r="AB248" s="2"/>
      <c r="AC248" s="2"/>
      <c r="AD248" s="2"/>
      <c r="AE248" s="2"/>
      <c r="AF248" s="2"/>
      <c r="AG248" s="2"/>
      <c r="AH248" s="2"/>
    </row>
    <row r="249" spans="1:34">
      <c r="A249" t="s">
        <v>954</v>
      </c>
      <c r="B249" t="s">
        <v>955</v>
      </c>
      <c r="C249" s="2" t="s">
        <v>43</v>
      </c>
      <c r="D249" s="2"/>
      <c r="E249" s="2" t="s">
        <v>43</v>
      </c>
      <c r="F249" s="2"/>
      <c r="G249" s="2" t="s">
        <v>43</v>
      </c>
      <c r="H249" s="2"/>
      <c r="I249" s="2" t="s">
        <v>43</v>
      </c>
      <c r="J249" s="2"/>
      <c r="K249" s="2" t="s">
        <v>43</v>
      </c>
      <c r="L249" s="2"/>
      <c r="M249" s="2" t="s">
        <v>43</v>
      </c>
      <c r="N249" s="2"/>
      <c r="O249" s="2">
        <v>0</v>
      </c>
      <c r="P249" s="2" t="s">
        <v>334</v>
      </c>
      <c r="Q249" s="2">
        <v>0</v>
      </c>
      <c r="R249" s="2" t="s">
        <v>334</v>
      </c>
      <c r="S249" s="2" t="s">
        <v>43</v>
      </c>
      <c r="T249" s="2"/>
      <c r="U249" s="2" t="s">
        <v>43</v>
      </c>
      <c r="V249" s="2"/>
      <c r="W249" s="2" t="s">
        <v>43</v>
      </c>
      <c r="X249" s="2"/>
      <c r="Y249" s="2" t="s">
        <v>43</v>
      </c>
      <c r="Z249" s="2"/>
      <c r="AA249" s="2" t="s">
        <v>43</v>
      </c>
      <c r="AB249" s="2"/>
      <c r="AC249" s="2"/>
      <c r="AD249" s="2"/>
      <c r="AE249" s="2"/>
      <c r="AF249" s="2"/>
      <c r="AG249" s="2"/>
      <c r="AH249" s="2"/>
    </row>
    <row r="250" spans="1:34">
      <c r="A250" t="s">
        <v>956</v>
      </c>
      <c r="B250" t="s">
        <v>957</v>
      </c>
      <c r="C250" s="2" t="s">
        <v>43</v>
      </c>
      <c r="D250" s="2" t="s">
        <v>44</v>
      </c>
      <c r="E250" s="2">
        <v>73</v>
      </c>
      <c r="F250" s="2"/>
      <c r="G250" s="2">
        <v>69</v>
      </c>
      <c r="H250" s="2"/>
      <c r="I250" s="2">
        <v>75</v>
      </c>
      <c r="J250" s="2"/>
      <c r="K250" s="2">
        <v>74</v>
      </c>
      <c r="L250" s="2"/>
      <c r="M250" s="2" t="s">
        <v>43</v>
      </c>
      <c r="N250" s="2"/>
      <c r="O250" s="2" t="s">
        <v>43</v>
      </c>
      <c r="P250" s="2"/>
      <c r="Q250" s="2" t="s">
        <v>43</v>
      </c>
      <c r="R250" s="2"/>
      <c r="S250" s="2" t="s">
        <v>43</v>
      </c>
      <c r="T250" s="2"/>
      <c r="U250" s="2" t="s">
        <v>43</v>
      </c>
      <c r="V250" s="2"/>
      <c r="W250" s="2" t="s">
        <v>43</v>
      </c>
      <c r="X250" s="2"/>
      <c r="Y250" s="2" t="s">
        <v>43</v>
      </c>
      <c r="Z250" s="2"/>
      <c r="AA250" s="2" t="s">
        <v>43</v>
      </c>
      <c r="AB250" s="2"/>
      <c r="AC250" s="2"/>
      <c r="AD250" s="2"/>
      <c r="AE250" s="2"/>
      <c r="AF250" s="2"/>
      <c r="AG250" s="2"/>
      <c r="AH250" s="2"/>
    </row>
    <row r="251" spans="1:34">
      <c r="A251" t="s">
        <v>958</v>
      </c>
      <c r="B251" t="s">
        <v>959</v>
      </c>
      <c r="C251" s="2" t="s">
        <v>43</v>
      </c>
      <c r="D251" s="2" t="s">
        <v>44</v>
      </c>
      <c r="E251" s="2">
        <v>16</v>
      </c>
      <c r="F251" s="2"/>
      <c r="G251" s="2">
        <v>13</v>
      </c>
      <c r="H251" s="2"/>
      <c r="I251" s="2">
        <v>13</v>
      </c>
      <c r="J251" s="2"/>
      <c r="K251" s="2">
        <v>13</v>
      </c>
      <c r="L251" s="2"/>
      <c r="M251" s="2" t="s">
        <v>43</v>
      </c>
      <c r="N251" s="2"/>
      <c r="O251" s="2" t="s">
        <v>43</v>
      </c>
      <c r="P251" s="2"/>
      <c r="Q251" s="2" t="s">
        <v>43</v>
      </c>
      <c r="R251" s="2"/>
      <c r="S251" s="2" t="s">
        <v>43</v>
      </c>
      <c r="T251" s="2"/>
      <c r="U251" s="2" t="s">
        <v>43</v>
      </c>
      <c r="V251" s="2"/>
      <c r="W251" s="2" t="s">
        <v>43</v>
      </c>
      <c r="X251" s="2"/>
      <c r="Y251" s="2" t="s">
        <v>43</v>
      </c>
      <c r="Z251" s="2"/>
      <c r="AA251" s="2" t="s">
        <v>43</v>
      </c>
      <c r="AB251" s="2"/>
      <c r="AC251" s="2"/>
      <c r="AD251" s="2"/>
      <c r="AE251" s="2"/>
      <c r="AF251" s="2"/>
      <c r="AG251" s="2"/>
      <c r="AH251" s="2"/>
    </row>
    <row r="252" spans="1:34">
      <c r="A252" t="s">
        <v>960</v>
      </c>
      <c r="B252" t="s">
        <v>961</v>
      </c>
      <c r="C252" s="2" t="s">
        <v>43</v>
      </c>
      <c r="D252" s="2" t="s">
        <v>44</v>
      </c>
      <c r="E252" s="2">
        <v>12</v>
      </c>
      <c r="F252" s="2"/>
      <c r="G252" s="2">
        <v>11</v>
      </c>
      <c r="H252" s="2"/>
      <c r="I252" s="2">
        <v>11</v>
      </c>
      <c r="J252" s="2"/>
      <c r="K252" s="2">
        <v>10</v>
      </c>
      <c r="L252" s="2"/>
      <c r="M252" s="2" t="s">
        <v>43</v>
      </c>
      <c r="N252" s="2"/>
      <c r="O252" s="2" t="s">
        <v>43</v>
      </c>
      <c r="P252" s="2"/>
      <c r="Q252" s="2" t="s">
        <v>43</v>
      </c>
      <c r="R252" s="2"/>
      <c r="S252" s="2" t="s">
        <v>43</v>
      </c>
      <c r="T252" s="2"/>
      <c r="U252" s="2" t="s">
        <v>43</v>
      </c>
      <c r="V252" s="2"/>
      <c r="W252" s="2" t="s">
        <v>43</v>
      </c>
      <c r="X252" s="2"/>
      <c r="Y252" s="2" t="s">
        <v>43</v>
      </c>
      <c r="Z252" s="2"/>
      <c r="AA252" s="2" t="s">
        <v>43</v>
      </c>
      <c r="AB252" s="2"/>
      <c r="AC252" s="2"/>
      <c r="AD252" s="2"/>
      <c r="AE252" s="2"/>
      <c r="AF252" s="2"/>
      <c r="AG252" s="2"/>
      <c r="AH252" s="2"/>
    </row>
    <row r="253" spans="1:34">
      <c r="A253" t="s">
        <v>962</v>
      </c>
      <c r="B253" t="s">
        <v>963</v>
      </c>
      <c r="C253" s="2" t="s">
        <v>43</v>
      </c>
      <c r="D253" s="2" t="s">
        <v>44</v>
      </c>
      <c r="E253" s="2">
        <v>4</v>
      </c>
      <c r="F253" s="2"/>
      <c r="G253" s="2">
        <v>4</v>
      </c>
      <c r="H253" s="2"/>
      <c r="I253" s="2">
        <v>4</v>
      </c>
      <c r="J253" s="2"/>
      <c r="K253" s="2">
        <v>5</v>
      </c>
      <c r="L253" s="2"/>
      <c r="M253" s="2" t="s">
        <v>43</v>
      </c>
      <c r="N253" s="2"/>
      <c r="O253" s="2" t="s">
        <v>43</v>
      </c>
      <c r="P253" s="2"/>
      <c r="Q253" s="2" t="s">
        <v>43</v>
      </c>
      <c r="R253" s="2"/>
      <c r="S253" s="2" t="s">
        <v>43</v>
      </c>
      <c r="T253" s="2"/>
      <c r="U253" s="2" t="s">
        <v>43</v>
      </c>
      <c r="V253" s="2"/>
      <c r="W253" s="2" t="s">
        <v>43</v>
      </c>
      <c r="X253" s="2"/>
      <c r="Y253" s="2" t="s">
        <v>43</v>
      </c>
      <c r="Z253" s="2"/>
      <c r="AA253" s="2" t="s">
        <v>43</v>
      </c>
      <c r="AB253" s="2"/>
      <c r="AC253" s="2"/>
      <c r="AD253" s="2"/>
      <c r="AE253" s="2"/>
      <c r="AF253" s="2"/>
      <c r="AG253" s="2"/>
      <c r="AH253" s="2"/>
    </row>
    <row r="254" spans="1:34">
      <c r="A254" t="s">
        <v>964</v>
      </c>
      <c r="B254" t="s">
        <v>965</v>
      </c>
      <c r="C254" s="2" t="s">
        <v>43</v>
      </c>
      <c r="D254" s="2" t="s">
        <v>44</v>
      </c>
      <c r="E254" s="2">
        <v>41</v>
      </c>
      <c r="F254" s="2"/>
      <c r="G254" s="2">
        <v>41</v>
      </c>
      <c r="H254" s="2"/>
      <c r="I254" s="2">
        <v>47</v>
      </c>
      <c r="J254" s="2"/>
      <c r="K254" s="2">
        <v>46</v>
      </c>
      <c r="L254" s="2"/>
      <c r="M254" s="2" t="s">
        <v>43</v>
      </c>
      <c r="N254" s="2"/>
      <c r="O254" s="2" t="s">
        <v>43</v>
      </c>
      <c r="P254" s="2"/>
      <c r="Q254" s="2" t="s">
        <v>43</v>
      </c>
      <c r="R254" s="2"/>
      <c r="S254" s="2" t="s">
        <v>43</v>
      </c>
      <c r="T254" s="2"/>
      <c r="U254" s="2" t="s">
        <v>43</v>
      </c>
      <c r="V254" s="2"/>
      <c r="W254" s="2" t="s">
        <v>43</v>
      </c>
      <c r="X254" s="2"/>
      <c r="Y254" s="2" t="s">
        <v>43</v>
      </c>
      <c r="Z254" s="2"/>
      <c r="AA254" s="2" t="s">
        <v>43</v>
      </c>
      <c r="AB254" s="2"/>
      <c r="AC254" s="2"/>
      <c r="AD254" s="2"/>
      <c r="AE254" s="2"/>
      <c r="AF254" s="2"/>
      <c r="AG254" s="2"/>
      <c r="AH254" s="2"/>
    </row>
    <row r="255" spans="1:34">
      <c r="A255" t="s">
        <v>412</v>
      </c>
      <c r="B255" t="s">
        <v>68</v>
      </c>
      <c r="C255" s="2" t="s">
        <v>43</v>
      </c>
      <c r="D255" s="2" t="s">
        <v>44</v>
      </c>
      <c r="E255" s="2">
        <v>0</v>
      </c>
      <c r="F255" s="2"/>
      <c r="G255" s="2">
        <v>0</v>
      </c>
      <c r="H255" s="2"/>
      <c r="I255" s="2">
        <v>0</v>
      </c>
      <c r="J255" s="2"/>
      <c r="K255" s="2">
        <v>0</v>
      </c>
      <c r="L255" s="2"/>
      <c r="M255" s="2">
        <v>0</v>
      </c>
      <c r="N255" s="2"/>
      <c r="O255" s="2">
        <v>0</v>
      </c>
      <c r="P255" s="2" t="s">
        <v>334</v>
      </c>
      <c r="Q255" s="2">
        <v>0</v>
      </c>
      <c r="R255" s="2" t="s">
        <v>334</v>
      </c>
      <c r="S255" s="2" t="s">
        <v>43</v>
      </c>
      <c r="T255" s="2"/>
      <c r="U255" s="2" t="s">
        <v>43</v>
      </c>
      <c r="V255" s="2" t="s">
        <v>334</v>
      </c>
      <c r="W255" s="2" t="s">
        <v>43</v>
      </c>
      <c r="X255" s="2"/>
      <c r="Y255" s="2" t="s">
        <v>43</v>
      </c>
      <c r="Z255" s="2"/>
      <c r="AA255" s="2" t="s">
        <v>43</v>
      </c>
      <c r="AB255" s="2"/>
      <c r="AC255" s="2">
        <v>0</v>
      </c>
      <c r="AD255" s="2" t="s">
        <v>334</v>
      </c>
      <c r="AE255" s="2">
        <v>0</v>
      </c>
      <c r="AF255" s="2"/>
      <c r="AG255" s="2">
        <v>0</v>
      </c>
      <c r="AH255" s="2"/>
    </row>
    <row r="256" spans="1:34">
      <c r="A256" t="s">
        <v>413</v>
      </c>
      <c r="B256" t="s">
        <v>70</v>
      </c>
      <c r="C256" s="2" t="s">
        <v>43</v>
      </c>
      <c r="D256" s="2" t="s">
        <v>44</v>
      </c>
      <c r="E256" s="2">
        <v>0</v>
      </c>
      <c r="F256" s="2"/>
      <c r="G256" s="2">
        <v>0</v>
      </c>
      <c r="H256" s="2"/>
      <c r="I256" s="2">
        <v>0</v>
      </c>
      <c r="J256" s="2"/>
      <c r="K256" s="2">
        <v>0</v>
      </c>
      <c r="L256" s="2"/>
      <c r="M256" s="2">
        <v>0</v>
      </c>
      <c r="N256" s="2"/>
      <c r="O256" s="2">
        <v>0</v>
      </c>
      <c r="P256" s="2" t="s">
        <v>334</v>
      </c>
      <c r="Q256" s="2">
        <v>0</v>
      </c>
      <c r="R256" s="2" t="s">
        <v>334</v>
      </c>
      <c r="S256" s="2" t="s">
        <v>43</v>
      </c>
      <c r="T256" s="2"/>
      <c r="U256" s="2" t="s">
        <v>43</v>
      </c>
      <c r="V256" s="2" t="s">
        <v>334</v>
      </c>
      <c r="W256" s="2" t="s">
        <v>43</v>
      </c>
      <c r="X256" s="2"/>
      <c r="Y256" s="2" t="s">
        <v>43</v>
      </c>
      <c r="Z256" s="2"/>
      <c r="AA256" s="2" t="s">
        <v>43</v>
      </c>
      <c r="AB256" s="2"/>
      <c r="AC256" s="2">
        <v>0</v>
      </c>
      <c r="AD256" s="2" t="s">
        <v>334</v>
      </c>
      <c r="AE256" s="2">
        <v>0</v>
      </c>
      <c r="AF256" s="2"/>
      <c r="AG256" s="2">
        <v>0</v>
      </c>
      <c r="AH256" s="2"/>
    </row>
    <row r="257" spans="1:34">
      <c r="A257" t="s">
        <v>414</v>
      </c>
      <c r="B257" t="s">
        <v>415</v>
      </c>
      <c r="C257" s="2" t="s">
        <v>43</v>
      </c>
      <c r="D257" s="2"/>
      <c r="E257" s="2" t="s">
        <v>43</v>
      </c>
      <c r="F257" s="2"/>
      <c r="G257" s="2" t="s">
        <v>43</v>
      </c>
      <c r="H257" s="2"/>
      <c r="I257" s="2" t="s">
        <v>43</v>
      </c>
      <c r="J257" s="2"/>
      <c r="K257" s="2" t="s">
        <v>43</v>
      </c>
      <c r="L257" s="2"/>
      <c r="M257" s="2" t="s">
        <v>43</v>
      </c>
      <c r="N257" s="2"/>
      <c r="O257" s="2">
        <v>128</v>
      </c>
      <c r="P257" s="2"/>
      <c r="Q257" s="2">
        <v>132</v>
      </c>
      <c r="R257" s="2"/>
      <c r="S257" s="2">
        <v>133</v>
      </c>
      <c r="T257" s="2"/>
      <c r="U257" s="2">
        <v>137</v>
      </c>
      <c r="V257" s="2"/>
      <c r="W257" s="2">
        <v>143</v>
      </c>
      <c r="X257" s="2"/>
      <c r="Y257" s="2">
        <v>156</v>
      </c>
      <c r="Z257" s="2" t="s">
        <v>334</v>
      </c>
      <c r="AA257" s="2">
        <v>149</v>
      </c>
      <c r="AB257" s="2"/>
      <c r="AC257" s="2">
        <v>155</v>
      </c>
      <c r="AD257" s="2"/>
      <c r="AE257" s="2">
        <v>157</v>
      </c>
      <c r="AF257" s="2"/>
      <c r="AG257" s="2">
        <v>158</v>
      </c>
      <c r="AH257" s="2"/>
    </row>
    <row r="258" spans="1:34">
      <c r="A258" t="s">
        <v>416</v>
      </c>
      <c r="B258" t="s">
        <v>417</v>
      </c>
      <c r="C258" s="2" t="s">
        <v>43</v>
      </c>
      <c r="D258" s="2"/>
      <c r="E258" s="2" t="s">
        <v>43</v>
      </c>
      <c r="F258" s="2"/>
      <c r="G258" s="2" t="s">
        <v>43</v>
      </c>
      <c r="H258" s="2"/>
      <c r="I258" s="2" t="s">
        <v>43</v>
      </c>
      <c r="J258" s="2"/>
      <c r="K258" s="2" t="s">
        <v>43</v>
      </c>
      <c r="L258" s="2"/>
      <c r="M258" s="2" t="s">
        <v>43</v>
      </c>
      <c r="N258" s="2"/>
      <c r="O258" s="2">
        <v>128</v>
      </c>
      <c r="P258" s="2"/>
      <c r="Q258" s="2">
        <v>132</v>
      </c>
      <c r="R258" s="2"/>
      <c r="S258" s="2">
        <v>133</v>
      </c>
      <c r="T258" s="2"/>
      <c r="U258" s="2">
        <v>137</v>
      </c>
      <c r="V258" s="2"/>
      <c r="W258" s="2">
        <v>143</v>
      </c>
      <c r="X258" s="2"/>
      <c r="Y258" s="2">
        <v>156</v>
      </c>
      <c r="Z258" s="2" t="s">
        <v>334</v>
      </c>
      <c r="AA258" s="2">
        <v>149</v>
      </c>
      <c r="AB258" s="2"/>
      <c r="AC258" s="2">
        <v>155</v>
      </c>
      <c r="AD258" s="2"/>
      <c r="AE258" s="2">
        <v>157</v>
      </c>
      <c r="AF258" s="2"/>
      <c r="AG258" s="2">
        <v>158</v>
      </c>
      <c r="AH258" s="2"/>
    </row>
    <row r="259" spans="1:34">
      <c r="A259" t="s">
        <v>418</v>
      </c>
      <c r="B259" t="s">
        <v>419</v>
      </c>
      <c r="C259" s="2" t="s">
        <v>43</v>
      </c>
      <c r="D259" s="2"/>
      <c r="E259" s="2" t="s">
        <v>43</v>
      </c>
      <c r="F259" s="2"/>
      <c r="G259" s="2" t="s">
        <v>43</v>
      </c>
      <c r="H259" s="2"/>
      <c r="I259" s="2" t="s">
        <v>43</v>
      </c>
      <c r="J259" s="2"/>
      <c r="K259" s="2" t="s">
        <v>43</v>
      </c>
      <c r="L259" s="2"/>
      <c r="M259" s="2" t="s">
        <v>43</v>
      </c>
      <c r="N259" s="2"/>
      <c r="O259" s="2" t="s">
        <v>43</v>
      </c>
      <c r="P259" s="2"/>
      <c r="Q259" s="2" t="s">
        <v>43</v>
      </c>
      <c r="R259" s="2"/>
      <c r="S259" s="2" t="s">
        <v>43</v>
      </c>
      <c r="T259" s="2"/>
      <c r="U259" s="2" t="s">
        <v>43</v>
      </c>
      <c r="V259" s="2"/>
      <c r="W259" s="2" t="s">
        <v>43</v>
      </c>
      <c r="X259" s="2"/>
      <c r="Y259" s="2">
        <v>32</v>
      </c>
      <c r="Z259" s="2" t="s">
        <v>334</v>
      </c>
      <c r="AA259" s="2">
        <v>32</v>
      </c>
      <c r="AB259" s="2"/>
      <c r="AC259" s="2">
        <v>33</v>
      </c>
      <c r="AD259" s="2"/>
      <c r="AE259" s="2">
        <v>33</v>
      </c>
      <c r="AF259" s="2"/>
      <c r="AG259" s="2">
        <v>36</v>
      </c>
      <c r="AH259" s="2"/>
    </row>
    <row r="260" spans="1:34">
      <c r="A260" t="s">
        <v>420</v>
      </c>
      <c r="B260" t="s">
        <v>421</v>
      </c>
      <c r="C260" s="2" t="s">
        <v>43</v>
      </c>
      <c r="D260" s="2"/>
      <c r="E260" s="2" t="s">
        <v>43</v>
      </c>
      <c r="F260" s="2"/>
      <c r="G260" s="2" t="s">
        <v>43</v>
      </c>
      <c r="H260" s="2"/>
      <c r="I260" s="2" t="s">
        <v>43</v>
      </c>
      <c r="J260" s="2"/>
      <c r="K260" s="2" t="s">
        <v>43</v>
      </c>
      <c r="L260" s="2"/>
      <c r="M260" s="2" t="s">
        <v>43</v>
      </c>
      <c r="N260" s="2"/>
      <c r="O260" s="2">
        <v>31</v>
      </c>
      <c r="P260" s="2"/>
      <c r="Q260" s="2">
        <v>31</v>
      </c>
      <c r="R260" s="2"/>
      <c r="S260" s="2">
        <v>32</v>
      </c>
      <c r="T260" s="2"/>
      <c r="U260" s="2">
        <v>32</v>
      </c>
      <c r="V260" s="2"/>
      <c r="W260" s="2">
        <v>36</v>
      </c>
      <c r="X260" s="2"/>
      <c r="Y260" s="2">
        <v>42</v>
      </c>
      <c r="Z260" s="2" t="s">
        <v>334</v>
      </c>
      <c r="AA260" s="2">
        <v>39</v>
      </c>
      <c r="AB260" s="2"/>
      <c r="AC260" s="2">
        <v>40</v>
      </c>
      <c r="AD260" s="2"/>
      <c r="AE260" s="2">
        <v>38</v>
      </c>
      <c r="AF260" s="2"/>
      <c r="AG260" s="2">
        <v>39</v>
      </c>
      <c r="AH260" s="2"/>
    </row>
    <row r="261" spans="1:34">
      <c r="A261" t="s">
        <v>966</v>
      </c>
      <c r="B261" t="s">
        <v>967</v>
      </c>
      <c r="C261" s="2" t="s">
        <v>43</v>
      </c>
      <c r="D261" s="2"/>
      <c r="E261" s="2" t="s">
        <v>43</v>
      </c>
      <c r="F261" s="2"/>
      <c r="G261" s="2" t="s">
        <v>43</v>
      </c>
      <c r="H261" s="2"/>
      <c r="I261" s="2" t="s">
        <v>43</v>
      </c>
      <c r="J261" s="2"/>
      <c r="K261" s="2" t="s">
        <v>43</v>
      </c>
      <c r="L261" s="2"/>
      <c r="M261" s="2" t="s">
        <v>43</v>
      </c>
      <c r="N261" s="2"/>
      <c r="O261" s="2">
        <v>97</v>
      </c>
      <c r="P261" s="2"/>
      <c r="Q261" s="2">
        <v>101</v>
      </c>
      <c r="R261" s="2"/>
      <c r="S261" s="2">
        <v>101</v>
      </c>
      <c r="T261" s="2"/>
      <c r="U261" s="2">
        <v>105</v>
      </c>
      <c r="V261" s="2"/>
      <c r="W261" s="2">
        <v>107</v>
      </c>
      <c r="X261" s="2"/>
      <c r="Y261" s="2" t="s">
        <v>43</v>
      </c>
      <c r="Z261" s="2"/>
      <c r="AA261" s="2" t="s">
        <v>43</v>
      </c>
      <c r="AB261" s="2"/>
      <c r="AC261" s="2"/>
      <c r="AD261" s="2"/>
      <c r="AE261" s="2"/>
      <c r="AF261" s="2"/>
      <c r="AG261" s="2"/>
      <c r="AH261" s="2"/>
    </row>
    <row r="262" spans="1:34">
      <c r="A262" t="s">
        <v>422</v>
      </c>
      <c r="B262" t="s">
        <v>423</v>
      </c>
      <c r="C262" s="2" t="s">
        <v>43</v>
      </c>
      <c r="D262" s="2"/>
      <c r="E262" s="2" t="s">
        <v>43</v>
      </c>
      <c r="F262" s="2"/>
      <c r="G262" s="2" t="s">
        <v>43</v>
      </c>
      <c r="H262" s="2"/>
      <c r="I262" s="2" t="s">
        <v>43</v>
      </c>
      <c r="J262" s="2"/>
      <c r="K262" s="2" t="s">
        <v>43</v>
      </c>
      <c r="L262" s="2"/>
      <c r="M262" s="2" t="s">
        <v>43</v>
      </c>
      <c r="N262" s="2"/>
      <c r="O262" s="2" t="s">
        <v>43</v>
      </c>
      <c r="P262" s="2"/>
      <c r="Q262" s="2" t="s">
        <v>43</v>
      </c>
      <c r="R262" s="2"/>
      <c r="S262" s="2" t="s">
        <v>43</v>
      </c>
      <c r="T262" s="2"/>
      <c r="U262" s="2" t="s">
        <v>43</v>
      </c>
      <c r="V262" s="2"/>
      <c r="W262" s="2" t="s">
        <v>43</v>
      </c>
      <c r="X262" s="2"/>
      <c r="Y262" s="2">
        <v>36</v>
      </c>
      <c r="Z262" s="2" t="s">
        <v>334</v>
      </c>
      <c r="AA262" s="2">
        <v>33</v>
      </c>
      <c r="AB262" s="2"/>
      <c r="AC262" s="2">
        <v>35</v>
      </c>
      <c r="AD262" s="2"/>
      <c r="AE262" s="2">
        <v>36</v>
      </c>
      <c r="AF262" s="2"/>
      <c r="AG262" s="2">
        <v>34</v>
      </c>
      <c r="AH262" s="2"/>
    </row>
    <row r="263" spans="1:34">
      <c r="A263" t="s">
        <v>424</v>
      </c>
      <c r="B263" t="s">
        <v>425</v>
      </c>
      <c r="C263" s="2" t="s">
        <v>43</v>
      </c>
      <c r="D263" s="2"/>
      <c r="E263" s="2" t="s">
        <v>43</v>
      </c>
      <c r="F263" s="2"/>
      <c r="G263" s="2" t="s">
        <v>43</v>
      </c>
      <c r="H263" s="2"/>
      <c r="I263" s="2" t="s">
        <v>43</v>
      </c>
      <c r="J263" s="2"/>
      <c r="K263" s="2" t="s">
        <v>43</v>
      </c>
      <c r="L263" s="2"/>
      <c r="M263" s="2" t="s">
        <v>43</v>
      </c>
      <c r="N263" s="2"/>
      <c r="O263" s="2" t="s">
        <v>43</v>
      </c>
      <c r="P263" s="2"/>
      <c r="Q263" s="2" t="s">
        <v>43</v>
      </c>
      <c r="R263" s="2"/>
      <c r="S263" s="2" t="s">
        <v>43</v>
      </c>
      <c r="T263" s="2"/>
      <c r="U263" s="2" t="s">
        <v>43</v>
      </c>
      <c r="V263" s="2"/>
      <c r="W263" s="2" t="s">
        <v>43</v>
      </c>
      <c r="X263" s="2"/>
      <c r="Y263" s="2">
        <v>46</v>
      </c>
      <c r="Z263" s="2" t="s">
        <v>334</v>
      </c>
      <c r="AA263" s="2">
        <v>45</v>
      </c>
      <c r="AB263" s="2"/>
      <c r="AC263" s="2">
        <v>47</v>
      </c>
      <c r="AD263" s="2"/>
      <c r="AE263" s="2">
        <v>50</v>
      </c>
      <c r="AF263" s="2"/>
      <c r="AG263" s="2">
        <v>49</v>
      </c>
      <c r="AH263" s="2"/>
    </row>
    <row r="264" spans="1:34">
      <c r="A264" t="s">
        <v>426</v>
      </c>
      <c r="B264" t="s">
        <v>427</v>
      </c>
      <c r="C264" s="2">
        <v>2534</v>
      </c>
      <c r="D264" s="2"/>
      <c r="E264" s="2">
        <v>2569</v>
      </c>
      <c r="F264" s="2"/>
      <c r="G264" s="2">
        <v>3033</v>
      </c>
      <c r="H264" s="2"/>
      <c r="I264" s="2">
        <v>2912</v>
      </c>
      <c r="J264" s="2"/>
      <c r="K264" s="2">
        <v>2449</v>
      </c>
      <c r="L264" s="2"/>
      <c r="M264" s="2">
        <v>2447</v>
      </c>
      <c r="N264" s="2"/>
      <c r="O264" s="2">
        <v>2369</v>
      </c>
      <c r="P264" s="2"/>
      <c r="Q264" s="2">
        <v>2356</v>
      </c>
      <c r="R264" s="2"/>
      <c r="S264" s="2">
        <v>2391</v>
      </c>
      <c r="T264" s="2"/>
      <c r="U264" s="2">
        <v>3002</v>
      </c>
      <c r="V264" s="2"/>
      <c r="W264" s="2">
        <v>2980</v>
      </c>
      <c r="X264" s="2"/>
      <c r="Y264" s="2">
        <v>2955</v>
      </c>
      <c r="Z264" s="2"/>
      <c r="AA264" s="2">
        <v>3162</v>
      </c>
      <c r="AB264" s="2"/>
      <c r="AC264" s="2">
        <v>3121</v>
      </c>
      <c r="AD264" s="2"/>
      <c r="AE264" s="2">
        <v>3117</v>
      </c>
      <c r="AF264" s="2"/>
      <c r="AG264" s="2">
        <v>3134</v>
      </c>
      <c r="AH264" s="2"/>
    </row>
    <row r="265" spans="1:34">
      <c r="A265" t="s">
        <v>428</v>
      </c>
      <c r="B265" t="s">
        <v>429</v>
      </c>
      <c r="C265" s="2">
        <v>1128</v>
      </c>
      <c r="D265" s="2"/>
      <c r="E265" s="2">
        <v>1151</v>
      </c>
      <c r="F265" s="2"/>
      <c r="G265" s="2">
        <v>1273</v>
      </c>
      <c r="H265" s="2"/>
      <c r="I265" s="2">
        <v>1191</v>
      </c>
      <c r="J265" s="2"/>
      <c r="K265" s="2">
        <v>1030</v>
      </c>
      <c r="L265" s="2"/>
      <c r="M265" s="2">
        <v>1041</v>
      </c>
      <c r="N265" s="2"/>
      <c r="O265" s="2">
        <v>997</v>
      </c>
      <c r="P265" s="2"/>
      <c r="Q265" s="2">
        <v>988</v>
      </c>
      <c r="R265" s="2"/>
      <c r="S265" s="2">
        <v>1001</v>
      </c>
      <c r="T265" s="2"/>
      <c r="U265" s="2">
        <v>1300</v>
      </c>
      <c r="V265" s="2"/>
      <c r="W265" s="2">
        <v>1304</v>
      </c>
      <c r="X265" s="2"/>
      <c r="Y265" s="2">
        <v>1269</v>
      </c>
      <c r="Z265" s="2"/>
      <c r="AA265" s="2">
        <v>1381</v>
      </c>
      <c r="AB265" s="2"/>
      <c r="AC265" s="2">
        <v>1343</v>
      </c>
      <c r="AD265" s="2"/>
      <c r="AE265" s="2">
        <v>1345</v>
      </c>
      <c r="AF265" s="2"/>
      <c r="AG265" s="2">
        <v>1340</v>
      </c>
      <c r="AH265" s="2"/>
    </row>
    <row r="266" spans="1:34">
      <c r="A266" t="s">
        <v>430</v>
      </c>
      <c r="B266" t="s">
        <v>431</v>
      </c>
      <c r="C266" s="2">
        <v>588</v>
      </c>
      <c r="D266" s="2"/>
      <c r="E266" s="2">
        <v>589</v>
      </c>
      <c r="F266" s="2"/>
      <c r="G266" s="2">
        <v>756</v>
      </c>
      <c r="H266" s="2"/>
      <c r="I266" s="2">
        <v>601</v>
      </c>
      <c r="J266" s="2"/>
      <c r="K266" s="2">
        <v>552</v>
      </c>
      <c r="L266" s="2"/>
      <c r="M266" s="2">
        <v>543</v>
      </c>
      <c r="N266" s="2"/>
      <c r="O266" s="2">
        <v>519</v>
      </c>
      <c r="P266" s="2"/>
      <c r="Q266" s="2">
        <v>512</v>
      </c>
      <c r="R266" s="2"/>
      <c r="S266" s="2">
        <v>517</v>
      </c>
      <c r="T266" s="2"/>
      <c r="U266" s="2">
        <v>718</v>
      </c>
      <c r="V266" s="2"/>
      <c r="W266" s="2">
        <v>708</v>
      </c>
      <c r="X266" s="2"/>
      <c r="Y266" s="2">
        <v>682</v>
      </c>
      <c r="Z266" s="2"/>
      <c r="AA266" s="2">
        <v>702</v>
      </c>
      <c r="AB266" s="2"/>
      <c r="AC266" s="2">
        <v>679</v>
      </c>
      <c r="AD266" s="2"/>
      <c r="AE266" s="2">
        <v>674</v>
      </c>
      <c r="AF266" s="2"/>
      <c r="AG266" s="2">
        <v>677</v>
      </c>
      <c r="AH266" s="2"/>
    </row>
    <row r="267" spans="1:34">
      <c r="A267" t="s">
        <v>432</v>
      </c>
      <c r="B267" t="s">
        <v>433</v>
      </c>
      <c r="C267" s="2" t="s">
        <v>43</v>
      </c>
      <c r="D267" s="2" t="s">
        <v>44</v>
      </c>
      <c r="E267" s="2" t="s">
        <v>43</v>
      </c>
      <c r="F267" s="2" t="s">
        <v>44</v>
      </c>
      <c r="G267" s="2" t="s">
        <v>43</v>
      </c>
      <c r="H267" s="2" t="s">
        <v>44</v>
      </c>
      <c r="I267" s="2" t="s">
        <v>43</v>
      </c>
      <c r="J267" s="2" t="s">
        <v>44</v>
      </c>
      <c r="K267" s="2" t="s">
        <v>43</v>
      </c>
      <c r="L267" s="2" t="s">
        <v>44</v>
      </c>
      <c r="M267" s="2" t="s">
        <v>43</v>
      </c>
      <c r="N267" s="2" t="s">
        <v>44</v>
      </c>
      <c r="O267" s="2">
        <v>3</v>
      </c>
      <c r="P267" s="2"/>
      <c r="Q267" s="2">
        <v>3</v>
      </c>
      <c r="R267" s="2"/>
      <c r="S267" s="2">
        <v>4</v>
      </c>
      <c r="T267" s="2"/>
      <c r="U267" s="2">
        <v>3</v>
      </c>
      <c r="V267" s="2"/>
      <c r="W267" s="2">
        <v>3</v>
      </c>
      <c r="X267" s="2"/>
      <c r="Y267" s="2">
        <v>3</v>
      </c>
      <c r="Z267" s="2"/>
      <c r="AA267" s="2">
        <v>4</v>
      </c>
      <c r="AB267" s="2"/>
      <c r="AC267" s="2">
        <v>4</v>
      </c>
      <c r="AD267" s="2"/>
      <c r="AE267" s="2">
        <v>3</v>
      </c>
      <c r="AF267" s="2"/>
      <c r="AG267" s="2">
        <v>3</v>
      </c>
      <c r="AH267" s="2"/>
    </row>
    <row r="268" spans="1:34">
      <c r="A268" t="s">
        <v>434</v>
      </c>
      <c r="B268" t="s">
        <v>435</v>
      </c>
      <c r="C268" s="2" t="s">
        <v>43</v>
      </c>
      <c r="D268" s="2" t="s">
        <v>44</v>
      </c>
      <c r="E268" s="2" t="s">
        <v>43</v>
      </c>
      <c r="F268" s="2" t="s">
        <v>44</v>
      </c>
      <c r="G268" s="2" t="s">
        <v>43</v>
      </c>
      <c r="H268" s="2" t="s">
        <v>44</v>
      </c>
      <c r="I268" s="2" t="s">
        <v>43</v>
      </c>
      <c r="J268" s="2" t="s">
        <v>44</v>
      </c>
      <c r="K268" s="2" t="s">
        <v>43</v>
      </c>
      <c r="L268" s="2" t="s">
        <v>44</v>
      </c>
      <c r="M268" s="2" t="s">
        <v>43</v>
      </c>
      <c r="N268" s="2" t="s">
        <v>44</v>
      </c>
      <c r="O268" s="2">
        <v>29</v>
      </c>
      <c r="P268" s="2"/>
      <c r="Q268" s="2">
        <v>28</v>
      </c>
      <c r="R268" s="2"/>
      <c r="S268" s="2">
        <v>32</v>
      </c>
      <c r="T268" s="2"/>
      <c r="U268" s="2">
        <v>32</v>
      </c>
      <c r="V268" s="2"/>
      <c r="W268" s="2">
        <v>36</v>
      </c>
      <c r="X268" s="2"/>
      <c r="Y268" s="2">
        <v>30</v>
      </c>
      <c r="Z268" s="2"/>
      <c r="AA268" s="2">
        <v>30</v>
      </c>
      <c r="AB268" s="2"/>
      <c r="AC268" s="2">
        <v>32</v>
      </c>
      <c r="AD268" s="2"/>
      <c r="AE268" s="2">
        <v>33</v>
      </c>
      <c r="AF268" s="2"/>
      <c r="AG268" s="2">
        <v>27</v>
      </c>
      <c r="AH268" s="2"/>
    </row>
    <row r="269" spans="1:34">
      <c r="A269" t="s">
        <v>436</v>
      </c>
      <c r="B269" t="s">
        <v>437</v>
      </c>
      <c r="C269" s="2">
        <v>512</v>
      </c>
      <c r="D269" s="2"/>
      <c r="E269" s="2">
        <v>535</v>
      </c>
      <c r="F269" s="2"/>
      <c r="G269" s="2">
        <v>488</v>
      </c>
      <c r="H269" s="2"/>
      <c r="I269" s="2">
        <v>558</v>
      </c>
      <c r="J269" s="2"/>
      <c r="K269" s="2">
        <v>449</v>
      </c>
      <c r="L269" s="2"/>
      <c r="M269" s="2">
        <v>468</v>
      </c>
      <c r="N269" s="2"/>
      <c r="O269" s="2">
        <v>446</v>
      </c>
      <c r="P269" s="2"/>
      <c r="Q269" s="2">
        <v>445</v>
      </c>
      <c r="R269" s="2"/>
      <c r="S269" s="2">
        <v>448</v>
      </c>
      <c r="T269" s="2"/>
      <c r="U269" s="2">
        <v>547</v>
      </c>
      <c r="V269" s="2"/>
      <c r="W269" s="2">
        <v>557</v>
      </c>
      <c r="X269" s="2"/>
      <c r="Y269" s="2">
        <v>554</v>
      </c>
      <c r="Z269" s="2"/>
      <c r="AA269" s="2">
        <v>645</v>
      </c>
      <c r="AB269" s="2"/>
      <c r="AC269" s="2">
        <v>628</v>
      </c>
      <c r="AD269" s="2"/>
      <c r="AE269" s="2">
        <v>635</v>
      </c>
      <c r="AF269" s="2"/>
      <c r="AG269" s="2">
        <v>633</v>
      </c>
      <c r="AH269" s="2"/>
    </row>
    <row r="270" spans="1:34">
      <c r="A270" t="s">
        <v>968</v>
      </c>
      <c r="B270" t="s">
        <v>969</v>
      </c>
      <c r="C270" s="2">
        <v>620</v>
      </c>
      <c r="D270" s="2"/>
      <c r="E270" s="2">
        <v>648</v>
      </c>
      <c r="F270" s="2"/>
      <c r="G270" s="2">
        <v>738</v>
      </c>
      <c r="H270" s="2"/>
      <c r="I270" s="2" t="s">
        <v>43</v>
      </c>
      <c r="J270" s="2"/>
      <c r="K270" s="2" t="s">
        <v>43</v>
      </c>
      <c r="L270" s="2"/>
      <c r="M270" s="2" t="s">
        <v>43</v>
      </c>
      <c r="N270" s="2"/>
      <c r="O270" s="2" t="s">
        <v>43</v>
      </c>
      <c r="P270" s="2"/>
      <c r="Q270" s="2" t="s">
        <v>43</v>
      </c>
      <c r="R270" s="2"/>
      <c r="S270" s="2" t="s">
        <v>43</v>
      </c>
      <c r="T270" s="2"/>
      <c r="U270" s="2" t="s">
        <v>43</v>
      </c>
      <c r="V270" s="2"/>
      <c r="W270" s="2" t="s">
        <v>43</v>
      </c>
      <c r="X270" s="2"/>
      <c r="Y270" s="2" t="s">
        <v>43</v>
      </c>
      <c r="Z270" s="2"/>
      <c r="AA270" s="2" t="s">
        <v>43</v>
      </c>
      <c r="AB270" s="2"/>
      <c r="AC270" s="2"/>
      <c r="AD270" s="2"/>
      <c r="AE270" s="2"/>
      <c r="AF270" s="2"/>
      <c r="AG270" s="2"/>
      <c r="AH270" s="2"/>
    </row>
    <row r="271" spans="1:34">
      <c r="A271" t="s">
        <v>970</v>
      </c>
      <c r="B271" t="s">
        <v>971</v>
      </c>
      <c r="C271" s="2">
        <v>11</v>
      </c>
      <c r="D271" s="2"/>
      <c r="E271" s="2">
        <v>10</v>
      </c>
      <c r="F271" s="2"/>
      <c r="G271" s="2">
        <v>11</v>
      </c>
      <c r="H271" s="2"/>
      <c r="I271" s="2" t="s">
        <v>43</v>
      </c>
      <c r="J271" s="2"/>
      <c r="K271" s="2" t="s">
        <v>43</v>
      </c>
      <c r="L271" s="2"/>
      <c r="M271" s="2" t="s">
        <v>43</v>
      </c>
      <c r="N271" s="2"/>
      <c r="O271" s="2" t="s">
        <v>43</v>
      </c>
      <c r="P271" s="2"/>
      <c r="Q271" s="2" t="s">
        <v>43</v>
      </c>
      <c r="R271" s="2"/>
      <c r="S271" s="2" t="s">
        <v>43</v>
      </c>
      <c r="T271" s="2"/>
      <c r="U271" s="2" t="s">
        <v>43</v>
      </c>
      <c r="V271" s="2"/>
      <c r="W271" s="2" t="s">
        <v>43</v>
      </c>
      <c r="X271" s="2"/>
      <c r="Y271" s="2" t="s">
        <v>43</v>
      </c>
      <c r="Z271" s="2"/>
      <c r="AA271" s="2" t="s">
        <v>43</v>
      </c>
      <c r="AB271" s="2"/>
      <c r="AC271" s="2"/>
      <c r="AD271" s="2"/>
      <c r="AE271" s="2"/>
      <c r="AF271" s="2"/>
      <c r="AG271" s="2"/>
      <c r="AH271" s="2"/>
    </row>
    <row r="272" spans="1:34">
      <c r="A272" t="s">
        <v>972</v>
      </c>
      <c r="B272" t="s">
        <v>973</v>
      </c>
      <c r="C272" s="2">
        <v>10</v>
      </c>
      <c r="D272" s="2"/>
      <c r="E272" s="2">
        <v>11</v>
      </c>
      <c r="F272" s="2"/>
      <c r="G272" s="2">
        <v>12</v>
      </c>
      <c r="H272" s="2"/>
      <c r="I272" s="2" t="s">
        <v>43</v>
      </c>
      <c r="J272" s="2"/>
      <c r="K272" s="2" t="s">
        <v>43</v>
      </c>
      <c r="L272" s="2"/>
      <c r="M272" s="2" t="s">
        <v>43</v>
      </c>
      <c r="N272" s="2"/>
      <c r="O272" s="2" t="s">
        <v>43</v>
      </c>
      <c r="P272" s="2"/>
      <c r="Q272" s="2" t="s">
        <v>43</v>
      </c>
      <c r="R272" s="2"/>
      <c r="S272" s="2" t="s">
        <v>43</v>
      </c>
      <c r="T272" s="2"/>
      <c r="U272" s="2" t="s">
        <v>43</v>
      </c>
      <c r="V272" s="2"/>
      <c r="W272" s="2" t="s">
        <v>43</v>
      </c>
      <c r="X272" s="2"/>
      <c r="Y272" s="2" t="s">
        <v>43</v>
      </c>
      <c r="Z272" s="2"/>
      <c r="AA272" s="2" t="s">
        <v>43</v>
      </c>
      <c r="AB272" s="2"/>
      <c r="AC272" s="2"/>
      <c r="AD272" s="2"/>
      <c r="AE272" s="2"/>
      <c r="AF272" s="2"/>
      <c r="AG272" s="2"/>
      <c r="AH272" s="2"/>
    </row>
    <row r="273" spans="1:34">
      <c r="A273" t="s">
        <v>974</v>
      </c>
      <c r="B273" t="s">
        <v>975</v>
      </c>
      <c r="C273" s="2">
        <v>257</v>
      </c>
      <c r="D273" s="2"/>
      <c r="E273" s="2">
        <v>283</v>
      </c>
      <c r="F273" s="2"/>
      <c r="G273" s="2">
        <v>284</v>
      </c>
      <c r="H273" s="2"/>
      <c r="I273" s="2" t="s">
        <v>43</v>
      </c>
      <c r="J273" s="2"/>
      <c r="K273" s="2" t="s">
        <v>43</v>
      </c>
      <c r="L273" s="2"/>
      <c r="M273" s="2" t="s">
        <v>43</v>
      </c>
      <c r="N273" s="2"/>
      <c r="O273" s="2" t="s">
        <v>43</v>
      </c>
      <c r="P273" s="2"/>
      <c r="Q273" s="2" t="s">
        <v>43</v>
      </c>
      <c r="R273" s="2"/>
      <c r="S273" s="2" t="s">
        <v>43</v>
      </c>
      <c r="T273" s="2"/>
      <c r="U273" s="2" t="s">
        <v>43</v>
      </c>
      <c r="V273" s="2"/>
      <c r="W273" s="2" t="s">
        <v>43</v>
      </c>
      <c r="X273" s="2"/>
      <c r="Y273" s="2" t="s">
        <v>43</v>
      </c>
      <c r="Z273" s="2"/>
      <c r="AA273" s="2" t="s">
        <v>43</v>
      </c>
      <c r="AB273" s="2"/>
      <c r="AC273" s="2"/>
      <c r="AD273" s="2"/>
      <c r="AE273" s="2"/>
      <c r="AF273" s="2"/>
      <c r="AG273" s="2"/>
      <c r="AH273" s="2"/>
    </row>
    <row r="274" spans="1:34">
      <c r="A274" t="s">
        <v>976</v>
      </c>
      <c r="B274" t="s">
        <v>977</v>
      </c>
      <c r="C274" s="2">
        <v>28</v>
      </c>
      <c r="D274" s="2"/>
      <c r="E274" s="2">
        <v>27</v>
      </c>
      <c r="F274" s="2"/>
      <c r="G274" s="2">
        <v>39</v>
      </c>
      <c r="H274" s="2"/>
      <c r="I274" s="2" t="s">
        <v>43</v>
      </c>
      <c r="J274" s="2"/>
      <c r="K274" s="2" t="s">
        <v>43</v>
      </c>
      <c r="L274" s="2"/>
      <c r="M274" s="2" t="s">
        <v>43</v>
      </c>
      <c r="N274" s="2"/>
      <c r="O274" s="2" t="s">
        <v>43</v>
      </c>
      <c r="P274" s="2"/>
      <c r="Q274" s="2" t="s">
        <v>43</v>
      </c>
      <c r="R274" s="2"/>
      <c r="S274" s="2" t="s">
        <v>43</v>
      </c>
      <c r="T274" s="2"/>
      <c r="U274" s="2" t="s">
        <v>43</v>
      </c>
      <c r="V274" s="2"/>
      <c r="W274" s="2" t="s">
        <v>43</v>
      </c>
      <c r="X274" s="2"/>
      <c r="Y274" s="2" t="s">
        <v>43</v>
      </c>
      <c r="Z274" s="2"/>
      <c r="AA274" s="2" t="s">
        <v>43</v>
      </c>
      <c r="AB274" s="2"/>
      <c r="AC274" s="2"/>
      <c r="AD274" s="2"/>
      <c r="AE274" s="2"/>
      <c r="AF274" s="2"/>
      <c r="AG274" s="2"/>
      <c r="AH274" s="2"/>
    </row>
    <row r="275" spans="1:34">
      <c r="A275" t="s">
        <v>978</v>
      </c>
      <c r="B275" t="s">
        <v>979</v>
      </c>
      <c r="C275" s="2">
        <v>314</v>
      </c>
      <c r="D275" s="2"/>
      <c r="E275" s="2">
        <v>317</v>
      </c>
      <c r="F275" s="2"/>
      <c r="G275" s="2">
        <v>392</v>
      </c>
      <c r="H275" s="2"/>
      <c r="I275" s="2" t="s">
        <v>43</v>
      </c>
      <c r="J275" s="2"/>
      <c r="K275" s="2" t="s">
        <v>43</v>
      </c>
      <c r="L275" s="2"/>
      <c r="M275" s="2" t="s">
        <v>43</v>
      </c>
      <c r="N275" s="2"/>
      <c r="O275" s="2" t="s">
        <v>43</v>
      </c>
      <c r="P275" s="2"/>
      <c r="Q275" s="2" t="s">
        <v>43</v>
      </c>
      <c r="R275" s="2"/>
      <c r="S275" s="2" t="s">
        <v>43</v>
      </c>
      <c r="T275" s="2"/>
      <c r="U275" s="2" t="s">
        <v>43</v>
      </c>
      <c r="V275" s="2"/>
      <c r="W275" s="2" t="s">
        <v>43</v>
      </c>
      <c r="X275" s="2"/>
      <c r="Y275" s="2" t="s">
        <v>43</v>
      </c>
      <c r="Z275" s="2"/>
      <c r="AA275" s="2" t="s">
        <v>43</v>
      </c>
      <c r="AB275" s="2"/>
      <c r="AC275" s="2"/>
      <c r="AD275" s="2"/>
      <c r="AE275" s="2"/>
      <c r="AF275" s="2"/>
      <c r="AG275" s="2"/>
      <c r="AH275" s="2"/>
    </row>
    <row r="276" spans="1:34">
      <c r="A276" t="s">
        <v>980</v>
      </c>
      <c r="B276" t="s">
        <v>981</v>
      </c>
      <c r="C276" s="2">
        <v>320</v>
      </c>
      <c r="D276" s="2"/>
      <c r="E276" s="2">
        <v>311</v>
      </c>
      <c r="F276" s="2"/>
      <c r="G276" s="2">
        <v>438</v>
      </c>
      <c r="H276" s="2"/>
      <c r="I276" s="2" t="s">
        <v>43</v>
      </c>
      <c r="J276" s="2"/>
      <c r="K276" s="2" t="s">
        <v>43</v>
      </c>
      <c r="L276" s="2"/>
      <c r="M276" s="2" t="s">
        <v>43</v>
      </c>
      <c r="N276" s="2"/>
      <c r="O276" s="2" t="s">
        <v>43</v>
      </c>
      <c r="P276" s="2"/>
      <c r="Q276" s="2" t="s">
        <v>43</v>
      </c>
      <c r="R276" s="2"/>
      <c r="S276" s="2" t="s">
        <v>43</v>
      </c>
      <c r="T276" s="2"/>
      <c r="U276" s="2" t="s">
        <v>43</v>
      </c>
      <c r="V276" s="2"/>
      <c r="W276" s="2" t="s">
        <v>43</v>
      </c>
      <c r="X276" s="2"/>
      <c r="Y276" s="2" t="s">
        <v>43</v>
      </c>
      <c r="Z276" s="2"/>
      <c r="AA276" s="2" t="s">
        <v>43</v>
      </c>
      <c r="AB276" s="2"/>
      <c r="AC276" s="2"/>
      <c r="AD276" s="2"/>
      <c r="AE276" s="2"/>
      <c r="AF276" s="2"/>
      <c r="AG276" s="2"/>
      <c r="AH276" s="2"/>
    </row>
    <row r="277" spans="1:34">
      <c r="A277" t="s">
        <v>982</v>
      </c>
      <c r="B277" t="s">
        <v>983</v>
      </c>
      <c r="C277" s="2">
        <v>108</v>
      </c>
      <c r="D277" s="2"/>
      <c r="E277" s="2">
        <v>93</v>
      </c>
      <c r="F277" s="2"/>
      <c r="G277" s="2">
        <v>191</v>
      </c>
      <c r="H277" s="2"/>
      <c r="I277" s="2" t="s">
        <v>43</v>
      </c>
      <c r="J277" s="2"/>
      <c r="K277" s="2" t="s">
        <v>43</v>
      </c>
      <c r="L277" s="2"/>
      <c r="M277" s="2" t="s">
        <v>43</v>
      </c>
      <c r="N277" s="2"/>
      <c r="O277" s="2" t="s">
        <v>43</v>
      </c>
      <c r="P277" s="2"/>
      <c r="Q277" s="2" t="s">
        <v>43</v>
      </c>
      <c r="R277" s="2"/>
      <c r="S277" s="2" t="s">
        <v>43</v>
      </c>
      <c r="T277" s="2"/>
      <c r="U277" s="2" t="s">
        <v>43</v>
      </c>
      <c r="V277" s="2"/>
      <c r="W277" s="2" t="s">
        <v>43</v>
      </c>
      <c r="X277" s="2"/>
      <c r="Y277" s="2" t="s">
        <v>43</v>
      </c>
      <c r="Z277" s="2"/>
      <c r="AA277" s="2" t="s">
        <v>43</v>
      </c>
      <c r="AB277" s="2"/>
      <c r="AC277" s="2"/>
      <c r="AD277" s="2"/>
      <c r="AE277" s="2"/>
      <c r="AF277" s="2"/>
      <c r="AG277" s="2"/>
      <c r="AH277" s="2"/>
    </row>
    <row r="278" spans="1:34">
      <c r="A278" t="s">
        <v>984</v>
      </c>
      <c r="B278" t="s">
        <v>985</v>
      </c>
      <c r="C278" s="2">
        <v>27</v>
      </c>
      <c r="D278" s="2"/>
      <c r="E278" s="2">
        <v>37</v>
      </c>
      <c r="F278" s="2"/>
      <c r="G278" s="2">
        <v>34</v>
      </c>
      <c r="H278" s="2"/>
      <c r="I278" s="2" t="s">
        <v>43</v>
      </c>
      <c r="J278" s="2"/>
      <c r="K278" s="2" t="s">
        <v>43</v>
      </c>
      <c r="L278" s="2"/>
      <c r="M278" s="2" t="s">
        <v>43</v>
      </c>
      <c r="N278" s="2"/>
      <c r="O278" s="2" t="s">
        <v>43</v>
      </c>
      <c r="P278" s="2"/>
      <c r="Q278" s="2" t="s">
        <v>43</v>
      </c>
      <c r="R278" s="2"/>
      <c r="S278" s="2" t="s">
        <v>43</v>
      </c>
      <c r="T278" s="2"/>
      <c r="U278" s="2" t="s">
        <v>43</v>
      </c>
      <c r="V278" s="2"/>
      <c r="W278" s="2" t="s">
        <v>43</v>
      </c>
      <c r="X278" s="2"/>
      <c r="Y278" s="2" t="s">
        <v>43</v>
      </c>
      <c r="Z278" s="2"/>
      <c r="AA278" s="2" t="s">
        <v>43</v>
      </c>
      <c r="AB278" s="2"/>
      <c r="AC278" s="2"/>
      <c r="AD278" s="2"/>
      <c r="AE278" s="2"/>
      <c r="AF278" s="2"/>
      <c r="AG278" s="2"/>
      <c r="AH278" s="2"/>
    </row>
    <row r="279" spans="1:34">
      <c r="A279" t="s">
        <v>986</v>
      </c>
      <c r="B279" t="s">
        <v>987</v>
      </c>
      <c r="C279" s="2">
        <v>60</v>
      </c>
      <c r="D279" s="2"/>
      <c r="E279" s="2">
        <v>60</v>
      </c>
      <c r="F279" s="2"/>
      <c r="G279" s="2">
        <v>94</v>
      </c>
      <c r="H279" s="2"/>
      <c r="I279" s="2" t="s">
        <v>43</v>
      </c>
      <c r="J279" s="2"/>
      <c r="K279" s="2" t="s">
        <v>43</v>
      </c>
      <c r="L279" s="2"/>
      <c r="M279" s="2" t="s">
        <v>43</v>
      </c>
      <c r="N279" s="2"/>
      <c r="O279" s="2" t="s">
        <v>43</v>
      </c>
      <c r="P279" s="2"/>
      <c r="Q279" s="2" t="s">
        <v>43</v>
      </c>
      <c r="R279" s="2"/>
      <c r="S279" s="2" t="s">
        <v>43</v>
      </c>
      <c r="T279" s="2"/>
      <c r="U279" s="2" t="s">
        <v>43</v>
      </c>
      <c r="V279" s="2"/>
      <c r="W279" s="2" t="s">
        <v>43</v>
      </c>
      <c r="X279" s="2"/>
      <c r="Y279" s="2" t="s">
        <v>43</v>
      </c>
      <c r="Z279" s="2"/>
      <c r="AA279" s="2" t="s">
        <v>43</v>
      </c>
      <c r="AB279" s="2"/>
      <c r="AC279" s="2"/>
      <c r="AD279" s="2"/>
      <c r="AE279" s="2"/>
      <c r="AF279" s="2"/>
      <c r="AG279" s="2"/>
      <c r="AH279" s="2"/>
    </row>
    <row r="280" spans="1:34">
      <c r="A280" t="s">
        <v>988</v>
      </c>
      <c r="B280" t="s">
        <v>989</v>
      </c>
      <c r="C280" s="2">
        <v>125</v>
      </c>
      <c r="D280" s="2"/>
      <c r="E280" s="2">
        <v>121</v>
      </c>
      <c r="F280" s="2"/>
      <c r="G280" s="2">
        <v>119</v>
      </c>
      <c r="H280" s="2"/>
      <c r="I280" s="2" t="s">
        <v>43</v>
      </c>
      <c r="J280" s="2"/>
      <c r="K280" s="2" t="s">
        <v>43</v>
      </c>
      <c r="L280" s="2"/>
      <c r="M280" s="2" t="s">
        <v>43</v>
      </c>
      <c r="N280" s="2"/>
      <c r="O280" s="2" t="s">
        <v>43</v>
      </c>
      <c r="P280" s="2"/>
      <c r="Q280" s="2" t="s">
        <v>43</v>
      </c>
      <c r="R280" s="2"/>
      <c r="S280" s="2" t="s">
        <v>43</v>
      </c>
      <c r="T280" s="2"/>
      <c r="U280" s="2" t="s">
        <v>43</v>
      </c>
      <c r="V280" s="2"/>
      <c r="W280" s="2" t="s">
        <v>43</v>
      </c>
      <c r="X280" s="2"/>
      <c r="Y280" s="2" t="s">
        <v>43</v>
      </c>
      <c r="Z280" s="2"/>
      <c r="AA280" s="2" t="s">
        <v>43</v>
      </c>
      <c r="AB280" s="2"/>
      <c r="AC280" s="2"/>
      <c r="AD280" s="2"/>
      <c r="AE280" s="2"/>
      <c r="AF280" s="2"/>
      <c r="AG280" s="2"/>
      <c r="AH280" s="2"/>
    </row>
    <row r="281" spans="1:34">
      <c r="A281" t="s">
        <v>438</v>
      </c>
      <c r="B281" t="s">
        <v>439</v>
      </c>
      <c r="C281" s="2">
        <v>383</v>
      </c>
      <c r="D281" s="2"/>
      <c r="E281" s="2">
        <v>356</v>
      </c>
      <c r="F281" s="2"/>
      <c r="G281" s="2">
        <v>502</v>
      </c>
      <c r="H281" s="2"/>
      <c r="I281" s="2">
        <v>443</v>
      </c>
      <c r="J281" s="2"/>
      <c r="K281" s="2">
        <v>342</v>
      </c>
      <c r="L281" s="2"/>
      <c r="M281" s="2">
        <v>338</v>
      </c>
      <c r="N281" s="2"/>
      <c r="O281" s="2">
        <v>327</v>
      </c>
      <c r="P281" s="2"/>
      <c r="Q281" s="2">
        <v>337</v>
      </c>
      <c r="R281" s="2"/>
      <c r="S281" s="2">
        <v>342</v>
      </c>
      <c r="T281" s="2"/>
      <c r="U281" s="2">
        <v>424</v>
      </c>
      <c r="V281" s="2"/>
      <c r="W281" s="2">
        <v>423</v>
      </c>
      <c r="X281" s="2"/>
      <c r="Y281" s="2">
        <v>433</v>
      </c>
      <c r="Z281" s="2"/>
      <c r="AA281" s="2">
        <v>431</v>
      </c>
      <c r="AB281" s="2"/>
      <c r="AC281" s="2">
        <v>436</v>
      </c>
      <c r="AD281" s="2"/>
      <c r="AE281" s="2">
        <v>428</v>
      </c>
      <c r="AF281" s="2"/>
      <c r="AG281" s="2">
        <v>428</v>
      </c>
      <c r="AH281" s="2"/>
    </row>
    <row r="282" spans="1:34">
      <c r="A282" t="s">
        <v>440</v>
      </c>
      <c r="B282" t="s">
        <v>441</v>
      </c>
      <c r="C282" s="2">
        <v>105</v>
      </c>
      <c r="D282" s="2"/>
      <c r="E282" s="2">
        <v>97</v>
      </c>
      <c r="F282" s="2"/>
      <c r="G282" s="2">
        <v>89</v>
      </c>
      <c r="H282" s="2"/>
      <c r="I282" s="2">
        <v>119</v>
      </c>
      <c r="J282" s="2"/>
      <c r="K282" s="2">
        <v>87</v>
      </c>
      <c r="L282" s="2"/>
      <c r="M282" s="2">
        <v>91</v>
      </c>
      <c r="N282" s="2"/>
      <c r="O282" s="2">
        <v>90</v>
      </c>
      <c r="P282" s="2"/>
      <c r="Q282" s="2">
        <v>93</v>
      </c>
      <c r="R282" s="2"/>
      <c r="S282" s="2">
        <v>92</v>
      </c>
      <c r="T282" s="2"/>
      <c r="U282" s="2">
        <v>110</v>
      </c>
      <c r="V282" s="2"/>
      <c r="W282" s="2">
        <v>115</v>
      </c>
      <c r="X282" s="2"/>
      <c r="Y282" s="2">
        <v>118</v>
      </c>
      <c r="Z282" s="2"/>
      <c r="AA282" s="2">
        <v>115</v>
      </c>
      <c r="AB282" s="2"/>
      <c r="AC282" s="2">
        <v>113</v>
      </c>
      <c r="AD282" s="2"/>
      <c r="AE282" s="2">
        <v>107</v>
      </c>
      <c r="AF282" s="2"/>
      <c r="AG282" s="2">
        <v>108</v>
      </c>
      <c r="AH282" s="2"/>
    </row>
    <row r="283" spans="1:34">
      <c r="A283" t="s">
        <v>442</v>
      </c>
      <c r="B283" t="s">
        <v>443</v>
      </c>
      <c r="C283" s="2">
        <v>10</v>
      </c>
      <c r="D283" s="2"/>
      <c r="E283" s="2">
        <v>12</v>
      </c>
      <c r="F283" s="2"/>
      <c r="G283" s="2">
        <v>18</v>
      </c>
      <c r="H283" s="2"/>
      <c r="I283" s="2">
        <v>14</v>
      </c>
      <c r="J283" s="2"/>
      <c r="K283" s="2">
        <v>12</v>
      </c>
      <c r="L283" s="2"/>
      <c r="M283" s="2">
        <v>12</v>
      </c>
      <c r="N283" s="2"/>
      <c r="O283" s="2">
        <v>10</v>
      </c>
      <c r="P283" s="2"/>
      <c r="Q283" s="2">
        <v>12</v>
      </c>
      <c r="R283" s="2"/>
      <c r="S283" s="2">
        <v>12</v>
      </c>
      <c r="T283" s="2"/>
      <c r="U283" s="2">
        <v>11</v>
      </c>
      <c r="V283" s="2"/>
      <c r="W283" s="2">
        <v>11</v>
      </c>
      <c r="X283" s="2"/>
      <c r="Y283" s="2">
        <v>13</v>
      </c>
      <c r="Z283" s="2"/>
      <c r="AA283" s="2">
        <v>9</v>
      </c>
      <c r="AB283" s="2"/>
      <c r="AC283" s="2">
        <v>10</v>
      </c>
      <c r="AD283" s="2"/>
      <c r="AE283" s="2">
        <v>11</v>
      </c>
      <c r="AF283" s="2"/>
      <c r="AG283" s="2">
        <v>11</v>
      </c>
      <c r="AH283" s="2"/>
    </row>
    <row r="284" spans="1:34">
      <c r="A284" t="s">
        <v>444</v>
      </c>
      <c r="B284" t="s">
        <v>445</v>
      </c>
      <c r="C284" s="2">
        <v>149</v>
      </c>
      <c r="D284" s="2"/>
      <c r="E284" s="2">
        <v>124</v>
      </c>
      <c r="F284" s="2"/>
      <c r="G284" s="2">
        <v>189</v>
      </c>
      <c r="H284" s="2"/>
      <c r="I284" s="2">
        <v>128</v>
      </c>
      <c r="J284" s="2"/>
      <c r="K284" s="2">
        <v>123</v>
      </c>
      <c r="L284" s="2"/>
      <c r="M284" s="2">
        <v>119</v>
      </c>
      <c r="N284" s="2"/>
      <c r="O284" s="2">
        <v>112</v>
      </c>
      <c r="P284" s="2"/>
      <c r="Q284" s="2">
        <v>120</v>
      </c>
      <c r="R284" s="2"/>
      <c r="S284" s="2">
        <v>119</v>
      </c>
      <c r="T284" s="2"/>
      <c r="U284" s="2">
        <v>165</v>
      </c>
      <c r="V284" s="2"/>
      <c r="W284" s="2">
        <v>163</v>
      </c>
      <c r="X284" s="2"/>
      <c r="Y284" s="2">
        <v>157</v>
      </c>
      <c r="Z284" s="2"/>
      <c r="AA284" s="2">
        <v>167</v>
      </c>
      <c r="AB284" s="2"/>
      <c r="AC284" s="2">
        <v>173</v>
      </c>
      <c r="AD284" s="2"/>
      <c r="AE284" s="2">
        <v>167</v>
      </c>
      <c r="AF284" s="2"/>
      <c r="AG284" s="2">
        <v>165</v>
      </c>
      <c r="AH284" s="2"/>
    </row>
    <row r="285" spans="1:34">
      <c r="A285" t="s">
        <v>446</v>
      </c>
      <c r="B285" t="s">
        <v>447</v>
      </c>
      <c r="C285" s="2">
        <v>72</v>
      </c>
      <c r="D285" s="2"/>
      <c r="E285" s="2">
        <v>74</v>
      </c>
      <c r="F285" s="2"/>
      <c r="G285" s="2">
        <v>95</v>
      </c>
      <c r="H285" s="2"/>
      <c r="I285" s="2">
        <v>78</v>
      </c>
      <c r="J285" s="2"/>
      <c r="K285" s="2">
        <v>71</v>
      </c>
      <c r="L285" s="2"/>
      <c r="M285" s="2">
        <v>72</v>
      </c>
      <c r="N285" s="2"/>
      <c r="O285" s="2">
        <v>71</v>
      </c>
      <c r="P285" s="2"/>
      <c r="Q285" s="2">
        <v>72</v>
      </c>
      <c r="R285" s="2"/>
      <c r="S285" s="2">
        <v>74</v>
      </c>
      <c r="T285" s="2"/>
      <c r="U285" s="2">
        <v>80</v>
      </c>
      <c r="V285" s="2"/>
      <c r="W285" s="2">
        <v>76</v>
      </c>
      <c r="X285" s="2"/>
      <c r="Y285" s="2">
        <v>83</v>
      </c>
      <c r="Z285" s="2"/>
      <c r="AA285" s="2">
        <v>83</v>
      </c>
      <c r="AB285" s="2"/>
      <c r="AC285" s="2">
        <v>84</v>
      </c>
      <c r="AD285" s="2"/>
      <c r="AE285" s="2">
        <v>86</v>
      </c>
      <c r="AF285" s="2"/>
      <c r="AG285" s="2">
        <v>85</v>
      </c>
      <c r="AH285" s="2"/>
    </row>
    <row r="286" spans="1:34">
      <c r="A286" t="s">
        <v>448</v>
      </c>
      <c r="B286" t="s">
        <v>449</v>
      </c>
      <c r="C286" s="2">
        <v>26</v>
      </c>
      <c r="D286" s="2"/>
      <c r="E286" s="2">
        <v>31</v>
      </c>
      <c r="F286" s="2"/>
      <c r="G286" s="2">
        <v>88</v>
      </c>
      <c r="H286" s="2"/>
      <c r="I286" s="2">
        <v>36</v>
      </c>
      <c r="J286" s="2"/>
      <c r="K286" s="2">
        <v>27</v>
      </c>
      <c r="L286" s="2"/>
      <c r="M286" s="2">
        <v>23</v>
      </c>
      <c r="N286" s="2"/>
      <c r="O286" s="2">
        <v>23</v>
      </c>
      <c r="P286" s="2"/>
      <c r="Q286" s="2">
        <v>21</v>
      </c>
      <c r="R286" s="2"/>
      <c r="S286" s="2">
        <v>23</v>
      </c>
      <c r="T286" s="2"/>
      <c r="U286" s="2">
        <v>31</v>
      </c>
      <c r="V286" s="2"/>
      <c r="W286" s="2">
        <v>33</v>
      </c>
      <c r="X286" s="2"/>
      <c r="Y286" s="2">
        <v>37</v>
      </c>
      <c r="Z286" s="2"/>
      <c r="AA286" s="2">
        <v>33</v>
      </c>
      <c r="AB286" s="2"/>
      <c r="AC286" s="2">
        <v>32</v>
      </c>
      <c r="AD286" s="2"/>
      <c r="AE286" s="2">
        <v>31</v>
      </c>
      <c r="AF286" s="2"/>
      <c r="AG286" s="2">
        <v>33</v>
      </c>
      <c r="AH286" s="2"/>
    </row>
    <row r="287" spans="1:34">
      <c r="A287" t="s">
        <v>450</v>
      </c>
      <c r="B287" t="s">
        <v>451</v>
      </c>
      <c r="C287" s="2">
        <v>21</v>
      </c>
      <c r="D287" s="2"/>
      <c r="E287" s="2">
        <v>18</v>
      </c>
      <c r="F287" s="2"/>
      <c r="G287" s="2">
        <v>23</v>
      </c>
      <c r="H287" s="2"/>
      <c r="I287" s="2">
        <v>68</v>
      </c>
      <c r="J287" s="2"/>
      <c r="K287" s="2">
        <v>22</v>
      </c>
      <c r="L287" s="2"/>
      <c r="M287" s="2">
        <v>21</v>
      </c>
      <c r="N287" s="2"/>
      <c r="O287" s="2">
        <v>21</v>
      </c>
      <c r="P287" s="2"/>
      <c r="Q287" s="2">
        <v>19</v>
      </c>
      <c r="R287" s="2"/>
      <c r="S287" s="2">
        <v>22</v>
      </c>
      <c r="T287" s="2"/>
      <c r="U287" s="2">
        <v>27</v>
      </c>
      <c r="V287" s="2"/>
      <c r="W287" s="2">
        <v>25</v>
      </c>
      <c r="X287" s="2"/>
      <c r="Y287" s="2">
        <v>25</v>
      </c>
      <c r="Z287" s="2"/>
      <c r="AA287" s="2">
        <v>24</v>
      </c>
      <c r="AB287" s="2"/>
      <c r="AC287" s="2">
        <v>24</v>
      </c>
      <c r="AD287" s="2"/>
      <c r="AE287" s="2">
        <v>26</v>
      </c>
      <c r="AF287" s="2"/>
      <c r="AG287" s="2">
        <v>26</v>
      </c>
      <c r="AH287" s="2"/>
    </row>
    <row r="288" spans="1:34">
      <c r="A288" t="s">
        <v>452</v>
      </c>
      <c r="B288" t="s">
        <v>453</v>
      </c>
      <c r="C288" s="2">
        <v>83</v>
      </c>
      <c r="D288" s="2"/>
      <c r="E288" s="2">
        <v>103</v>
      </c>
      <c r="F288" s="2"/>
      <c r="G288" s="2">
        <v>82</v>
      </c>
      <c r="H288" s="2"/>
      <c r="I288" s="2">
        <v>131</v>
      </c>
      <c r="J288" s="2"/>
      <c r="K288" s="2">
        <v>79</v>
      </c>
      <c r="L288" s="2"/>
      <c r="M288" s="2">
        <v>88</v>
      </c>
      <c r="N288" s="2"/>
      <c r="O288" s="2">
        <v>80</v>
      </c>
      <c r="P288" s="2"/>
      <c r="Q288" s="2">
        <v>76</v>
      </c>
      <c r="R288" s="2"/>
      <c r="S288" s="2">
        <v>84</v>
      </c>
      <c r="T288" s="2"/>
      <c r="U288" s="2">
        <v>94</v>
      </c>
      <c r="V288" s="2"/>
      <c r="W288" s="2">
        <v>102</v>
      </c>
      <c r="X288" s="2"/>
      <c r="Y288" s="2">
        <v>95</v>
      </c>
      <c r="Z288" s="2"/>
      <c r="AA288" s="2">
        <v>97</v>
      </c>
      <c r="AB288" s="2"/>
      <c r="AC288" s="2">
        <v>96</v>
      </c>
      <c r="AD288" s="2"/>
      <c r="AE288" s="2">
        <v>95</v>
      </c>
      <c r="AF288" s="2"/>
      <c r="AG288" s="2">
        <v>100</v>
      </c>
      <c r="AH288" s="2"/>
    </row>
    <row r="289" spans="1:34">
      <c r="A289" t="s">
        <v>454</v>
      </c>
      <c r="B289" t="s">
        <v>455</v>
      </c>
      <c r="C289" s="2">
        <v>71</v>
      </c>
      <c r="D289" s="2"/>
      <c r="E289" s="2">
        <v>89</v>
      </c>
      <c r="F289" s="2"/>
      <c r="G289" s="2">
        <v>67</v>
      </c>
      <c r="H289" s="2"/>
      <c r="I289" s="2">
        <v>109</v>
      </c>
      <c r="J289" s="2"/>
      <c r="K289" s="2">
        <v>69</v>
      </c>
      <c r="L289" s="2"/>
      <c r="M289" s="2">
        <v>75</v>
      </c>
      <c r="N289" s="2"/>
      <c r="O289" s="2">
        <v>68</v>
      </c>
      <c r="P289" s="2"/>
      <c r="Q289" s="2">
        <v>63</v>
      </c>
      <c r="R289" s="2"/>
      <c r="S289" s="2">
        <v>73</v>
      </c>
      <c r="T289" s="2"/>
      <c r="U289" s="2">
        <v>82</v>
      </c>
      <c r="V289" s="2"/>
      <c r="W289" s="2">
        <v>91</v>
      </c>
      <c r="X289" s="2"/>
      <c r="Y289" s="2">
        <v>85</v>
      </c>
      <c r="Z289" s="2"/>
      <c r="AA289" s="2">
        <v>86</v>
      </c>
      <c r="AB289" s="2"/>
      <c r="AC289" s="2">
        <v>84</v>
      </c>
      <c r="AD289" s="2"/>
      <c r="AE289" s="2">
        <v>83</v>
      </c>
      <c r="AF289" s="2"/>
      <c r="AG289" s="2">
        <v>87</v>
      </c>
      <c r="AH289" s="2"/>
    </row>
    <row r="290" spans="1:34">
      <c r="A290" t="s">
        <v>456</v>
      </c>
      <c r="B290" t="s">
        <v>457</v>
      </c>
      <c r="C290" s="2">
        <v>12</v>
      </c>
      <c r="D290" s="2"/>
      <c r="E290" s="2">
        <v>14</v>
      </c>
      <c r="F290" s="2"/>
      <c r="G290" s="2">
        <v>15</v>
      </c>
      <c r="H290" s="2"/>
      <c r="I290" s="2">
        <v>22</v>
      </c>
      <c r="J290" s="2"/>
      <c r="K290" s="2">
        <v>10</v>
      </c>
      <c r="L290" s="2"/>
      <c r="M290" s="2">
        <v>13</v>
      </c>
      <c r="N290" s="2"/>
      <c r="O290" s="2">
        <v>12</v>
      </c>
      <c r="P290" s="2"/>
      <c r="Q290" s="2">
        <v>13</v>
      </c>
      <c r="R290" s="2"/>
      <c r="S290" s="2">
        <v>11</v>
      </c>
      <c r="T290" s="2"/>
      <c r="U290" s="2">
        <v>12</v>
      </c>
      <c r="V290" s="2"/>
      <c r="W290" s="2">
        <v>11</v>
      </c>
      <c r="X290" s="2"/>
      <c r="Y290" s="2">
        <v>10</v>
      </c>
      <c r="Z290" s="2"/>
      <c r="AA290" s="2">
        <v>11</v>
      </c>
      <c r="AB290" s="2"/>
      <c r="AC290" s="2">
        <v>12</v>
      </c>
      <c r="AD290" s="2"/>
      <c r="AE290" s="2">
        <v>12</v>
      </c>
      <c r="AF290" s="2"/>
      <c r="AG290" s="2">
        <v>13</v>
      </c>
      <c r="AH290" s="2"/>
    </row>
    <row r="291" spans="1:34">
      <c r="A291" t="s">
        <v>458</v>
      </c>
      <c r="B291" t="s">
        <v>459</v>
      </c>
      <c r="C291" s="2" t="s">
        <v>43</v>
      </c>
      <c r="D291" s="2"/>
      <c r="E291" s="2" t="s">
        <v>43</v>
      </c>
      <c r="F291" s="2"/>
      <c r="G291" s="2" t="s">
        <v>43</v>
      </c>
      <c r="H291" s="2"/>
      <c r="I291" s="2">
        <v>692</v>
      </c>
      <c r="J291" s="2"/>
      <c r="K291" s="2">
        <v>676</v>
      </c>
      <c r="L291" s="2"/>
      <c r="M291" s="2">
        <v>667</v>
      </c>
      <c r="N291" s="2"/>
      <c r="O291" s="2">
        <v>663</v>
      </c>
      <c r="P291" s="2"/>
      <c r="Q291" s="2">
        <v>658</v>
      </c>
      <c r="R291" s="2"/>
      <c r="S291" s="2">
        <v>658</v>
      </c>
      <c r="T291" s="2"/>
      <c r="U291" s="2">
        <v>806</v>
      </c>
      <c r="V291" s="2"/>
      <c r="W291" s="2">
        <v>785</v>
      </c>
      <c r="X291" s="2"/>
      <c r="Y291" s="2">
        <v>788</v>
      </c>
      <c r="Z291" s="2"/>
      <c r="AA291" s="2">
        <v>861</v>
      </c>
      <c r="AB291" s="2"/>
      <c r="AC291" s="2">
        <v>835</v>
      </c>
      <c r="AD291" s="2"/>
      <c r="AE291" s="2">
        <v>840</v>
      </c>
      <c r="AF291" s="2"/>
      <c r="AG291" s="2">
        <v>858</v>
      </c>
      <c r="AH291" s="2"/>
    </row>
    <row r="292" spans="1:34">
      <c r="A292" t="s">
        <v>460</v>
      </c>
      <c r="B292" t="s">
        <v>461</v>
      </c>
      <c r="C292" s="2" t="s">
        <v>43</v>
      </c>
      <c r="D292" s="2"/>
      <c r="E292" s="2" t="s">
        <v>43</v>
      </c>
      <c r="F292" s="2"/>
      <c r="G292" s="2" t="s">
        <v>43</v>
      </c>
      <c r="H292" s="2"/>
      <c r="I292" s="2">
        <v>9</v>
      </c>
      <c r="J292" s="2"/>
      <c r="K292" s="2">
        <v>14</v>
      </c>
      <c r="L292" s="2"/>
      <c r="M292" s="2">
        <v>14</v>
      </c>
      <c r="N292" s="2"/>
      <c r="O292" s="2">
        <v>16</v>
      </c>
      <c r="P292" s="2"/>
      <c r="Q292" s="2">
        <v>14</v>
      </c>
      <c r="R292" s="2"/>
      <c r="S292" s="2">
        <v>13</v>
      </c>
      <c r="T292" s="2"/>
      <c r="U292" s="2">
        <v>14</v>
      </c>
      <c r="V292" s="2"/>
      <c r="W292" s="2">
        <v>13</v>
      </c>
      <c r="X292" s="2"/>
      <c r="Y292" s="2">
        <v>12</v>
      </c>
      <c r="Z292" s="2"/>
      <c r="AA292" s="2">
        <v>13</v>
      </c>
      <c r="AB292" s="2"/>
      <c r="AC292" s="2">
        <v>15</v>
      </c>
      <c r="AD292" s="2"/>
      <c r="AE292" s="2">
        <v>20</v>
      </c>
      <c r="AF292" s="2"/>
      <c r="AG292" s="2">
        <v>18</v>
      </c>
      <c r="AH292" s="2"/>
    </row>
    <row r="293" spans="1:34">
      <c r="A293" t="s">
        <v>462</v>
      </c>
      <c r="B293" t="s">
        <v>463</v>
      </c>
      <c r="C293" s="2" t="s">
        <v>43</v>
      </c>
      <c r="D293" s="2"/>
      <c r="E293" s="2" t="s">
        <v>43</v>
      </c>
      <c r="F293" s="2"/>
      <c r="G293" s="2" t="s">
        <v>43</v>
      </c>
      <c r="H293" s="2"/>
      <c r="I293" s="2">
        <v>11</v>
      </c>
      <c r="J293" s="2"/>
      <c r="K293" s="2">
        <v>16</v>
      </c>
      <c r="L293" s="2"/>
      <c r="M293" s="2">
        <v>15</v>
      </c>
      <c r="N293" s="2"/>
      <c r="O293" s="2">
        <v>13</v>
      </c>
      <c r="P293" s="2"/>
      <c r="Q293" s="2">
        <v>14</v>
      </c>
      <c r="R293" s="2"/>
      <c r="S293" s="2">
        <v>16</v>
      </c>
      <c r="T293" s="2"/>
      <c r="U293" s="2">
        <v>24</v>
      </c>
      <c r="V293" s="2"/>
      <c r="W293" s="2">
        <v>22</v>
      </c>
      <c r="X293" s="2"/>
      <c r="Y293" s="2">
        <v>22</v>
      </c>
      <c r="Z293" s="2"/>
      <c r="AA293" s="2">
        <v>25</v>
      </c>
      <c r="AB293" s="2"/>
      <c r="AC293" s="2">
        <v>25</v>
      </c>
      <c r="AD293" s="2"/>
      <c r="AE293" s="2">
        <v>26</v>
      </c>
      <c r="AF293" s="2"/>
      <c r="AG293" s="2">
        <v>31</v>
      </c>
      <c r="AH293" s="2"/>
    </row>
    <row r="294" spans="1:34">
      <c r="A294" t="s">
        <v>464</v>
      </c>
      <c r="B294" t="s">
        <v>465</v>
      </c>
      <c r="C294" s="2" t="s">
        <v>43</v>
      </c>
      <c r="D294" s="2"/>
      <c r="E294" s="2" t="s">
        <v>43</v>
      </c>
      <c r="F294" s="2"/>
      <c r="G294" s="2" t="s">
        <v>43</v>
      </c>
      <c r="H294" s="2"/>
      <c r="I294" s="2">
        <v>298</v>
      </c>
      <c r="J294" s="2"/>
      <c r="K294" s="2">
        <v>278</v>
      </c>
      <c r="L294" s="2"/>
      <c r="M294" s="2">
        <v>275</v>
      </c>
      <c r="N294" s="2"/>
      <c r="O294" s="2">
        <v>279</v>
      </c>
      <c r="P294" s="2"/>
      <c r="Q294" s="2">
        <v>281</v>
      </c>
      <c r="R294" s="2"/>
      <c r="S294" s="2">
        <v>283</v>
      </c>
      <c r="T294" s="2"/>
      <c r="U294" s="2">
        <v>332</v>
      </c>
      <c r="V294" s="2"/>
      <c r="W294" s="2">
        <v>326</v>
      </c>
      <c r="X294" s="2"/>
      <c r="Y294" s="2">
        <v>328</v>
      </c>
      <c r="Z294" s="2"/>
      <c r="AA294" s="2">
        <v>373</v>
      </c>
      <c r="AB294" s="2"/>
      <c r="AC294" s="2">
        <v>358</v>
      </c>
      <c r="AD294" s="2"/>
      <c r="AE294" s="2">
        <v>359</v>
      </c>
      <c r="AF294" s="2"/>
      <c r="AG294" s="2">
        <v>360</v>
      </c>
      <c r="AH294" s="2"/>
    </row>
    <row r="295" spans="1:34">
      <c r="A295" t="s">
        <v>466</v>
      </c>
      <c r="B295" t="s">
        <v>467</v>
      </c>
      <c r="C295" s="2" t="s">
        <v>43</v>
      </c>
      <c r="D295" s="2"/>
      <c r="E295" s="2" t="s">
        <v>43</v>
      </c>
      <c r="F295" s="2"/>
      <c r="G295" s="2" t="s">
        <v>43</v>
      </c>
      <c r="H295" s="2"/>
      <c r="I295" s="2">
        <v>34</v>
      </c>
      <c r="J295" s="2"/>
      <c r="K295" s="2">
        <v>32</v>
      </c>
      <c r="L295" s="2"/>
      <c r="M295" s="2">
        <v>31</v>
      </c>
      <c r="N295" s="2"/>
      <c r="O295" s="2">
        <v>31</v>
      </c>
      <c r="P295" s="2"/>
      <c r="Q295" s="2">
        <v>25</v>
      </c>
      <c r="R295" s="2"/>
      <c r="S295" s="2">
        <v>26</v>
      </c>
      <c r="T295" s="2"/>
      <c r="U295" s="2">
        <v>37</v>
      </c>
      <c r="V295" s="2"/>
      <c r="W295" s="2">
        <v>25</v>
      </c>
      <c r="X295" s="2"/>
      <c r="Y295" s="2">
        <v>25</v>
      </c>
      <c r="Z295" s="2"/>
      <c r="AA295" s="2">
        <v>28</v>
      </c>
      <c r="AB295" s="2"/>
      <c r="AC295" s="2">
        <v>26</v>
      </c>
      <c r="AD295" s="2"/>
      <c r="AE295" s="2">
        <v>27</v>
      </c>
      <c r="AF295" s="2"/>
      <c r="AG295" s="2">
        <v>28</v>
      </c>
      <c r="AH295" s="2"/>
    </row>
    <row r="296" spans="1:34">
      <c r="A296" t="s">
        <v>468</v>
      </c>
      <c r="B296" t="s">
        <v>469</v>
      </c>
      <c r="C296" s="2" t="s">
        <v>43</v>
      </c>
      <c r="D296" s="2"/>
      <c r="E296" s="2" t="s">
        <v>43</v>
      </c>
      <c r="F296" s="2"/>
      <c r="G296" s="2" t="s">
        <v>43</v>
      </c>
      <c r="H296" s="2"/>
      <c r="I296" s="2">
        <v>340</v>
      </c>
      <c r="J296" s="2"/>
      <c r="K296" s="2">
        <v>336</v>
      </c>
      <c r="L296" s="2"/>
      <c r="M296" s="2">
        <v>332</v>
      </c>
      <c r="N296" s="2"/>
      <c r="O296" s="2">
        <v>324</v>
      </c>
      <c r="P296" s="2"/>
      <c r="Q296" s="2">
        <v>324</v>
      </c>
      <c r="R296" s="2"/>
      <c r="S296" s="2">
        <v>320</v>
      </c>
      <c r="T296" s="2"/>
      <c r="U296" s="2">
        <v>399</v>
      </c>
      <c r="V296" s="2"/>
      <c r="W296" s="2">
        <v>399</v>
      </c>
      <c r="X296" s="2"/>
      <c r="Y296" s="2">
        <v>401</v>
      </c>
      <c r="Z296" s="2"/>
      <c r="AA296" s="2">
        <v>422</v>
      </c>
      <c r="AB296" s="2"/>
      <c r="AC296" s="2">
        <v>411</v>
      </c>
      <c r="AD296" s="2"/>
      <c r="AE296" s="2">
        <v>408</v>
      </c>
      <c r="AF296" s="2"/>
      <c r="AG296" s="2">
        <v>421</v>
      </c>
      <c r="AH296" s="2"/>
    </row>
    <row r="297" spans="1:34">
      <c r="A297" t="s">
        <v>470</v>
      </c>
      <c r="B297" t="s">
        <v>471</v>
      </c>
      <c r="C297" s="2" t="s">
        <v>43</v>
      </c>
      <c r="D297" s="2"/>
      <c r="E297" s="2" t="s">
        <v>43</v>
      </c>
      <c r="F297" s="2"/>
      <c r="G297" s="2" t="s">
        <v>43</v>
      </c>
      <c r="H297" s="2"/>
      <c r="I297" s="2">
        <v>455</v>
      </c>
      <c r="J297" s="2"/>
      <c r="K297" s="2">
        <v>322</v>
      </c>
      <c r="L297" s="2"/>
      <c r="M297" s="2">
        <v>313</v>
      </c>
      <c r="N297" s="2"/>
      <c r="O297" s="2">
        <v>302</v>
      </c>
      <c r="P297" s="2"/>
      <c r="Q297" s="2">
        <v>297</v>
      </c>
      <c r="R297" s="2"/>
      <c r="S297" s="2">
        <v>306</v>
      </c>
      <c r="T297" s="2"/>
      <c r="U297" s="2">
        <v>378</v>
      </c>
      <c r="V297" s="2"/>
      <c r="W297" s="2">
        <v>366</v>
      </c>
      <c r="X297" s="2"/>
      <c r="Y297" s="2">
        <v>370</v>
      </c>
      <c r="Z297" s="2"/>
      <c r="AA297" s="2">
        <v>392</v>
      </c>
      <c r="AB297" s="2"/>
      <c r="AC297" s="2">
        <v>411</v>
      </c>
      <c r="AD297" s="2"/>
      <c r="AE297" s="2">
        <v>409</v>
      </c>
      <c r="AF297" s="2"/>
      <c r="AG297" s="2">
        <v>408</v>
      </c>
      <c r="AH297" s="2"/>
    </row>
    <row r="298" spans="1:34">
      <c r="A298" t="s">
        <v>472</v>
      </c>
      <c r="B298" t="s">
        <v>473</v>
      </c>
      <c r="C298" s="2" t="s">
        <v>43</v>
      </c>
      <c r="D298" s="2"/>
      <c r="E298" s="2" t="s">
        <v>43</v>
      </c>
      <c r="F298" s="2"/>
      <c r="G298" s="2" t="s">
        <v>43</v>
      </c>
      <c r="H298" s="2"/>
      <c r="I298" s="2">
        <v>139</v>
      </c>
      <c r="J298" s="2"/>
      <c r="K298" s="2">
        <v>101</v>
      </c>
      <c r="L298" s="2"/>
      <c r="M298" s="2">
        <v>100</v>
      </c>
      <c r="N298" s="2"/>
      <c r="O298" s="2">
        <v>102</v>
      </c>
      <c r="P298" s="2"/>
      <c r="Q298" s="2">
        <v>104</v>
      </c>
      <c r="R298" s="2"/>
      <c r="S298" s="2">
        <v>105</v>
      </c>
      <c r="T298" s="2"/>
      <c r="U298" s="2">
        <v>122</v>
      </c>
      <c r="V298" s="2"/>
      <c r="W298" s="2">
        <v>125</v>
      </c>
      <c r="X298" s="2"/>
      <c r="Y298" s="2">
        <v>126</v>
      </c>
      <c r="Z298" s="2"/>
      <c r="AA298" s="2">
        <v>135</v>
      </c>
      <c r="AB298" s="2"/>
      <c r="AC298" s="2">
        <v>147</v>
      </c>
      <c r="AD298" s="2"/>
      <c r="AE298" s="2">
        <v>149</v>
      </c>
      <c r="AF298" s="2"/>
      <c r="AG298" s="2">
        <v>146</v>
      </c>
      <c r="AH298" s="2"/>
    </row>
    <row r="299" spans="1:34">
      <c r="A299" t="s">
        <v>474</v>
      </c>
      <c r="B299" t="s">
        <v>475</v>
      </c>
      <c r="C299" s="2" t="s">
        <v>43</v>
      </c>
      <c r="D299" s="2"/>
      <c r="E299" s="2" t="s">
        <v>43</v>
      </c>
      <c r="F299" s="2"/>
      <c r="G299" s="2" t="s">
        <v>43</v>
      </c>
      <c r="H299" s="2"/>
      <c r="I299" s="2">
        <v>34</v>
      </c>
      <c r="J299" s="2"/>
      <c r="K299" s="2">
        <v>33</v>
      </c>
      <c r="L299" s="2"/>
      <c r="M299" s="2">
        <v>33</v>
      </c>
      <c r="N299" s="2"/>
      <c r="O299" s="2">
        <v>32</v>
      </c>
      <c r="P299" s="2"/>
      <c r="Q299" s="2">
        <v>31</v>
      </c>
      <c r="R299" s="2"/>
      <c r="S299" s="2">
        <v>30</v>
      </c>
      <c r="T299" s="2"/>
      <c r="U299" s="2">
        <v>37</v>
      </c>
      <c r="V299" s="2"/>
      <c r="W299" s="2">
        <v>35</v>
      </c>
      <c r="X299" s="2"/>
      <c r="Y299" s="2">
        <v>36</v>
      </c>
      <c r="Z299" s="2"/>
      <c r="AA299" s="2">
        <v>41</v>
      </c>
      <c r="AB299" s="2"/>
      <c r="AC299" s="2">
        <v>42</v>
      </c>
      <c r="AD299" s="2"/>
      <c r="AE299" s="2">
        <v>43</v>
      </c>
      <c r="AF299" s="2"/>
      <c r="AG299" s="2">
        <v>39</v>
      </c>
      <c r="AH299" s="2"/>
    </row>
    <row r="300" spans="1:34">
      <c r="A300" t="s">
        <v>476</v>
      </c>
      <c r="B300" t="s">
        <v>477</v>
      </c>
      <c r="C300" s="2" t="s">
        <v>43</v>
      </c>
      <c r="D300" s="2"/>
      <c r="E300" s="2" t="s">
        <v>43</v>
      </c>
      <c r="F300" s="2"/>
      <c r="G300" s="2" t="s">
        <v>43</v>
      </c>
      <c r="H300" s="2"/>
      <c r="I300" s="2">
        <v>89</v>
      </c>
      <c r="J300" s="2"/>
      <c r="K300" s="2">
        <v>67</v>
      </c>
      <c r="L300" s="2"/>
      <c r="M300" s="2">
        <v>66</v>
      </c>
      <c r="N300" s="2"/>
      <c r="O300" s="2">
        <v>54</v>
      </c>
      <c r="P300" s="2"/>
      <c r="Q300" s="2">
        <v>55</v>
      </c>
      <c r="R300" s="2"/>
      <c r="S300" s="2">
        <v>57</v>
      </c>
      <c r="T300" s="2"/>
      <c r="U300" s="2">
        <v>67</v>
      </c>
      <c r="V300" s="2"/>
      <c r="W300" s="2">
        <v>61</v>
      </c>
      <c r="X300" s="2"/>
      <c r="Y300" s="2">
        <v>61</v>
      </c>
      <c r="Z300" s="2"/>
      <c r="AA300" s="2">
        <v>69</v>
      </c>
      <c r="AB300" s="2"/>
      <c r="AC300" s="2">
        <v>69</v>
      </c>
      <c r="AD300" s="2"/>
      <c r="AE300" s="2">
        <v>74</v>
      </c>
      <c r="AF300" s="2"/>
      <c r="AG300" s="2">
        <v>83</v>
      </c>
      <c r="AH300" s="2"/>
    </row>
    <row r="301" spans="1:34">
      <c r="A301" t="s">
        <v>478</v>
      </c>
      <c r="B301" t="s">
        <v>479</v>
      </c>
      <c r="C301" s="2" t="s">
        <v>43</v>
      </c>
      <c r="D301" s="2"/>
      <c r="E301" s="2" t="s">
        <v>43</v>
      </c>
      <c r="F301" s="2"/>
      <c r="G301" s="2" t="s">
        <v>43</v>
      </c>
      <c r="H301" s="2"/>
      <c r="I301" s="2">
        <v>193</v>
      </c>
      <c r="J301" s="2"/>
      <c r="K301" s="2">
        <v>121</v>
      </c>
      <c r="L301" s="2"/>
      <c r="M301" s="2">
        <v>114</v>
      </c>
      <c r="N301" s="2"/>
      <c r="O301" s="2">
        <v>114</v>
      </c>
      <c r="P301" s="2"/>
      <c r="Q301" s="2">
        <v>107</v>
      </c>
      <c r="R301" s="2"/>
      <c r="S301" s="2">
        <v>114</v>
      </c>
      <c r="T301" s="2"/>
      <c r="U301" s="2">
        <v>152</v>
      </c>
      <c r="V301" s="2"/>
      <c r="W301" s="2">
        <v>145</v>
      </c>
      <c r="X301" s="2"/>
      <c r="Y301" s="2">
        <v>147</v>
      </c>
      <c r="Z301" s="2"/>
      <c r="AA301" s="2">
        <v>147</v>
      </c>
      <c r="AB301" s="2"/>
      <c r="AC301" s="2">
        <v>153</v>
      </c>
      <c r="AD301" s="2"/>
      <c r="AE301" s="2">
        <v>143</v>
      </c>
      <c r="AF301" s="2"/>
      <c r="AG301" s="2">
        <v>140</v>
      </c>
      <c r="AH301" s="2"/>
    </row>
    <row r="302" spans="1:34">
      <c r="A302" t="s">
        <v>480</v>
      </c>
      <c r="B302" t="s">
        <v>481</v>
      </c>
      <c r="C302" s="2">
        <v>92</v>
      </c>
      <c r="D302" s="2"/>
      <c r="E302" s="2">
        <v>92</v>
      </c>
      <c r="F302" s="2"/>
      <c r="G302" s="2">
        <v>84</v>
      </c>
      <c r="H302" s="2"/>
      <c r="I302" s="2">
        <v>82</v>
      </c>
      <c r="J302" s="2"/>
      <c r="K302" s="2">
        <v>78</v>
      </c>
      <c r="L302" s="2"/>
      <c r="M302" s="2">
        <v>74</v>
      </c>
      <c r="N302" s="2"/>
      <c r="O302" s="2">
        <v>72</v>
      </c>
      <c r="P302" s="2"/>
      <c r="Q302" s="2">
        <v>71</v>
      </c>
      <c r="R302" s="2"/>
      <c r="S302" s="2">
        <v>70</v>
      </c>
      <c r="T302" s="2"/>
      <c r="U302" s="2">
        <v>66</v>
      </c>
      <c r="V302" s="2"/>
      <c r="W302" s="2">
        <v>69</v>
      </c>
      <c r="X302" s="2"/>
      <c r="Y302" s="2">
        <v>65</v>
      </c>
      <c r="Z302" s="2"/>
      <c r="AA302" s="2">
        <v>65</v>
      </c>
      <c r="AB302" s="2"/>
      <c r="AC302" s="2">
        <v>63</v>
      </c>
      <c r="AD302" s="2"/>
      <c r="AE302" s="2">
        <v>61</v>
      </c>
      <c r="AF302" s="2"/>
      <c r="AG302" s="2">
        <v>61</v>
      </c>
      <c r="AH302" s="2"/>
    </row>
    <row r="303" spans="1:34">
      <c r="A303" t="s">
        <v>482</v>
      </c>
      <c r="B303" t="s">
        <v>483</v>
      </c>
      <c r="C303" s="2">
        <v>92</v>
      </c>
      <c r="D303" s="2"/>
      <c r="E303" s="2">
        <v>92</v>
      </c>
      <c r="F303" s="2"/>
      <c r="G303" s="2">
        <v>84</v>
      </c>
      <c r="H303" s="2"/>
      <c r="I303" s="2">
        <v>82</v>
      </c>
      <c r="J303" s="2"/>
      <c r="K303" s="2">
        <v>78</v>
      </c>
      <c r="L303" s="2"/>
      <c r="M303" s="2">
        <v>74</v>
      </c>
      <c r="N303" s="2"/>
      <c r="O303" s="2">
        <v>72</v>
      </c>
      <c r="P303" s="2"/>
      <c r="Q303" s="2">
        <v>71</v>
      </c>
      <c r="R303" s="2"/>
      <c r="S303" s="2">
        <v>70</v>
      </c>
      <c r="T303" s="2"/>
      <c r="U303" s="2">
        <v>66</v>
      </c>
      <c r="V303" s="2"/>
      <c r="W303" s="2">
        <v>69</v>
      </c>
      <c r="X303" s="2"/>
      <c r="Y303" s="2">
        <v>65</v>
      </c>
      <c r="Z303" s="2"/>
      <c r="AA303" s="2">
        <v>65</v>
      </c>
      <c r="AB303" s="2"/>
      <c r="AC303" s="2">
        <v>63</v>
      </c>
      <c r="AD303" s="2"/>
      <c r="AE303" s="2">
        <v>61</v>
      </c>
      <c r="AF303" s="2"/>
      <c r="AG303" s="2">
        <v>61</v>
      </c>
      <c r="AH303" s="2"/>
    </row>
    <row r="304" spans="1:34">
      <c r="A304" t="s">
        <v>484</v>
      </c>
      <c r="B304" t="s">
        <v>483</v>
      </c>
      <c r="C304" s="2">
        <v>92</v>
      </c>
      <c r="D304" s="2"/>
      <c r="E304" s="2">
        <v>92</v>
      </c>
      <c r="F304" s="2"/>
      <c r="G304" s="2">
        <v>84</v>
      </c>
      <c r="H304" s="2"/>
      <c r="I304" s="2">
        <v>82</v>
      </c>
      <c r="J304" s="2"/>
      <c r="K304" s="2">
        <v>78</v>
      </c>
      <c r="L304" s="2"/>
      <c r="M304" s="2">
        <v>74</v>
      </c>
      <c r="N304" s="2"/>
      <c r="O304" s="2">
        <v>72</v>
      </c>
      <c r="P304" s="2"/>
      <c r="Q304" s="2">
        <v>71</v>
      </c>
      <c r="R304" s="2"/>
      <c r="S304" s="2">
        <v>70</v>
      </c>
      <c r="T304" s="2"/>
      <c r="U304" s="2">
        <v>66</v>
      </c>
      <c r="V304" s="2"/>
      <c r="W304" s="2">
        <v>69</v>
      </c>
      <c r="X304" s="2"/>
      <c r="Y304" s="2">
        <v>65</v>
      </c>
      <c r="Z304" s="2"/>
      <c r="AA304" s="2">
        <v>65</v>
      </c>
      <c r="AB304" s="2"/>
      <c r="AC304" s="2">
        <v>63</v>
      </c>
      <c r="AD304" s="2"/>
      <c r="AE304" s="2">
        <v>61</v>
      </c>
      <c r="AF304" s="2"/>
      <c r="AG304" s="2">
        <v>61</v>
      </c>
      <c r="AH304" s="2"/>
    </row>
    <row r="305" spans="1:34">
      <c r="A305" t="s">
        <v>485</v>
      </c>
      <c r="B305" t="s">
        <v>486</v>
      </c>
      <c r="C305" s="2">
        <v>41</v>
      </c>
      <c r="D305" s="2"/>
      <c r="E305" s="2">
        <v>37</v>
      </c>
      <c r="F305" s="2"/>
      <c r="G305" s="2">
        <v>37</v>
      </c>
      <c r="H305" s="2"/>
      <c r="I305" s="2">
        <v>40</v>
      </c>
      <c r="J305" s="2"/>
      <c r="K305" s="2">
        <v>46</v>
      </c>
      <c r="L305" s="2"/>
      <c r="M305" s="2">
        <v>52</v>
      </c>
      <c r="N305" s="2"/>
      <c r="O305" s="2">
        <v>66</v>
      </c>
      <c r="P305" s="2"/>
      <c r="Q305" s="2">
        <v>72</v>
      </c>
      <c r="R305" s="2"/>
      <c r="S305" s="2">
        <v>74</v>
      </c>
      <c r="T305" s="2"/>
      <c r="U305" s="2">
        <v>78</v>
      </c>
      <c r="V305" s="2"/>
      <c r="W305" s="2">
        <v>64</v>
      </c>
      <c r="X305" s="2"/>
      <c r="Y305" s="2">
        <v>67</v>
      </c>
      <c r="Z305" s="2"/>
      <c r="AA305" s="2">
        <v>79</v>
      </c>
      <c r="AB305" s="2"/>
      <c r="AC305" s="2">
        <v>79</v>
      </c>
      <c r="AD305" s="2"/>
      <c r="AE305" s="2">
        <v>76</v>
      </c>
      <c r="AF305" s="2"/>
      <c r="AG305" s="2">
        <v>74</v>
      </c>
      <c r="AH305" s="2"/>
    </row>
    <row r="306" spans="1:34">
      <c r="A306" t="s">
        <v>487</v>
      </c>
      <c r="B306" t="s">
        <v>488</v>
      </c>
      <c r="C306" s="2">
        <v>41</v>
      </c>
      <c r="D306" s="2"/>
      <c r="E306" s="2">
        <v>37</v>
      </c>
      <c r="F306" s="2"/>
      <c r="G306" s="2">
        <v>37</v>
      </c>
      <c r="H306" s="2"/>
      <c r="I306" s="2">
        <v>40</v>
      </c>
      <c r="J306" s="2"/>
      <c r="K306" s="2">
        <v>46</v>
      </c>
      <c r="L306" s="2"/>
      <c r="M306" s="2">
        <v>52</v>
      </c>
      <c r="N306" s="2"/>
      <c r="O306" s="2">
        <v>66</v>
      </c>
      <c r="P306" s="2"/>
      <c r="Q306" s="2">
        <v>72</v>
      </c>
      <c r="R306" s="2"/>
      <c r="S306" s="2">
        <v>74</v>
      </c>
      <c r="T306" s="2"/>
      <c r="U306" s="2">
        <v>78</v>
      </c>
      <c r="V306" s="2"/>
      <c r="W306" s="2">
        <v>64</v>
      </c>
      <c r="X306" s="2"/>
      <c r="Y306" s="2">
        <v>67</v>
      </c>
      <c r="Z306" s="2"/>
      <c r="AA306" s="2">
        <v>79</v>
      </c>
      <c r="AB306" s="2"/>
      <c r="AC306" s="2">
        <v>79</v>
      </c>
      <c r="AD306" s="2"/>
      <c r="AE306" s="2">
        <v>76</v>
      </c>
      <c r="AF306" s="2"/>
      <c r="AG306" s="2" t="s">
        <v>43</v>
      </c>
      <c r="AH306" s="2"/>
    </row>
    <row r="307" spans="1:34">
      <c r="A307" t="s">
        <v>489</v>
      </c>
      <c r="B307" t="s">
        <v>488</v>
      </c>
      <c r="C307" s="2">
        <v>41</v>
      </c>
      <c r="D307" s="2"/>
      <c r="E307" s="2">
        <v>37</v>
      </c>
      <c r="F307" s="2"/>
      <c r="G307" s="2">
        <v>37</v>
      </c>
      <c r="H307" s="2"/>
      <c r="I307" s="2">
        <v>40</v>
      </c>
      <c r="J307" s="2"/>
      <c r="K307" s="2">
        <v>46</v>
      </c>
      <c r="L307" s="2"/>
      <c r="M307" s="2">
        <v>52</v>
      </c>
      <c r="N307" s="2"/>
      <c r="O307" s="2">
        <v>66</v>
      </c>
      <c r="P307" s="2"/>
      <c r="Q307" s="2">
        <v>72</v>
      </c>
      <c r="R307" s="2"/>
      <c r="S307" s="2">
        <v>74</v>
      </c>
      <c r="T307" s="2"/>
      <c r="U307" s="2">
        <v>78</v>
      </c>
      <c r="V307" s="2"/>
      <c r="W307" s="2">
        <v>64</v>
      </c>
      <c r="X307" s="2"/>
      <c r="Y307" s="2">
        <v>67</v>
      </c>
      <c r="Z307" s="2"/>
      <c r="AA307" s="2">
        <v>79</v>
      </c>
      <c r="AB307" s="2"/>
      <c r="AC307" s="2">
        <v>79</v>
      </c>
      <c r="AD307" s="2"/>
      <c r="AE307" s="2">
        <v>76</v>
      </c>
      <c r="AF307" s="2"/>
      <c r="AG307" s="2" t="s">
        <v>43</v>
      </c>
      <c r="AH307" s="2"/>
    </row>
    <row r="308" spans="1:34">
      <c r="A308" t="s">
        <v>990</v>
      </c>
      <c r="B308" t="s">
        <v>68</v>
      </c>
      <c r="C308" s="2" t="s">
        <v>43</v>
      </c>
      <c r="D308" s="2"/>
      <c r="E308" s="2">
        <v>0</v>
      </c>
      <c r="F308" s="2"/>
      <c r="G308" s="2">
        <v>0</v>
      </c>
      <c r="H308" s="2"/>
      <c r="I308" s="2">
        <v>0</v>
      </c>
      <c r="J308" s="2"/>
      <c r="K308" s="2" t="s">
        <v>43</v>
      </c>
      <c r="L308" s="2"/>
      <c r="M308" s="2" t="s">
        <v>43</v>
      </c>
      <c r="N308" s="2"/>
      <c r="O308" s="2" t="s">
        <v>43</v>
      </c>
      <c r="P308" s="2"/>
      <c r="Q308" s="2" t="s">
        <v>43</v>
      </c>
      <c r="R308" s="2"/>
      <c r="S308" s="2">
        <v>0</v>
      </c>
      <c r="T308" s="2"/>
      <c r="U308" s="2" t="s">
        <v>43</v>
      </c>
      <c r="V308" s="2"/>
      <c r="W308" s="2">
        <v>0</v>
      </c>
      <c r="X308" s="2"/>
      <c r="Y308" s="2" t="s">
        <v>43</v>
      </c>
      <c r="Z308" s="2"/>
      <c r="AA308" s="2" t="s">
        <v>43</v>
      </c>
      <c r="AB308" s="2"/>
      <c r="AC308" s="2"/>
      <c r="AD308" s="2"/>
      <c r="AE308" s="2"/>
      <c r="AF308" s="2"/>
      <c r="AG308" s="2"/>
      <c r="AH308" s="2"/>
    </row>
    <row r="309" spans="1:34">
      <c r="A309" t="s">
        <v>991</v>
      </c>
      <c r="B309" t="s">
        <v>70</v>
      </c>
      <c r="C309" s="2" t="s">
        <v>43</v>
      </c>
      <c r="D309" s="2"/>
      <c r="E309" s="2">
        <v>0</v>
      </c>
      <c r="F309" s="2"/>
      <c r="G309" s="2">
        <v>0</v>
      </c>
      <c r="H309" s="2"/>
      <c r="I309" s="2">
        <v>0</v>
      </c>
      <c r="J309" s="2"/>
      <c r="K309" s="2" t="s">
        <v>43</v>
      </c>
      <c r="L309" s="2"/>
      <c r="M309" s="2" t="s">
        <v>43</v>
      </c>
      <c r="N309" s="2"/>
      <c r="O309" s="2" t="s">
        <v>43</v>
      </c>
      <c r="P309" s="2"/>
      <c r="Q309" s="2" t="s">
        <v>43</v>
      </c>
      <c r="R309" s="2"/>
      <c r="S309" s="2">
        <v>0</v>
      </c>
      <c r="T309" s="2"/>
      <c r="U309" s="2" t="s">
        <v>43</v>
      </c>
      <c r="V309" s="2"/>
      <c r="W309" s="2">
        <v>0</v>
      </c>
      <c r="X309" s="2"/>
      <c r="Y309" s="2" t="s">
        <v>43</v>
      </c>
      <c r="Z309" s="2"/>
      <c r="AA309" s="2" t="s">
        <v>43</v>
      </c>
      <c r="AB309" s="2"/>
      <c r="AC309" s="2"/>
      <c r="AD309" s="2"/>
      <c r="AE309" s="2"/>
      <c r="AF309" s="2"/>
      <c r="AG309" s="2"/>
      <c r="AH309" s="2"/>
    </row>
    <row r="310" spans="1:34">
      <c r="A310" t="s">
        <v>490</v>
      </c>
      <c r="B310" t="s">
        <v>491</v>
      </c>
      <c r="C310" s="2">
        <v>62</v>
      </c>
      <c r="D310" s="2"/>
      <c r="E310" s="2">
        <v>34</v>
      </c>
      <c r="F310" s="2"/>
      <c r="G310" s="2">
        <v>31</v>
      </c>
      <c r="H310" s="2"/>
      <c r="I310" s="2">
        <v>39</v>
      </c>
      <c r="J310" s="2"/>
      <c r="K310" s="2">
        <v>41</v>
      </c>
      <c r="L310" s="2"/>
      <c r="M310" s="2">
        <v>51</v>
      </c>
      <c r="N310" s="2"/>
      <c r="O310" s="2">
        <v>47</v>
      </c>
      <c r="P310" s="2"/>
      <c r="Q310" s="2">
        <v>53</v>
      </c>
      <c r="R310" s="2"/>
      <c r="S310" s="2">
        <v>60</v>
      </c>
      <c r="T310" s="2"/>
      <c r="U310" s="2">
        <v>55</v>
      </c>
      <c r="V310" s="2"/>
      <c r="W310" s="2">
        <v>89</v>
      </c>
      <c r="X310" s="2" t="s">
        <v>334</v>
      </c>
      <c r="Y310" s="2">
        <v>62</v>
      </c>
      <c r="Z310" s="2"/>
      <c r="AA310" s="2">
        <v>68</v>
      </c>
      <c r="AB310" s="2"/>
      <c r="AC310" s="2">
        <v>71</v>
      </c>
      <c r="AD310" s="2"/>
      <c r="AE310" s="2">
        <v>70</v>
      </c>
      <c r="AF310" s="2"/>
      <c r="AG310" s="2">
        <v>69</v>
      </c>
      <c r="AH310" s="2"/>
    </row>
    <row r="311" spans="1:34">
      <c r="A311" t="s">
        <v>492</v>
      </c>
      <c r="B311" t="s">
        <v>493</v>
      </c>
      <c r="C311" s="2">
        <v>62</v>
      </c>
      <c r="D311" s="2"/>
      <c r="E311" s="2">
        <v>34</v>
      </c>
      <c r="F311" s="2"/>
      <c r="G311" s="2">
        <v>31</v>
      </c>
      <c r="H311" s="2"/>
      <c r="I311" s="2">
        <v>39</v>
      </c>
      <c r="J311" s="2"/>
      <c r="K311" s="2">
        <v>41</v>
      </c>
      <c r="L311" s="2"/>
      <c r="M311" s="2">
        <v>51</v>
      </c>
      <c r="N311" s="2"/>
      <c r="O311" s="2">
        <v>47</v>
      </c>
      <c r="P311" s="2"/>
      <c r="Q311" s="2">
        <v>53</v>
      </c>
      <c r="R311" s="2"/>
      <c r="S311" s="2">
        <v>60</v>
      </c>
      <c r="T311" s="2"/>
      <c r="U311" s="2">
        <v>55</v>
      </c>
      <c r="V311" s="2"/>
      <c r="W311" s="2">
        <v>89</v>
      </c>
      <c r="X311" s="2" t="s">
        <v>334</v>
      </c>
      <c r="Y311" s="2">
        <v>62</v>
      </c>
      <c r="Z311" s="2"/>
      <c r="AA311" s="2">
        <v>68</v>
      </c>
      <c r="AB311" s="2"/>
      <c r="AC311" s="2">
        <v>71</v>
      </c>
      <c r="AD311" s="2"/>
      <c r="AE311" s="2">
        <v>70</v>
      </c>
      <c r="AF311" s="2"/>
      <c r="AG311" s="2">
        <v>69</v>
      </c>
      <c r="AH311" s="2"/>
    </row>
    <row r="312" spans="1:34">
      <c r="A312" t="s">
        <v>494</v>
      </c>
      <c r="B312" t="s">
        <v>495</v>
      </c>
      <c r="C312" s="2" t="s">
        <v>43</v>
      </c>
      <c r="D312" s="2"/>
      <c r="E312" s="2" t="s">
        <v>43</v>
      </c>
      <c r="F312" s="2"/>
      <c r="G312" s="2" t="s">
        <v>43</v>
      </c>
      <c r="H312" s="2"/>
      <c r="I312" s="2" t="s">
        <v>43</v>
      </c>
      <c r="J312" s="2"/>
      <c r="K312" s="2" t="s">
        <v>43</v>
      </c>
      <c r="L312" s="2"/>
      <c r="M312" s="2" t="s">
        <v>43</v>
      </c>
      <c r="N312" s="2"/>
      <c r="O312" s="2" t="s">
        <v>43</v>
      </c>
      <c r="P312" s="2"/>
      <c r="Q312" s="2" t="s">
        <v>43</v>
      </c>
      <c r="R312" s="2"/>
      <c r="S312" s="2">
        <v>15</v>
      </c>
      <c r="T312" s="2"/>
      <c r="U312" s="2">
        <v>12</v>
      </c>
      <c r="V312" s="2"/>
      <c r="W312" s="2">
        <v>17</v>
      </c>
      <c r="X312" s="2" t="s">
        <v>334</v>
      </c>
      <c r="Y312" s="2">
        <v>10</v>
      </c>
      <c r="Z312" s="2"/>
      <c r="AA312" s="2">
        <v>13</v>
      </c>
      <c r="AB312" s="2"/>
      <c r="AC312" s="2">
        <v>17</v>
      </c>
      <c r="AD312" s="2"/>
      <c r="AE312" s="2">
        <v>18</v>
      </c>
      <c r="AF312" s="2"/>
      <c r="AG312" s="2">
        <v>17</v>
      </c>
      <c r="AH312" s="2"/>
    </row>
    <row r="313" spans="1:34">
      <c r="A313" t="s">
        <v>496</v>
      </c>
      <c r="B313" t="s">
        <v>497</v>
      </c>
      <c r="C313" s="2" t="s">
        <v>43</v>
      </c>
      <c r="D313" s="2"/>
      <c r="E313" s="2" t="s">
        <v>43</v>
      </c>
      <c r="F313" s="2"/>
      <c r="G313" s="2" t="s">
        <v>43</v>
      </c>
      <c r="H313" s="2"/>
      <c r="I313" s="2" t="s">
        <v>43</v>
      </c>
      <c r="J313" s="2"/>
      <c r="K313" s="2" t="s">
        <v>43</v>
      </c>
      <c r="L313" s="2"/>
      <c r="M313" s="2" t="s">
        <v>43</v>
      </c>
      <c r="N313" s="2"/>
      <c r="O313" s="2" t="s">
        <v>43</v>
      </c>
      <c r="P313" s="2"/>
      <c r="Q313" s="2" t="s">
        <v>43</v>
      </c>
      <c r="R313" s="2"/>
      <c r="S313" s="2">
        <v>45</v>
      </c>
      <c r="T313" s="2"/>
      <c r="U313" s="2">
        <v>43</v>
      </c>
      <c r="V313" s="2"/>
      <c r="W313" s="2">
        <v>72</v>
      </c>
      <c r="X313" s="2" t="s">
        <v>334</v>
      </c>
      <c r="Y313" s="2">
        <v>52</v>
      </c>
      <c r="Z313" s="2"/>
      <c r="AA313" s="2">
        <v>55</v>
      </c>
      <c r="AB313" s="2"/>
      <c r="AC313" s="2">
        <v>54</v>
      </c>
      <c r="AD313" s="2"/>
      <c r="AE313" s="2">
        <v>52</v>
      </c>
      <c r="AF313" s="2"/>
      <c r="AG313" s="2">
        <v>52</v>
      </c>
      <c r="AH313" s="2"/>
    </row>
    <row r="314" spans="1:34">
      <c r="A314" t="s">
        <v>992</v>
      </c>
      <c r="B314" t="s">
        <v>993</v>
      </c>
      <c r="C314" s="2">
        <v>62</v>
      </c>
      <c r="D314" s="2"/>
      <c r="E314" s="2">
        <v>34</v>
      </c>
      <c r="F314" s="2"/>
      <c r="G314" s="2">
        <v>31</v>
      </c>
      <c r="H314" s="2"/>
      <c r="I314" s="2">
        <v>39</v>
      </c>
      <c r="J314" s="2"/>
      <c r="K314" s="2">
        <v>41</v>
      </c>
      <c r="L314" s="2"/>
      <c r="M314" s="2">
        <v>51</v>
      </c>
      <c r="N314" s="2"/>
      <c r="O314" s="2">
        <v>47</v>
      </c>
      <c r="P314" s="2"/>
      <c r="Q314" s="2">
        <v>53</v>
      </c>
      <c r="R314" s="2"/>
      <c r="S314" s="2" t="s">
        <v>43</v>
      </c>
      <c r="T314" s="2"/>
      <c r="U314" s="2" t="s">
        <v>43</v>
      </c>
      <c r="V314" s="2"/>
      <c r="W314" s="2" t="s">
        <v>43</v>
      </c>
      <c r="X314" s="2"/>
      <c r="Y314" s="2" t="s">
        <v>43</v>
      </c>
      <c r="Z314" s="2"/>
      <c r="AA314" s="2" t="s">
        <v>43</v>
      </c>
      <c r="AB314" s="2"/>
      <c r="AC314" s="2"/>
      <c r="AD314" s="2"/>
      <c r="AE314" s="2"/>
      <c r="AF314" s="2"/>
      <c r="AG314" s="2"/>
      <c r="AH314" s="2"/>
    </row>
    <row r="315" spans="1:34">
      <c r="A315" t="s">
        <v>498</v>
      </c>
      <c r="B315" t="s">
        <v>499</v>
      </c>
      <c r="C315" s="2" t="s">
        <v>43</v>
      </c>
      <c r="D315" s="2"/>
      <c r="E315" s="2">
        <v>12</v>
      </c>
      <c r="F315" s="2"/>
      <c r="G315" s="2">
        <v>12</v>
      </c>
      <c r="H315" s="2"/>
      <c r="I315" s="2">
        <v>12</v>
      </c>
      <c r="J315" s="2"/>
      <c r="K315" s="2">
        <v>14</v>
      </c>
      <c r="L315" s="2"/>
      <c r="M315" s="2">
        <v>13</v>
      </c>
      <c r="N315" s="2"/>
      <c r="O315" s="2">
        <v>14</v>
      </c>
      <c r="P315" s="2"/>
      <c r="Q315" s="2">
        <v>12</v>
      </c>
      <c r="R315" s="2"/>
      <c r="S315" s="2">
        <v>11</v>
      </c>
      <c r="T315" s="2"/>
      <c r="U315" s="2">
        <v>10</v>
      </c>
      <c r="V315" s="2"/>
      <c r="W315" s="2">
        <v>11</v>
      </c>
      <c r="X315" s="2"/>
      <c r="Y315" s="2">
        <v>9</v>
      </c>
      <c r="Z315" s="2"/>
      <c r="AA315" s="2">
        <v>7</v>
      </c>
      <c r="AB315" s="2"/>
      <c r="AC315" s="2">
        <v>8</v>
      </c>
      <c r="AD315" s="2"/>
      <c r="AE315" s="2">
        <v>7</v>
      </c>
      <c r="AF315" s="2"/>
      <c r="AG315" s="2">
        <v>7</v>
      </c>
      <c r="AH315" s="2"/>
    </row>
    <row r="316" spans="1:34">
      <c r="A316" t="s">
        <v>500</v>
      </c>
      <c r="B316" t="s">
        <v>499</v>
      </c>
      <c r="C316" s="2" t="s">
        <v>43</v>
      </c>
      <c r="D316" s="2"/>
      <c r="E316" s="2">
        <v>12</v>
      </c>
      <c r="F316" s="2"/>
      <c r="G316" s="2">
        <v>12</v>
      </c>
      <c r="H316" s="2"/>
      <c r="I316" s="2">
        <v>12</v>
      </c>
      <c r="J316" s="2"/>
      <c r="K316" s="2">
        <v>14</v>
      </c>
      <c r="L316" s="2"/>
      <c r="M316" s="2">
        <v>13</v>
      </c>
      <c r="N316" s="2"/>
      <c r="O316" s="2">
        <v>14</v>
      </c>
      <c r="P316" s="2"/>
      <c r="Q316" s="2">
        <v>12</v>
      </c>
      <c r="R316" s="2"/>
      <c r="S316" s="2">
        <v>11</v>
      </c>
      <c r="T316" s="2"/>
      <c r="U316" s="2">
        <v>10</v>
      </c>
      <c r="V316" s="2"/>
      <c r="W316" s="2">
        <v>11</v>
      </c>
      <c r="X316" s="2"/>
      <c r="Y316" s="2">
        <v>9</v>
      </c>
      <c r="Z316" s="2"/>
      <c r="AA316" s="2">
        <v>7</v>
      </c>
      <c r="AB316" s="2"/>
      <c r="AC316" s="2">
        <v>8</v>
      </c>
      <c r="AD316" s="2"/>
      <c r="AE316" s="2">
        <v>7</v>
      </c>
      <c r="AF316" s="2"/>
      <c r="AG316" s="2">
        <v>7</v>
      </c>
      <c r="AH316" s="2"/>
    </row>
    <row r="317" spans="1:34">
      <c r="A317" t="s">
        <v>501</v>
      </c>
      <c r="B317" t="s">
        <v>499</v>
      </c>
      <c r="C317" s="2" t="s">
        <v>43</v>
      </c>
      <c r="D317" s="2"/>
      <c r="E317" s="2">
        <v>12</v>
      </c>
      <c r="F317" s="2"/>
      <c r="G317" s="2">
        <v>12</v>
      </c>
      <c r="H317" s="2"/>
      <c r="I317" s="2">
        <v>12</v>
      </c>
      <c r="J317" s="2"/>
      <c r="K317" s="2">
        <v>14</v>
      </c>
      <c r="L317" s="2"/>
      <c r="M317" s="2">
        <v>13</v>
      </c>
      <c r="N317" s="2"/>
      <c r="O317" s="2">
        <v>14</v>
      </c>
      <c r="P317" s="2"/>
      <c r="Q317" s="2">
        <v>12</v>
      </c>
      <c r="R317" s="2"/>
      <c r="S317" s="2">
        <v>11</v>
      </c>
      <c r="T317" s="2"/>
      <c r="U317" s="2">
        <v>10</v>
      </c>
      <c r="V317" s="2"/>
      <c r="W317" s="2">
        <v>11</v>
      </c>
      <c r="X317" s="2"/>
      <c r="Y317" s="2">
        <v>9</v>
      </c>
      <c r="Z317" s="2"/>
      <c r="AA317" s="2">
        <v>7</v>
      </c>
      <c r="AB317" s="2"/>
      <c r="AC317" s="2">
        <v>8</v>
      </c>
      <c r="AD317" s="2"/>
      <c r="AE317" s="2">
        <v>7</v>
      </c>
      <c r="AF317" s="2"/>
      <c r="AG317" s="2">
        <v>7</v>
      </c>
      <c r="AH317" s="2"/>
    </row>
    <row r="318" spans="1:34">
      <c r="A318" t="s">
        <v>502</v>
      </c>
      <c r="B318" t="s">
        <v>503</v>
      </c>
      <c r="C318" s="2">
        <v>594</v>
      </c>
      <c r="D318" s="2"/>
      <c r="E318" s="2">
        <v>557</v>
      </c>
      <c r="F318" s="2"/>
      <c r="G318" s="2">
        <v>531</v>
      </c>
      <c r="H318" s="2"/>
      <c r="I318" s="2">
        <v>542</v>
      </c>
      <c r="J318" s="2"/>
      <c r="K318" s="2">
        <v>526</v>
      </c>
      <c r="L318" s="2"/>
      <c r="M318" s="2">
        <v>532</v>
      </c>
      <c r="N318" s="2"/>
      <c r="O318" s="2">
        <v>555</v>
      </c>
      <c r="P318" s="2"/>
      <c r="Q318" s="2">
        <v>569</v>
      </c>
      <c r="R318" s="2"/>
      <c r="S318" s="2">
        <v>557</v>
      </c>
      <c r="T318" s="2"/>
      <c r="U318" s="2">
        <v>566</v>
      </c>
      <c r="V318" s="2"/>
      <c r="W318" s="2">
        <v>590</v>
      </c>
      <c r="X318" s="2" t="s">
        <v>334</v>
      </c>
      <c r="Y318" s="2">
        <v>604</v>
      </c>
      <c r="Z318" s="2"/>
      <c r="AA318" s="2">
        <v>519</v>
      </c>
      <c r="AB318" s="2"/>
      <c r="AC318" s="2">
        <v>614</v>
      </c>
      <c r="AD318" s="2"/>
      <c r="AE318" s="2">
        <v>621</v>
      </c>
      <c r="AF318" s="2"/>
      <c r="AG318" s="2">
        <v>639</v>
      </c>
      <c r="AH318" s="2"/>
    </row>
    <row r="319" spans="1:34">
      <c r="A319" t="s">
        <v>504</v>
      </c>
      <c r="B319" t="s">
        <v>505</v>
      </c>
      <c r="C319" s="2">
        <v>190</v>
      </c>
      <c r="D319" s="2"/>
      <c r="E319" s="2">
        <v>164</v>
      </c>
      <c r="F319" s="2"/>
      <c r="G319" s="2">
        <v>158</v>
      </c>
      <c r="H319" s="2"/>
      <c r="I319" s="2">
        <v>164</v>
      </c>
      <c r="J319" s="2"/>
      <c r="K319" s="2">
        <v>160</v>
      </c>
      <c r="L319" s="2"/>
      <c r="M319" s="2">
        <v>160</v>
      </c>
      <c r="N319" s="2"/>
      <c r="O319" s="2">
        <v>168</v>
      </c>
      <c r="P319" s="2"/>
      <c r="Q319" s="2">
        <v>166</v>
      </c>
      <c r="R319" s="2"/>
      <c r="S319" s="2">
        <v>157</v>
      </c>
      <c r="T319" s="2"/>
      <c r="U319" s="2">
        <v>164</v>
      </c>
      <c r="V319" s="2"/>
      <c r="W319" s="2">
        <v>173</v>
      </c>
      <c r="X319" s="2" t="s">
        <v>334</v>
      </c>
      <c r="Y319" s="2">
        <v>171</v>
      </c>
      <c r="Z319" s="2"/>
      <c r="AA319" s="2">
        <v>161</v>
      </c>
      <c r="AB319" s="2"/>
      <c r="AC319" s="2">
        <v>182</v>
      </c>
      <c r="AD319" s="2"/>
      <c r="AE319" s="2">
        <v>181</v>
      </c>
      <c r="AF319" s="2"/>
      <c r="AG319" s="2">
        <v>179</v>
      </c>
      <c r="AH319" s="2"/>
    </row>
    <row r="320" spans="1:34">
      <c r="A320" t="s">
        <v>506</v>
      </c>
      <c r="B320" t="s">
        <v>507</v>
      </c>
      <c r="C320" s="2" t="s">
        <v>43</v>
      </c>
      <c r="D320" s="2"/>
      <c r="E320" s="2" t="s">
        <v>43</v>
      </c>
      <c r="F320" s="2"/>
      <c r="G320" s="2" t="s">
        <v>43</v>
      </c>
      <c r="H320" s="2"/>
      <c r="I320" s="2" t="s">
        <v>43</v>
      </c>
      <c r="J320" s="2"/>
      <c r="K320" s="2" t="s">
        <v>43</v>
      </c>
      <c r="L320" s="2"/>
      <c r="M320" s="2" t="s">
        <v>43</v>
      </c>
      <c r="N320" s="2"/>
      <c r="O320" s="2" t="s">
        <v>43</v>
      </c>
      <c r="P320" s="2"/>
      <c r="Q320" s="2" t="s">
        <v>43</v>
      </c>
      <c r="R320" s="2"/>
      <c r="S320" s="2">
        <v>74</v>
      </c>
      <c r="T320" s="2"/>
      <c r="U320" s="2">
        <v>76</v>
      </c>
      <c r="V320" s="2"/>
      <c r="W320" s="2">
        <v>75</v>
      </c>
      <c r="X320" s="2" t="s">
        <v>334</v>
      </c>
      <c r="Y320" s="2">
        <v>70</v>
      </c>
      <c r="Z320" s="2"/>
      <c r="AA320" s="2">
        <v>63</v>
      </c>
      <c r="AB320" s="2"/>
      <c r="AC320" s="2">
        <v>70</v>
      </c>
      <c r="AD320" s="2"/>
      <c r="AE320" s="2">
        <v>70</v>
      </c>
      <c r="AF320" s="2"/>
      <c r="AG320" s="2">
        <v>66</v>
      </c>
      <c r="AH320" s="2"/>
    </row>
    <row r="321" spans="1:34">
      <c r="A321" t="s">
        <v>508</v>
      </c>
      <c r="B321" t="s">
        <v>509</v>
      </c>
      <c r="C321" s="2" t="s">
        <v>43</v>
      </c>
      <c r="D321" s="2"/>
      <c r="E321" s="2" t="s">
        <v>43</v>
      </c>
      <c r="F321" s="2"/>
      <c r="G321" s="2" t="s">
        <v>43</v>
      </c>
      <c r="H321" s="2"/>
      <c r="I321" s="2" t="s">
        <v>43</v>
      </c>
      <c r="J321" s="2"/>
      <c r="K321" s="2" t="s">
        <v>43</v>
      </c>
      <c r="L321" s="2"/>
      <c r="M321" s="2" t="s">
        <v>43</v>
      </c>
      <c r="N321" s="2"/>
      <c r="O321" s="2" t="s">
        <v>43</v>
      </c>
      <c r="P321" s="2"/>
      <c r="Q321" s="2" t="s">
        <v>43</v>
      </c>
      <c r="R321" s="2"/>
      <c r="S321" s="2">
        <v>83</v>
      </c>
      <c r="T321" s="2"/>
      <c r="U321" s="2">
        <v>88</v>
      </c>
      <c r="V321" s="2"/>
      <c r="W321" s="2">
        <v>98</v>
      </c>
      <c r="X321" s="2" t="s">
        <v>334</v>
      </c>
      <c r="Y321" s="2">
        <v>101</v>
      </c>
      <c r="Z321" s="2"/>
      <c r="AA321" s="2">
        <v>98</v>
      </c>
      <c r="AB321" s="2"/>
      <c r="AC321" s="2">
        <v>112</v>
      </c>
      <c r="AD321" s="2"/>
      <c r="AE321" s="2">
        <v>111</v>
      </c>
      <c r="AF321" s="2"/>
      <c r="AG321" s="2">
        <v>113</v>
      </c>
      <c r="AH321" s="2"/>
    </row>
    <row r="322" spans="1:34">
      <c r="A322" t="s">
        <v>994</v>
      </c>
      <c r="B322" t="s">
        <v>995</v>
      </c>
      <c r="C322" s="2">
        <v>190</v>
      </c>
      <c r="D322" s="2"/>
      <c r="E322" s="2">
        <v>164</v>
      </c>
      <c r="F322" s="2"/>
      <c r="G322" s="2">
        <v>158</v>
      </c>
      <c r="H322" s="2"/>
      <c r="I322" s="2">
        <v>164</v>
      </c>
      <c r="J322" s="2"/>
      <c r="K322" s="2">
        <v>160</v>
      </c>
      <c r="L322" s="2"/>
      <c r="M322" s="2">
        <v>160</v>
      </c>
      <c r="N322" s="2"/>
      <c r="O322" s="2">
        <v>168</v>
      </c>
      <c r="P322" s="2"/>
      <c r="Q322" s="2">
        <v>166</v>
      </c>
      <c r="R322" s="2"/>
      <c r="S322" s="2" t="s">
        <v>43</v>
      </c>
      <c r="T322" s="2"/>
      <c r="U322" s="2" t="s">
        <v>43</v>
      </c>
      <c r="V322" s="2"/>
      <c r="W322" s="2" t="s">
        <v>43</v>
      </c>
      <c r="X322" s="2"/>
      <c r="Y322" s="2" t="s">
        <v>43</v>
      </c>
      <c r="Z322" s="2"/>
      <c r="AA322" s="2" t="s">
        <v>43</v>
      </c>
      <c r="AB322" s="2"/>
      <c r="AC322" s="2"/>
      <c r="AD322" s="2"/>
      <c r="AE322" s="2"/>
      <c r="AF322" s="2"/>
      <c r="AG322" s="2"/>
      <c r="AH322" s="2"/>
    </row>
    <row r="323" spans="1:34">
      <c r="A323" t="s">
        <v>510</v>
      </c>
      <c r="B323" t="s">
        <v>511</v>
      </c>
      <c r="C323" s="2">
        <v>247</v>
      </c>
      <c r="D323" s="2"/>
      <c r="E323" s="2">
        <v>240</v>
      </c>
      <c r="F323" s="2"/>
      <c r="G323" s="2">
        <v>228</v>
      </c>
      <c r="H323" s="2"/>
      <c r="I323" s="2">
        <v>223</v>
      </c>
      <c r="J323" s="2"/>
      <c r="K323" s="2">
        <v>222</v>
      </c>
      <c r="L323" s="2"/>
      <c r="M323" s="2">
        <v>235</v>
      </c>
      <c r="N323" s="2"/>
      <c r="O323" s="2">
        <v>237</v>
      </c>
      <c r="P323" s="2"/>
      <c r="Q323" s="2">
        <v>244</v>
      </c>
      <c r="R323" s="2"/>
      <c r="S323" s="2">
        <v>242</v>
      </c>
      <c r="T323" s="2"/>
      <c r="U323" s="2">
        <v>239</v>
      </c>
      <c r="V323" s="2"/>
      <c r="W323" s="2">
        <v>255</v>
      </c>
      <c r="X323" s="2" t="s">
        <v>334</v>
      </c>
      <c r="Y323" s="2">
        <v>264</v>
      </c>
      <c r="Z323" s="2"/>
      <c r="AA323" s="2">
        <v>211</v>
      </c>
      <c r="AB323" s="2"/>
      <c r="AC323" s="2">
        <v>264</v>
      </c>
      <c r="AD323" s="2"/>
      <c r="AE323" s="2">
        <v>272</v>
      </c>
      <c r="AF323" s="2"/>
      <c r="AG323" s="2">
        <v>292</v>
      </c>
      <c r="AH323" s="2"/>
    </row>
    <row r="324" spans="1:34">
      <c r="A324" t="s">
        <v>512</v>
      </c>
      <c r="B324" t="s">
        <v>513</v>
      </c>
      <c r="C324" s="2">
        <v>123</v>
      </c>
      <c r="D324" s="2"/>
      <c r="E324" s="2">
        <v>121</v>
      </c>
      <c r="F324" s="2"/>
      <c r="G324" s="2">
        <v>116</v>
      </c>
      <c r="H324" s="2"/>
      <c r="I324" s="2">
        <v>103</v>
      </c>
      <c r="J324" s="2"/>
      <c r="K324" s="2">
        <v>99</v>
      </c>
      <c r="L324" s="2"/>
      <c r="M324" s="2">
        <v>97</v>
      </c>
      <c r="N324" s="2"/>
      <c r="O324" s="2">
        <v>102</v>
      </c>
      <c r="P324" s="2"/>
      <c r="Q324" s="2">
        <v>109</v>
      </c>
      <c r="R324" s="2"/>
      <c r="S324" s="2">
        <v>110</v>
      </c>
      <c r="T324" s="2"/>
      <c r="U324" s="2">
        <v>111</v>
      </c>
      <c r="V324" s="2"/>
      <c r="W324" s="2">
        <v>118</v>
      </c>
      <c r="X324" s="2" t="s">
        <v>334</v>
      </c>
      <c r="Y324" s="2">
        <v>124</v>
      </c>
      <c r="Z324" s="2"/>
      <c r="AA324" s="2">
        <v>102</v>
      </c>
      <c r="AB324" s="2"/>
      <c r="AC324" s="2">
        <v>122</v>
      </c>
      <c r="AD324" s="2"/>
      <c r="AE324" s="2">
        <v>123</v>
      </c>
      <c r="AF324" s="2"/>
      <c r="AG324" s="2">
        <v>154</v>
      </c>
      <c r="AH324" s="2"/>
    </row>
    <row r="325" spans="1:34">
      <c r="A325" t="s">
        <v>514</v>
      </c>
      <c r="B325" t="s">
        <v>515</v>
      </c>
      <c r="C325" s="2">
        <v>78</v>
      </c>
      <c r="D325" s="2"/>
      <c r="E325" s="2">
        <v>80</v>
      </c>
      <c r="F325" s="2"/>
      <c r="G325" s="2">
        <v>73</v>
      </c>
      <c r="H325" s="2"/>
      <c r="I325" s="2">
        <v>74</v>
      </c>
      <c r="J325" s="2"/>
      <c r="K325" s="2">
        <v>78</v>
      </c>
      <c r="L325" s="2"/>
      <c r="M325" s="2">
        <v>91</v>
      </c>
      <c r="N325" s="2"/>
      <c r="O325" s="2">
        <v>90</v>
      </c>
      <c r="P325" s="2"/>
      <c r="Q325" s="2">
        <v>90</v>
      </c>
      <c r="R325" s="2"/>
      <c r="S325" s="2">
        <v>86</v>
      </c>
      <c r="T325" s="2"/>
      <c r="U325" s="2">
        <v>88</v>
      </c>
      <c r="V325" s="2"/>
      <c r="W325" s="2">
        <v>94</v>
      </c>
      <c r="X325" s="2" t="s">
        <v>334</v>
      </c>
      <c r="Y325" s="2">
        <v>92</v>
      </c>
      <c r="Z325" s="2"/>
      <c r="AA325" s="2">
        <v>69</v>
      </c>
      <c r="AB325" s="2"/>
      <c r="AC325" s="2">
        <v>92</v>
      </c>
      <c r="AD325" s="2"/>
      <c r="AE325" s="2">
        <v>100</v>
      </c>
      <c r="AF325" s="2"/>
      <c r="AG325" s="2">
        <v>89</v>
      </c>
      <c r="AH325" s="2"/>
    </row>
    <row r="326" spans="1:34">
      <c r="A326" t="s">
        <v>516</v>
      </c>
      <c r="B326" t="s">
        <v>517</v>
      </c>
      <c r="C326" s="2">
        <v>46</v>
      </c>
      <c r="D326" s="2"/>
      <c r="E326" s="2">
        <v>39</v>
      </c>
      <c r="F326" s="2"/>
      <c r="G326" s="2">
        <v>39</v>
      </c>
      <c r="H326" s="2"/>
      <c r="I326" s="2">
        <v>46</v>
      </c>
      <c r="J326" s="2"/>
      <c r="K326" s="2">
        <v>45</v>
      </c>
      <c r="L326" s="2"/>
      <c r="M326" s="2">
        <v>47</v>
      </c>
      <c r="N326" s="2"/>
      <c r="O326" s="2">
        <v>45</v>
      </c>
      <c r="P326" s="2"/>
      <c r="Q326" s="2">
        <v>45</v>
      </c>
      <c r="R326" s="2"/>
      <c r="S326" s="2">
        <v>46</v>
      </c>
      <c r="T326" s="2"/>
      <c r="U326" s="2">
        <v>40</v>
      </c>
      <c r="V326" s="2"/>
      <c r="W326" s="2">
        <v>43</v>
      </c>
      <c r="X326" s="2" t="s">
        <v>334</v>
      </c>
      <c r="Y326" s="2">
        <v>48</v>
      </c>
      <c r="Z326" s="2"/>
      <c r="AA326" s="2">
        <v>40</v>
      </c>
      <c r="AB326" s="2"/>
      <c r="AC326" s="2">
        <v>50</v>
      </c>
      <c r="AD326" s="2"/>
      <c r="AE326" s="2">
        <v>49</v>
      </c>
      <c r="AF326" s="2"/>
      <c r="AG326" s="2">
        <v>49</v>
      </c>
      <c r="AH326" s="2"/>
    </row>
    <row r="327" spans="1:34">
      <c r="A327" t="s">
        <v>518</v>
      </c>
      <c r="B327" t="s">
        <v>519</v>
      </c>
      <c r="C327" s="2">
        <v>157</v>
      </c>
      <c r="D327" s="2"/>
      <c r="E327" s="2">
        <v>153</v>
      </c>
      <c r="F327" s="2"/>
      <c r="G327" s="2">
        <v>145</v>
      </c>
      <c r="H327" s="2"/>
      <c r="I327" s="2">
        <v>155</v>
      </c>
      <c r="J327" s="2"/>
      <c r="K327" s="2">
        <v>144</v>
      </c>
      <c r="L327" s="2"/>
      <c r="M327" s="2">
        <v>137</v>
      </c>
      <c r="N327" s="2"/>
      <c r="O327" s="2">
        <v>150</v>
      </c>
      <c r="P327" s="2"/>
      <c r="Q327" s="2">
        <v>159</v>
      </c>
      <c r="R327" s="2"/>
      <c r="S327" s="2">
        <v>158</v>
      </c>
      <c r="T327" s="2"/>
      <c r="U327" s="2">
        <v>163</v>
      </c>
      <c r="V327" s="2"/>
      <c r="W327" s="2">
        <v>162</v>
      </c>
      <c r="X327" s="2" t="s">
        <v>334</v>
      </c>
      <c r="Y327" s="2">
        <v>169</v>
      </c>
      <c r="Z327" s="2"/>
      <c r="AA327" s="2">
        <v>147</v>
      </c>
      <c r="AB327" s="2"/>
      <c r="AC327" s="2">
        <v>168</v>
      </c>
      <c r="AD327" s="2"/>
      <c r="AE327" s="2">
        <v>168</v>
      </c>
      <c r="AF327" s="2"/>
      <c r="AG327" s="2">
        <v>168</v>
      </c>
      <c r="AH327" s="2"/>
    </row>
    <row r="328" spans="1:34">
      <c r="A328" t="s">
        <v>520</v>
      </c>
      <c r="B328" t="s">
        <v>521</v>
      </c>
      <c r="C328" s="2">
        <v>44</v>
      </c>
      <c r="D328" s="2"/>
      <c r="E328" s="2">
        <v>38</v>
      </c>
      <c r="F328" s="2"/>
      <c r="G328" s="2">
        <v>40</v>
      </c>
      <c r="H328" s="2"/>
      <c r="I328" s="2">
        <v>47</v>
      </c>
      <c r="J328" s="2"/>
      <c r="K328" s="2">
        <v>44</v>
      </c>
      <c r="L328" s="2"/>
      <c r="M328" s="2">
        <v>43</v>
      </c>
      <c r="N328" s="2"/>
      <c r="O328" s="2">
        <v>48</v>
      </c>
      <c r="P328" s="2"/>
      <c r="Q328" s="2">
        <v>49</v>
      </c>
      <c r="R328" s="2"/>
      <c r="S328" s="2">
        <v>45</v>
      </c>
      <c r="T328" s="2"/>
      <c r="U328" s="2">
        <v>44</v>
      </c>
      <c r="V328" s="2"/>
      <c r="W328" s="2">
        <v>46</v>
      </c>
      <c r="X328" s="2" t="s">
        <v>334</v>
      </c>
      <c r="Y328" s="2">
        <v>44</v>
      </c>
      <c r="Z328" s="2"/>
      <c r="AA328" s="2">
        <v>34</v>
      </c>
      <c r="AB328" s="2"/>
      <c r="AC328" s="2">
        <v>45</v>
      </c>
      <c r="AD328" s="2"/>
      <c r="AE328" s="2">
        <v>43</v>
      </c>
      <c r="AF328" s="2"/>
      <c r="AG328" s="2">
        <v>45</v>
      </c>
      <c r="AH328" s="2"/>
    </row>
    <row r="329" spans="1:34">
      <c r="A329" t="s">
        <v>522</v>
      </c>
      <c r="B329" t="s">
        <v>523</v>
      </c>
      <c r="C329" s="2">
        <v>47</v>
      </c>
      <c r="D329" s="2"/>
      <c r="E329" s="2">
        <v>50</v>
      </c>
      <c r="F329" s="2"/>
      <c r="G329" s="2">
        <v>46</v>
      </c>
      <c r="H329" s="2"/>
      <c r="I329" s="2">
        <v>48</v>
      </c>
      <c r="J329" s="2"/>
      <c r="K329" s="2">
        <v>40</v>
      </c>
      <c r="L329" s="2"/>
      <c r="M329" s="2">
        <v>37</v>
      </c>
      <c r="N329" s="2"/>
      <c r="O329" s="2">
        <v>41</v>
      </c>
      <c r="P329" s="2"/>
      <c r="Q329" s="2">
        <v>46</v>
      </c>
      <c r="R329" s="2"/>
      <c r="S329" s="2">
        <v>45</v>
      </c>
      <c r="T329" s="2"/>
      <c r="U329" s="2">
        <v>44</v>
      </c>
      <c r="V329" s="2"/>
      <c r="W329" s="2">
        <v>45</v>
      </c>
      <c r="X329" s="2" t="s">
        <v>334</v>
      </c>
      <c r="Y329" s="2">
        <v>45</v>
      </c>
      <c r="Z329" s="2"/>
      <c r="AA329" s="2">
        <v>39</v>
      </c>
      <c r="AB329" s="2"/>
      <c r="AC329" s="2">
        <v>46</v>
      </c>
      <c r="AD329" s="2"/>
      <c r="AE329" s="2">
        <v>49</v>
      </c>
      <c r="AF329" s="2"/>
      <c r="AG329" s="2">
        <v>51</v>
      </c>
      <c r="AH329" s="2"/>
    </row>
    <row r="330" spans="1:34">
      <c r="A330" t="s">
        <v>524</v>
      </c>
      <c r="B330" t="s">
        <v>525</v>
      </c>
      <c r="C330" s="2">
        <v>66</v>
      </c>
      <c r="D330" s="2"/>
      <c r="E330" s="2">
        <v>65</v>
      </c>
      <c r="F330" s="2"/>
      <c r="G330" s="2">
        <v>59</v>
      </c>
      <c r="H330" s="2"/>
      <c r="I330" s="2">
        <v>60</v>
      </c>
      <c r="J330" s="2"/>
      <c r="K330" s="2">
        <v>60</v>
      </c>
      <c r="L330" s="2"/>
      <c r="M330" s="2">
        <v>57</v>
      </c>
      <c r="N330" s="2"/>
      <c r="O330" s="2">
        <v>61</v>
      </c>
      <c r="P330" s="2"/>
      <c r="Q330" s="2">
        <v>64</v>
      </c>
      <c r="R330" s="2"/>
      <c r="S330" s="2">
        <v>68</v>
      </c>
      <c r="T330" s="2"/>
      <c r="U330" s="2">
        <v>75</v>
      </c>
      <c r="V330" s="2"/>
      <c r="W330" s="2">
        <v>71</v>
      </c>
      <c r="X330" s="2" t="s">
        <v>334</v>
      </c>
      <c r="Y330" s="2">
        <v>80</v>
      </c>
      <c r="Z330" s="2"/>
      <c r="AA330" s="2">
        <v>74</v>
      </c>
      <c r="AB330" s="2"/>
      <c r="AC330" s="2">
        <v>77</v>
      </c>
      <c r="AD330" s="2"/>
      <c r="AE330" s="2">
        <v>76</v>
      </c>
      <c r="AF330" s="2"/>
      <c r="AG330" s="2">
        <v>72</v>
      </c>
      <c r="AH330" s="2"/>
    </row>
    <row r="331" spans="1:34">
      <c r="A331" t="s">
        <v>526</v>
      </c>
      <c r="B331" t="s">
        <v>527</v>
      </c>
      <c r="C331" s="2">
        <v>19</v>
      </c>
      <c r="D331" s="2"/>
      <c r="E331" s="2" t="s">
        <v>43</v>
      </c>
      <c r="F331" s="2" t="s">
        <v>44</v>
      </c>
      <c r="G331" s="2" t="s">
        <v>43</v>
      </c>
      <c r="H331" s="2" t="s">
        <v>44</v>
      </c>
      <c r="I331" s="2" t="s">
        <v>43</v>
      </c>
      <c r="J331" s="2" t="s">
        <v>44</v>
      </c>
      <c r="K331" s="2" t="s">
        <v>43</v>
      </c>
      <c r="L331" s="2" t="s">
        <v>44</v>
      </c>
      <c r="M331" s="2" t="s">
        <v>43</v>
      </c>
      <c r="N331" s="2" t="s">
        <v>44</v>
      </c>
      <c r="O331" s="2" t="s">
        <v>43</v>
      </c>
      <c r="P331" s="2" t="s">
        <v>44</v>
      </c>
      <c r="Q331" s="2" t="s">
        <v>43</v>
      </c>
      <c r="R331" s="2" t="s">
        <v>44</v>
      </c>
      <c r="S331" s="2" t="s">
        <v>43</v>
      </c>
      <c r="T331" s="2" t="s">
        <v>44</v>
      </c>
      <c r="U331" s="2">
        <v>11</v>
      </c>
      <c r="V331" s="2"/>
      <c r="W331" s="2">
        <v>8</v>
      </c>
      <c r="X331" s="2"/>
      <c r="Y331" s="2">
        <v>7</v>
      </c>
      <c r="Z331" s="2"/>
      <c r="AA331" s="2">
        <v>9</v>
      </c>
      <c r="AB331" s="2"/>
      <c r="AC331" s="2">
        <v>10</v>
      </c>
      <c r="AD331" s="2"/>
      <c r="AE331" s="2">
        <v>10</v>
      </c>
      <c r="AF331" s="2"/>
      <c r="AG331" s="2">
        <v>10</v>
      </c>
      <c r="AH331" s="2"/>
    </row>
    <row r="332" spans="1:34">
      <c r="A332" t="s">
        <v>528</v>
      </c>
      <c r="B332" t="s">
        <v>527</v>
      </c>
      <c r="C332" s="2">
        <v>19</v>
      </c>
      <c r="D332" s="2"/>
      <c r="E332" s="2" t="s">
        <v>43</v>
      </c>
      <c r="F332" s="2" t="s">
        <v>44</v>
      </c>
      <c r="G332" s="2" t="s">
        <v>43</v>
      </c>
      <c r="H332" s="2" t="s">
        <v>44</v>
      </c>
      <c r="I332" s="2" t="s">
        <v>43</v>
      </c>
      <c r="J332" s="2" t="s">
        <v>44</v>
      </c>
      <c r="K332" s="2" t="s">
        <v>43</v>
      </c>
      <c r="L332" s="2" t="s">
        <v>44</v>
      </c>
      <c r="M332" s="2" t="s">
        <v>43</v>
      </c>
      <c r="N332" s="2" t="s">
        <v>44</v>
      </c>
      <c r="O332" s="2" t="s">
        <v>43</v>
      </c>
      <c r="P332" s="2" t="s">
        <v>44</v>
      </c>
      <c r="Q332" s="2" t="s">
        <v>43</v>
      </c>
      <c r="R332" s="2" t="s">
        <v>44</v>
      </c>
      <c r="S332" s="2" t="s">
        <v>43</v>
      </c>
      <c r="T332" s="2" t="s">
        <v>44</v>
      </c>
      <c r="U332" s="2">
        <v>11</v>
      </c>
      <c r="V332" s="2"/>
      <c r="W332" s="2">
        <v>8</v>
      </c>
      <c r="X332" s="2"/>
      <c r="Y332" s="2">
        <v>7</v>
      </c>
      <c r="Z332" s="2"/>
      <c r="AA332" s="2">
        <v>9</v>
      </c>
      <c r="AB332" s="2"/>
      <c r="AC332" s="2">
        <v>10</v>
      </c>
      <c r="AD332" s="2"/>
      <c r="AE332" s="2">
        <v>10</v>
      </c>
      <c r="AF332" s="2"/>
      <c r="AG332" s="2">
        <v>10</v>
      </c>
      <c r="AH332" s="2"/>
    </row>
    <row r="333" spans="1:34">
      <c r="A333" t="s">
        <v>529</v>
      </c>
      <c r="B333" t="s">
        <v>527</v>
      </c>
      <c r="C333" s="2">
        <v>19</v>
      </c>
      <c r="D333" s="2"/>
      <c r="E333" s="2" t="s">
        <v>43</v>
      </c>
      <c r="F333" s="2" t="s">
        <v>44</v>
      </c>
      <c r="G333" s="2" t="s">
        <v>43</v>
      </c>
      <c r="H333" s="2" t="s">
        <v>44</v>
      </c>
      <c r="I333" s="2" t="s">
        <v>43</v>
      </c>
      <c r="J333" s="2" t="s">
        <v>44</v>
      </c>
      <c r="K333" s="2" t="s">
        <v>43</v>
      </c>
      <c r="L333" s="2" t="s">
        <v>44</v>
      </c>
      <c r="M333" s="2" t="s">
        <v>43</v>
      </c>
      <c r="N333" s="2" t="s">
        <v>44</v>
      </c>
      <c r="O333" s="2" t="s">
        <v>43</v>
      </c>
      <c r="P333" s="2" t="s">
        <v>44</v>
      </c>
      <c r="Q333" s="2" t="s">
        <v>43</v>
      </c>
      <c r="R333" s="2" t="s">
        <v>44</v>
      </c>
      <c r="S333" s="2" t="s">
        <v>43</v>
      </c>
      <c r="T333" s="2" t="s">
        <v>44</v>
      </c>
      <c r="U333" s="2">
        <v>11</v>
      </c>
      <c r="V333" s="2"/>
      <c r="W333" s="2">
        <v>8</v>
      </c>
      <c r="X333" s="2"/>
      <c r="Y333" s="2">
        <v>7</v>
      </c>
      <c r="Z333" s="2"/>
      <c r="AA333" s="2">
        <v>9</v>
      </c>
      <c r="AB333" s="2"/>
      <c r="AC333" s="2">
        <v>10</v>
      </c>
      <c r="AD333" s="2"/>
      <c r="AE333" s="2">
        <v>10</v>
      </c>
      <c r="AF333" s="2"/>
      <c r="AG333" s="2">
        <v>10</v>
      </c>
      <c r="AH333" s="2"/>
    </row>
    <row r="334" spans="1:34">
      <c r="A334" t="s">
        <v>530</v>
      </c>
      <c r="B334" t="s">
        <v>531</v>
      </c>
      <c r="C334" s="2">
        <v>815</v>
      </c>
      <c r="D334" s="2"/>
      <c r="E334" s="2">
        <v>847</v>
      </c>
      <c r="F334" s="2"/>
      <c r="G334" s="2">
        <v>887</v>
      </c>
      <c r="H334" s="2"/>
      <c r="I334" s="2">
        <v>844</v>
      </c>
      <c r="J334" s="2"/>
      <c r="K334" s="2">
        <v>822</v>
      </c>
      <c r="L334" s="2"/>
      <c r="M334" s="2">
        <v>924</v>
      </c>
      <c r="N334" s="2"/>
      <c r="O334" s="2">
        <v>884</v>
      </c>
      <c r="P334" s="2"/>
      <c r="Q334" s="2">
        <v>862</v>
      </c>
      <c r="R334" s="2"/>
      <c r="S334" s="2">
        <v>866</v>
      </c>
      <c r="T334" s="2"/>
      <c r="U334" s="2">
        <v>855</v>
      </c>
      <c r="V334" s="2"/>
      <c r="W334" s="2">
        <v>878</v>
      </c>
      <c r="X334" s="2"/>
      <c r="Y334" s="2">
        <v>900</v>
      </c>
      <c r="Z334" s="2"/>
      <c r="AA334" s="2">
        <v>912</v>
      </c>
      <c r="AB334" s="2"/>
      <c r="AC334" s="2">
        <v>950</v>
      </c>
      <c r="AD334" s="2"/>
      <c r="AE334" s="2">
        <v>1003</v>
      </c>
      <c r="AF334" s="2"/>
      <c r="AG334" s="2">
        <v>997</v>
      </c>
      <c r="AH334" s="2"/>
    </row>
    <row r="335" spans="1:34">
      <c r="A335" t="s">
        <v>532</v>
      </c>
      <c r="B335" t="s">
        <v>533</v>
      </c>
      <c r="C335" s="2">
        <v>85</v>
      </c>
      <c r="D335" s="2"/>
      <c r="E335" s="2">
        <v>95</v>
      </c>
      <c r="F335" s="2"/>
      <c r="G335" s="2">
        <v>88</v>
      </c>
      <c r="H335" s="2"/>
      <c r="I335" s="2">
        <v>85</v>
      </c>
      <c r="J335" s="2"/>
      <c r="K335" s="2">
        <v>84</v>
      </c>
      <c r="L335" s="2"/>
      <c r="M335" s="2">
        <v>94</v>
      </c>
      <c r="N335" s="2"/>
      <c r="O335" s="2">
        <v>89</v>
      </c>
      <c r="P335" s="2"/>
      <c r="Q335" s="2">
        <v>90</v>
      </c>
      <c r="R335" s="2"/>
      <c r="S335" s="2">
        <v>83</v>
      </c>
      <c r="T335" s="2"/>
      <c r="U335" s="2">
        <v>79</v>
      </c>
      <c r="V335" s="2"/>
      <c r="W335" s="2">
        <v>87</v>
      </c>
      <c r="X335" s="2"/>
      <c r="Y335" s="2">
        <v>90</v>
      </c>
      <c r="Z335" s="2"/>
      <c r="AA335" s="2">
        <v>92</v>
      </c>
      <c r="AB335" s="2"/>
      <c r="AC335" s="2">
        <v>95</v>
      </c>
      <c r="AD335" s="2"/>
      <c r="AE335" s="2">
        <v>105</v>
      </c>
      <c r="AF335" s="2"/>
      <c r="AG335" s="2">
        <v>102</v>
      </c>
      <c r="AH335" s="2"/>
    </row>
    <row r="336" spans="1:34">
      <c r="A336" t="s">
        <v>534</v>
      </c>
      <c r="B336" t="s">
        <v>535</v>
      </c>
      <c r="C336" s="2">
        <v>23</v>
      </c>
      <c r="D336" s="2"/>
      <c r="E336" s="2">
        <v>25</v>
      </c>
      <c r="F336" s="2"/>
      <c r="G336" s="2">
        <v>25</v>
      </c>
      <c r="H336" s="2"/>
      <c r="I336" s="2">
        <v>24</v>
      </c>
      <c r="J336" s="2"/>
      <c r="K336" s="2">
        <v>19</v>
      </c>
      <c r="L336" s="2"/>
      <c r="M336" s="2">
        <v>22</v>
      </c>
      <c r="N336" s="2"/>
      <c r="O336" s="2">
        <v>25</v>
      </c>
      <c r="P336" s="2"/>
      <c r="Q336" s="2">
        <v>22</v>
      </c>
      <c r="R336" s="2"/>
      <c r="S336" s="2">
        <v>20</v>
      </c>
      <c r="T336" s="2"/>
      <c r="U336" s="2">
        <v>20</v>
      </c>
      <c r="V336" s="2"/>
      <c r="W336" s="2">
        <v>23</v>
      </c>
      <c r="X336" s="2"/>
      <c r="Y336" s="2">
        <v>22</v>
      </c>
      <c r="Z336" s="2"/>
      <c r="AA336" s="2">
        <v>23</v>
      </c>
      <c r="AB336" s="2"/>
      <c r="AC336" s="2">
        <v>25</v>
      </c>
      <c r="AD336" s="2"/>
      <c r="AE336" s="2">
        <v>30</v>
      </c>
      <c r="AF336" s="2"/>
      <c r="AG336" s="2">
        <v>27</v>
      </c>
      <c r="AH336" s="2"/>
    </row>
    <row r="337" spans="1:34">
      <c r="A337" t="s">
        <v>536</v>
      </c>
      <c r="B337" t="s">
        <v>537</v>
      </c>
      <c r="C337" s="2">
        <v>33</v>
      </c>
      <c r="D337" s="2"/>
      <c r="E337" s="2">
        <v>37</v>
      </c>
      <c r="F337" s="2"/>
      <c r="G337" s="2">
        <v>38</v>
      </c>
      <c r="H337" s="2"/>
      <c r="I337" s="2">
        <v>37</v>
      </c>
      <c r="J337" s="2"/>
      <c r="K337" s="2">
        <v>36</v>
      </c>
      <c r="L337" s="2"/>
      <c r="M337" s="2">
        <v>40</v>
      </c>
      <c r="N337" s="2"/>
      <c r="O337" s="2">
        <v>37</v>
      </c>
      <c r="P337" s="2"/>
      <c r="Q337" s="2">
        <v>36</v>
      </c>
      <c r="R337" s="2"/>
      <c r="S337" s="2">
        <v>35</v>
      </c>
      <c r="T337" s="2"/>
      <c r="U337" s="2">
        <v>32</v>
      </c>
      <c r="V337" s="2"/>
      <c r="W337" s="2">
        <v>38</v>
      </c>
      <c r="X337" s="2"/>
      <c r="Y337" s="2">
        <v>38</v>
      </c>
      <c r="Z337" s="2"/>
      <c r="AA337" s="2">
        <v>38</v>
      </c>
      <c r="AB337" s="2"/>
      <c r="AC337" s="2">
        <v>42</v>
      </c>
      <c r="AD337" s="2"/>
      <c r="AE337" s="2">
        <v>43</v>
      </c>
      <c r="AF337" s="2"/>
      <c r="AG337" s="2">
        <v>40</v>
      </c>
      <c r="AH337" s="2"/>
    </row>
    <row r="338" spans="1:34">
      <c r="A338" t="s">
        <v>538</v>
      </c>
      <c r="B338" t="s">
        <v>539</v>
      </c>
      <c r="C338" s="2">
        <v>29</v>
      </c>
      <c r="D338" s="2"/>
      <c r="E338" s="2">
        <v>33</v>
      </c>
      <c r="F338" s="2"/>
      <c r="G338" s="2">
        <v>25</v>
      </c>
      <c r="H338" s="2"/>
      <c r="I338" s="2">
        <v>24</v>
      </c>
      <c r="J338" s="2"/>
      <c r="K338" s="2">
        <v>29</v>
      </c>
      <c r="L338" s="2"/>
      <c r="M338" s="2">
        <v>32</v>
      </c>
      <c r="N338" s="2"/>
      <c r="O338" s="2">
        <v>27</v>
      </c>
      <c r="P338" s="2"/>
      <c r="Q338" s="2">
        <v>32</v>
      </c>
      <c r="R338" s="2"/>
      <c r="S338" s="2">
        <v>28</v>
      </c>
      <c r="T338" s="2"/>
      <c r="U338" s="2">
        <v>27</v>
      </c>
      <c r="V338" s="2"/>
      <c r="W338" s="2">
        <v>26</v>
      </c>
      <c r="X338" s="2"/>
      <c r="Y338" s="2">
        <v>30</v>
      </c>
      <c r="Z338" s="2"/>
      <c r="AA338" s="2">
        <v>31</v>
      </c>
      <c r="AB338" s="2"/>
      <c r="AC338" s="2">
        <v>28</v>
      </c>
      <c r="AD338" s="2"/>
      <c r="AE338" s="2">
        <v>32</v>
      </c>
      <c r="AF338" s="2"/>
      <c r="AG338" s="2">
        <v>35</v>
      </c>
      <c r="AH338" s="2"/>
    </row>
    <row r="339" spans="1:34">
      <c r="A339" t="s">
        <v>540</v>
      </c>
      <c r="B339" t="s">
        <v>541</v>
      </c>
      <c r="C339" s="2">
        <v>241</v>
      </c>
      <c r="D339" s="2"/>
      <c r="E339" s="2">
        <v>254</v>
      </c>
      <c r="F339" s="2"/>
      <c r="G339" s="2">
        <v>271</v>
      </c>
      <c r="H339" s="2"/>
      <c r="I339" s="2">
        <v>227</v>
      </c>
      <c r="J339" s="2"/>
      <c r="K339" s="2">
        <v>225</v>
      </c>
      <c r="L339" s="2"/>
      <c r="M339" s="2">
        <v>254</v>
      </c>
      <c r="N339" s="2"/>
      <c r="O339" s="2">
        <v>252</v>
      </c>
      <c r="P339" s="2"/>
      <c r="Q339" s="2">
        <v>255</v>
      </c>
      <c r="R339" s="2"/>
      <c r="S339" s="2">
        <v>267</v>
      </c>
      <c r="T339" s="2"/>
      <c r="U339" s="2">
        <v>264</v>
      </c>
      <c r="V339" s="2"/>
      <c r="W339" s="2">
        <v>259</v>
      </c>
      <c r="X339" s="2"/>
      <c r="Y339" s="2">
        <v>259</v>
      </c>
      <c r="Z339" s="2"/>
      <c r="AA339" s="2">
        <v>254</v>
      </c>
      <c r="AB339" s="2"/>
      <c r="AC339" s="2">
        <v>269</v>
      </c>
      <c r="AD339" s="2"/>
      <c r="AE339" s="2">
        <v>288</v>
      </c>
      <c r="AF339" s="2"/>
      <c r="AG339" s="2">
        <v>283</v>
      </c>
      <c r="AH339" s="2"/>
    </row>
    <row r="340" spans="1:34">
      <c r="A340" t="s">
        <v>542</v>
      </c>
      <c r="B340" t="s">
        <v>543</v>
      </c>
      <c r="C340" s="2">
        <v>68</v>
      </c>
      <c r="D340" s="2"/>
      <c r="E340" s="2">
        <v>66</v>
      </c>
      <c r="F340" s="2"/>
      <c r="G340" s="2">
        <v>72</v>
      </c>
      <c r="H340" s="2"/>
      <c r="I340" s="2">
        <v>65</v>
      </c>
      <c r="J340" s="2"/>
      <c r="K340" s="2">
        <v>61</v>
      </c>
      <c r="L340" s="2"/>
      <c r="M340" s="2">
        <v>76</v>
      </c>
      <c r="N340" s="2"/>
      <c r="O340" s="2">
        <v>77</v>
      </c>
      <c r="P340" s="2"/>
      <c r="Q340" s="2">
        <v>72</v>
      </c>
      <c r="R340" s="2"/>
      <c r="S340" s="2">
        <v>75</v>
      </c>
      <c r="T340" s="2"/>
      <c r="U340" s="2">
        <v>73</v>
      </c>
      <c r="V340" s="2"/>
      <c r="W340" s="2">
        <v>81</v>
      </c>
      <c r="X340" s="2"/>
      <c r="Y340" s="2">
        <v>80</v>
      </c>
      <c r="Z340" s="2"/>
      <c r="AA340" s="2">
        <v>79</v>
      </c>
      <c r="AB340" s="2"/>
      <c r="AC340" s="2">
        <v>82</v>
      </c>
      <c r="AD340" s="2"/>
      <c r="AE340" s="2">
        <v>88</v>
      </c>
      <c r="AF340" s="2"/>
      <c r="AG340" s="2">
        <v>89</v>
      </c>
      <c r="AH340" s="2"/>
    </row>
    <row r="341" spans="1:34">
      <c r="A341" t="s">
        <v>544</v>
      </c>
      <c r="B341" t="s">
        <v>545</v>
      </c>
      <c r="C341" s="2">
        <v>158</v>
      </c>
      <c r="D341" s="2"/>
      <c r="E341" s="2">
        <v>172</v>
      </c>
      <c r="F341" s="2"/>
      <c r="G341" s="2">
        <v>182</v>
      </c>
      <c r="H341" s="2"/>
      <c r="I341" s="2">
        <v>144</v>
      </c>
      <c r="J341" s="2"/>
      <c r="K341" s="2">
        <v>144</v>
      </c>
      <c r="L341" s="2"/>
      <c r="M341" s="2">
        <v>159</v>
      </c>
      <c r="N341" s="2"/>
      <c r="O341" s="2">
        <v>156</v>
      </c>
      <c r="P341" s="2"/>
      <c r="Q341" s="2">
        <v>166</v>
      </c>
      <c r="R341" s="2"/>
      <c r="S341" s="2">
        <v>176</v>
      </c>
      <c r="T341" s="2"/>
      <c r="U341" s="2">
        <v>175</v>
      </c>
      <c r="V341" s="2"/>
      <c r="W341" s="2">
        <v>162</v>
      </c>
      <c r="X341" s="2"/>
      <c r="Y341" s="2">
        <v>164</v>
      </c>
      <c r="Z341" s="2"/>
      <c r="AA341" s="2">
        <v>157</v>
      </c>
      <c r="AB341" s="2"/>
      <c r="AC341" s="2">
        <v>166</v>
      </c>
      <c r="AD341" s="2"/>
      <c r="AE341" s="2">
        <v>181</v>
      </c>
      <c r="AF341" s="2"/>
      <c r="AG341" s="2">
        <v>178</v>
      </c>
      <c r="AH341" s="2"/>
    </row>
    <row r="342" spans="1:34">
      <c r="A342" t="s">
        <v>546</v>
      </c>
      <c r="B342" t="s">
        <v>547</v>
      </c>
      <c r="C342" s="2">
        <v>15</v>
      </c>
      <c r="D342" s="2"/>
      <c r="E342" s="2">
        <v>16</v>
      </c>
      <c r="F342" s="2"/>
      <c r="G342" s="2">
        <v>17</v>
      </c>
      <c r="H342" s="2"/>
      <c r="I342" s="2">
        <v>18</v>
      </c>
      <c r="J342" s="2"/>
      <c r="K342" s="2">
        <v>20</v>
      </c>
      <c r="L342" s="2"/>
      <c r="M342" s="2">
        <v>19</v>
      </c>
      <c r="N342" s="2"/>
      <c r="O342" s="2">
        <v>19</v>
      </c>
      <c r="P342" s="2"/>
      <c r="Q342" s="2">
        <v>17</v>
      </c>
      <c r="R342" s="2"/>
      <c r="S342" s="2">
        <v>16</v>
      </c>
      <c r="T342" s="2"/>
      <c r="U342" s="2">
        <v>16</v>
      </c>
      <c r="V342" s="2"/>
      <c r="W342" s="2">
        <v>16</v>
      </c>
      <c r="X342" s="2"/>
      <c r="Y342" s="2">
        <v>15</v>
      </c>
      <c r="Z342" s="2"/>
      <c r="AA342" s="2">
        <v>18</v>
      </c>
      <c r="AB342" s="2"/>
      <c r="AC342" s="2">
        <v>21</v>
      </c>
      <c r="AD342" s="2"/>
      <c r="AE342" s="2">
        <v>19</v>
      </c>
      <c r="AF342" s="2"/>
      <c r="AG342" s="2">
        <v>16</v>
      </c>
      <c r="AH342" s="2"/>
    </row>
    <row r="343" spans="1:34">
      <c r="A343" t="s">
        <v>548</v>
      </c>
      <c r="B343" t="s">
        <v>549</v>
      </c>
      <c r="C343" s="2">
        <v>262</v>
      </c>
      <c r="D343" s="2"/>
      <c r="E343" s="2">
        <v>261</v>
      </c>
      <c r="F343" s="2"/>
      <c r="G343" s="2">
        <v>280</v>
      </c>
      <c r="H343" s="2"/>
      <c r="I343" s="2">
        <v>278</v>
      </c>
      <c r="J343" s="2"/>
      <c r="K343" s="2">
        <v>273</v>
      </c>
      <c r="L343" s="2"/>
      <c r="M343" s="2">
        <v>317</v>
      </c>
      <c r="N343" s="2"/>
      <c r="O343" s="2">
        <v>292</v>
      </c>
      <c r="P343" s="2"/>
      <c r="Q343" s="2">
        <v>279</v>
      </c>
      <c r="R343" s="2"/>
      <c r="S343" s="2">
        <v>278</v>
      </c>
      <c r="T343" s="2"/>
      <c r="U343" s="2">
        <v>287</v>
      </c>
      <c r="V343" s="2"/>
      <c r="W343" s="2">
        <v>293</v>
      </c>
      <c r="X343" s="2"/>
      <c r="Y343" s="2">
        <v>303</v>
      </c>
      <c r="Z343" s="2"/>
      <c r="AA343" s="2">
        <v>312</v>
      </c>
      <c r="AB343" s="2"/>
      <c r="AC343" s="2">
        <v>304</v>
      </c>
      <c r="AD343" s="2"/>
      <c r="AE343" s="2">
        <v>320</v>
      </c>
      <c r="AF343" s="2"/>
      <c r="AG343" s="2">
        <v>331</v>
      </c>
      <c r="AH343" s="2"/>
    </row>
    <row r="344" spans="1:34">
      <c r="A344" t="s">
        <v>550</v>
      </c>
      <c r="B344" t="s">
        <v>551</v>
      </c>
      <c r="C344" s="2">
        <v>50</v>
      </c>
      <c r="D344" s="2"/>
      <c r="E344" s="2">
        <v>48</v>
      </c>
      <c r="F344" s="2"/>
      <c r="G344" s="2">
        <v>61</v>
      </c>
      <c r="H344" s="2"/>
      <c r="I344" s="2">
        <v>58</v>
      </c>
      <c r="J344" s="2"/>
      <c r="K344" s="2">
        <v>55</v>
      </c>
      <c r="L344" s="2"/>
      <c r="M344" s="2">
        <v>65</v>
      </c>
      <c r="N344" s="2"/>
      <c r="O344" s="2">
        <v>56</v>
      </c>
      <c r="P344" s="2"/>
      <c r="Q344" s="2">
        <v>54</v>
      </c>
      <c r="R344" s="2"/>
      <c r="S344" s="2">
        <v>50</v>
      </c>
      <c r="T344" s="2"/>
      <c r="U344" s="2">
        <v>53</v>
      </c>
      <c r="V344" s="2"/>
      <c r="W344" s="2">
        <v>49</v>
      </c>
      <c r="X344" s="2"/>
      <c r="Y344" s="2">
        <v>59</v>
      </c>
      <c r="Z344" s="2"/>
      <c r="AA344" s="2">
        <v>58</v>
      </c>
      <c r="AB344" s="2"/>
      <c r="AC344" s="2">
        <v>71</v>
      </c>
      <c r="AD344" s="2"/>
      <c r="AE344" s="2" t="s">
        <v>43</v>
      </c>
      <c r="AF344" s="2"/>
      <c r="AG344" s="2" t="s">
        <v>43</v>
      </c>
      <c r="AH344" s="2"/>
    </row>
    <row r="345" spans="1:34">
      <c r="A345" t="s">
        <v>552</v>
      </c>
      <c r="B345" t="s">
        <v>553</v>
      </c>
      <c r="C345" s="2">
        <v>70</v>
      </c>
      <c r="D345" s="2"/>
      <c r="E345" s="2">
        <v>72</v>
      </c>
      <c r="F345" s="2"/>
      <c r="G345" s="2">
        <v>74</v>
      </c>
      <c r="H345" s="2"/>
      <c r="I345" s="2">
        <v>77</v>
      </c>
      <c r="J345" s="2"/>
      <c r="K345" s="2">
        <v>80</v>
      </c>
      <c r="L345" s="2"/>
      <c r="M345" s="2">
        <v>91</v>
      </c>
      <c r="N345" s="2"/>
      <c r="O345" s="2">
        <v>89</v>
      </c>
      <c r="P345" s="2"/>
      <c r="Q345" s="2">
        <v>82</v>
      </c>
      <c r="R345" s="2"/>
      <c r="S345" s="2">
        <v>84</v>
      </c>
      <c r="T345" s="2"/>
      <c r="U345" s="2">
        <v>84</v>
      </c>
      <c r="V345" s="2"/>
      <c r="W345" s="2">
        <v>87</v>
      </c>
      <c r="X345" s="2"/>
      <c r="Y345" s="2">
        <v>105</v>
      </c>
      <c r="Z345" s="2"/>
      <c r="AA345" s="2">
        <v>109</v>
      </c>
      <c r="AB345" s="2"/>
      <c r="AC345" s="2">
        <v>91</v>
      </c>
      <c r="AD345" s="2"/>
      <c r="AE345" s="2">
        <v>93</v>
      </c>
      <c r="AF345" s="2"/>
      <c r="AG345" s="2">
        <v>98</v>
      </c>
      <c r="AH345" s="2"/>
    </row>
    <row r="346" spans="1:34">
      <c r="A346" t="s">
        <v>554</v>
      </c>
      <c r="B346" t="s">
        <v>555</v>
      </c>
      <c r="C346" s="2">
        <v>127</v>
      </c>
      <c r="D346" s="2"/>
      <c r="E346" s="2">
        <v>125</v>
      </c>
      <c r="F346" s="2"/>
      <c r="G346" s="2">
        <v>128</v>
      </c>
      <c r="H346" s="2"/>
      <c r="I346" s="2">
        <v>126</v>
      </c>
      <c r="J346" s="2"/>
      <c r="K346" s="2">
        <v>123</v>
      </c>
      <c r="L346" s="2"/>
      <c r="M346" s="2">
        <v>142</v>
      </c>
      <c r="N346" s="2"/>
      <c r="O346" s="2">
        <v>130</v>
      </c>
      <c r="P346" s="2"/>
      <c r="Q346" s="2">
        <v>124</v>
      </c>
      <c r="R346" s="2"/>
      <c r="S346" s="2">
        <v>126</v>
      </c>
      <c r="T346" s="2"/>
      <c r="U346" s="2">
        <v>131</v>
      </c>
      <c r="V346" s="2"/>
      <c r="W346" s="2">
        <v>136</v>
      </c>
      <c r="X346" s="2"/>
      <c r="Y346" s="2">
        <v>119</v>
      </c>
      <c r="Z346" s="2"/>
      <c r="AA346" s="2">
        <v>124</v>
      </c>
      <c r="AB346" s="2"/>
      <c r="AC346" s="2">
        <v>117</v>
      </c>
      <c r="AD346" s="2"/>
      <c r="AE346" s="2" t="s">
        <v>43</v>
      </c>
      <c r="AF346" s="2"/>
      <c r="AG346" s="2" t="s">
        <v>43</v>
      </c>
      <c r="AH346" s="2"/>
    </row>
    <row r="347" spans="1:34">
      <c r="A347" t="s">
        <v>556</v>
      </c>
      <c r="B347" t="s">
        <v>557</v>
      </c>
      <c r="C347" s="2">
        <v>15</v>
      </c>
      <c r="D347" s="2"/>
      <c r="E347" s="2">
        <v>16</v>
      </c>
      <c r="F347" s="2"/>
      <c r="G347" s="2">
        <v>17</v>
      </c>
      <c r="H347" s="2"/>
      <c r="I347" s="2">
        <v>17</v>
      </c>
      <c r="J347" s="2"/>
      <c r="K347" s="2">
        <v>15</v>
      </c>
      <c r="L347" s="2"/>
      <c r="M347" s="2">
        <v>19</v>
      </c>
      <c r="N347" s="2"/>
      <c r="O347" s="2">
        <v>17</v>
      </c>
      <c r="P347" s="2"/>
      <c r="Q347" s="2">
        <v>19</v>
      </c>
      <c r="R347" s="2"/>
      <c r="S347" s="2">
        <v>18</v>
      </c>
      <c r="T347" s="2"/>
      <c r="U347" s="2">
        <v>19</v>
      </c>
      <c r="V347" s="2"/>
      <c r="W347" s="2">
        <v>21</v>
      </c>
      <c r="X347" s="2"/>
      <c r="Y347" s="2">
        <v>20</v>
      </c>
      <c r="Z347" s="2"/>
      <c r="AA347" s="2">
        <v>21</v>
      </c>
      <c r="AB347" s="2"/>
      <c r="AC347" s="2">
        <v>25</v>
      </c>
      <c r="AD347" s="2"/>
      <c r="AE347" s="2">
        <v>25</v>
      </c>
      <c r="AF347" s="2"/>
      <c r="AG347" s="2">
        <v>25</v>
      </c>
      <c r="AH347" s="2"/>
    </row>
    <row r="348" spans="1:34">
      <c r="A348" t="s">
        <v>562</v>
      </c>
      <c r="B348" t="s">
        <v>563</v>
      </c>
      <c r="C348" s="2">
        <v>227</v>
      </c>
      <c r="D348" s="2"/>
      <c r="E348" s="2">
        <v>237</v>
      </c>
      <c r="F348" s="2"/>
      <c r="G348" s="2">
        <v>248</v>
      </c>
      <c r="H348" s="2"/>
      <c r="I348" s="2">
        <v>254</v>
      </c>
      <c r="J348" s="2"/>
      <c r="K348" s="2">
        <v>240</v>
      </c>
      <c r="L348" s="2"/>
      <c r="M348" s="2">
        <v>259</v>
      </c>
      <c r="N348" s="2"/>
      <c r="O348" s="2">
        <v>251</v>
      </c>
      <c r="P348" s="2"/>
      <c r="Q348" s="2">
        <v>238</v>
      </c>
      <c r="R348" s="2"/>
      <c r="S348" s="2">
        <v>238</v>
      </c>
      <c r="T348" s="2"/>
      <c r="U348" s="2">
        <v>225</v>
      </c>
      <c r="V348" s="2"/>
      <c r="W348" s="2">
        <v>239</v>
      </c>
      <c r="X348" s="2"/>
      <c r="Y348" s="2">
        <v>248</v>
      </c>
      <c r="Z348" s="2"/>
      <c r="AA348" s="2">
        <v>254</v>
      </c>
      <c r="AB348" s="2"/>
      <c r="AC348" s="2">
        <v>261</v>
      </c>
      <c r="AD348" s="2"/>
      <c r="AE348" s="2">
        <v>272</v>
      </c>
      <c r="AF348" s="2"/>
      <c r="AG348" s="2">
        <v>268</v>
      </c>
      <c r="AH348" s="2"/>
    </row>
    <row r="349" spans="1:34">
      <c r="A349" t="s">
        <v>564</v>
      </c>
      <c r="B349" t="s">
        <v>565</v>
      </c>
      <c r="C349" s="2">
        <v>181</v>
      </c>
      <c r="D349" s="2"/>
      <c r="E349" s="2">
        <v>188</v>
      </c>
      <c r="F349" s="2"/>
      <c r="G349" s="2">
        <v>196</v>
      </c>
      <c r="H349" s="2"/>
      <c r="I349" s="2">
        <v>197</v>
      </c>
      <c r="J349" s="2"/>
      <c r="K349" s="2">
        <v>188</v>
      </c>
      <c r="L349" s="2"/>
      <c r="M349" s="2">
        <v>207</v>
      </c>
      <c r="N349" s="2"/>
      <c r="O349" s="2">
        <v>198</v>
      </c>
      <c r="P349" s="2"/>
      <c r="Q349" s="2">
        <v>188</v>
      </c>
      <c r="R349" s="2"/>
      <c r="S349" s="2">
        <v>186</v>
      </c>
      <c r="T349" s="2"/>
      <c r="U349" s="2">
        <v>177</v>
      </c>
      <c r="V349" s="2"/>
      <c r="W349" s="2">
        <v>194</v>
      </c>
      <c r="X349" s="2"/>
      <c r="Y349" s="2">
        <v>203</v>
      </c>
      <c r="Z349" s="2"/>
      <c r="AA349" s="2">
        <v>208</v>
      </c>
      <c r="AB349" s="2"/>
      <c r="AC349" s="2">
        <v>213</v>
      </c>
      <c r="AD349" s="2"/>
      <c r="AE349" s="2">
        <v>222</v>
      </c>
      <c r="AF349" s="2"/>
      <c r="AG349" s="2">
        <v>210</v>
      </c>
      <c r="AH349" s="2"/>
    </row>
    <row r="350" spans="1:34">
      <c r="A350" t="s">
        <v>566</v>
      </c>
      <c r="B350" t="s">
        <v>567</v>
      </c>
      <c r="C350" s="2">
        <v>46</v>
      </c>
      <c r="D350" s="2"/>
      <c r="E350" s="2">
        <v>49</v>
      </c>
      <c r="F350" s="2"/>
      <c r="G350" s="2">
        <v>52</v>
      </c>
      <c r="H350" s="2"/>
      <c r="I350" s="2">
        <v>57</v>
      </c>
      <c r="J350" s="2"/>
      <c r="K350" s="2">
        <v>52</v>
      </c>
      <c r="L350" s="2"/>
      <c r="M350" s="2">
        <v>52</v>
      </c>
      <c r="N350" s="2"/>
      <c r="O350" s="2">
        <v>53</v>
      </c>
      <c r="P350" s="2"/>
      <c r="Q350" s="2">
        <v>50</v>
      </c>
      <c r="R350" s="2"/>
      <c r="S350" s="2">
        <v>52</v>
      </c>
      <c r="T350" s="2"/>
      <c r="U350" s="2">
        <v>48</v>
      </c>
      <c r="V350" s="2"/>
      <c r="W350" s="2">
        <v>45</v>
      </c>
      <c r="X350" s="2"/>
      <c r="Y350" s="2">
        <v>45</v>
      </c>
      <c r="Z350" s="2"/>
      <c r="AA350" s="2">
        <v>46</v>
      </c>
      <c r="AB350" s="2"/>
      <c r="AC350" s="2">
        <v>48</v>
      </c>
      <c r="AD350" s="2"/>
      <c r="AE350" s="2">
        <v>50</v>
      </c>
      <c r="AF350" s="2"/>
      <c r="AG350" s="2">
        <v>58</v>
      </c>
      <c r="AH350" s="2"/>
    </row>
    <row r="351" spans="1:34">
      <c r="A351" t="s">
        <v>570</v>
      </c>
      <c r="B351" t="s">
        <v>571</v>
      </c>
      <c r="C351" s="2">
        <v>353</v>
      </c>
      <c r="D351" s="2"/>
      <c r="E351" s="2">
        <v>339</v>
      </c>
      <c r="F351" s="2"/>
      <c r="G351" s="2">
        <v>357</v>
      </c>
      <c r="H351" s="2"/>
      <c r="I351" s="2">
        <v>371</v>
      </c>
      <c r="J351" s="2"/>
      <c r="K351" s="2">
        <v>353</v>
      </c>
      <c r="L351" s="2"/>
      <c r="M351" s="2">
        <v>362</v>
      </c>
      <c r="N351" s="2"/>
      <c r="O351" s="2">
        <v>373</v>
      </c>
      <c r="P351" s="2"/>
      <c r="Q351" s="2">
        <v>285</v>
      </c>
      <c r="R351" s="2"/>
      <c r="S351" s="2">
        <v>277</v>
      </c>
      <c r="T351" s="2"/>
      <c r="U351" s="2">
        <v>271</v>
      </c>
      <c r="V351" s="2"/>
      <c r="W351" s="2">
        <v>278</v>
      </c>
      <c r="X351" s="2" t="s">
        <v>334</v>
      </c>
      <c r="Y351" s="2">
        <v>284</v>
      </c>
      <c r="Z351" s="2"/>
      <c r="AA351" s="2">
        <v>287</v>
      </c>
      <c r="AB351" s="2"/>
      <c r="AC351" s="2">
        <v>315</v>
      </c>
      <c r="AD351" s="2" t="s">
        <v>334</v>
      </c>
      <c r="AE351" s="2">
        <v>323</v>
      </c>
      <c r="AF351" s="2"/>
      <c r="AG351" s="2">
        <v>322</v>
      </c>
      <c r="AH351" s="2"/>
    </row>
    <row r="352" spans="1:34">
      <c r="A352" t="s">
        <v>572</v>
      </c>
      <c r="B352" t="s">
        <v>573</v>
      </c>
      <c r="C352" s="2">
        <v>95</v>
      </c>
      <c r="D352" s="2"/>
      <c r="E352" s="2">
        <v>91</v>
      </c>
      <c r="F352" s="2"/>
      <c r="G352" s="2">
        <v>97</v>
      </c>
      <c r="H352" s="2"/>
      <c r="I352" s="2">
        <v>101</v>
      </c>
      <c r="J352" s="2"/>
      <c r="K352" s="2">
        <v>97</v>
      </c>
      <c r="L352" s="2"/>
      <c r="M352" s="2">
        <v>98</v>
      </c>
      <c r="N352" s="2"/>
      <c r="O352" s="2">
        <v>103</v>
      </c>
      <c r="P352" s="2"/>
      <c r="Q352" s="2">
        <v>74</v>
      </c>
      <c r="R352" s="2"/>
      <c r="S352" s="2">
        <v>66</v>
      </c>
      <c r="T352" s="2"/>
      <c r="U352" s="2">
        <v>72</v>
      </c>
      <c r="V352" s="2"/>
      <c r="W352" s="2">
        <v>75</v>
      </c>
      <c r="X352" s="2" t="s">
        <v>334</v>
      </c>
      <c r="Y352" s="2">
        <v>85</v>
      </c>
      <c r="Z352" s="2"/>
      <c r="AA352" s="2">
        <v>86</v>
      </c>
      <c r="AB352" s="2"/>
      <c r="AC352" s="2">
        <v>88</v>
      </c>
      <c r="AD352" s="2" t="s">
        <v>334</v>
      </c>
      <c r="AE352" s="2">
        <v>86</v>
      </c>
      <c r="AF352" s="2"/>
      <c r="AG352" s="2">
        <v>84</v>
      </c>
      <c r="AH352" s="2"/>
    </row>
    <row r="353" spans="1:34">
      <c r="A353" t="s">
        <v>574</v>
      </c>
      <c r="B353" t="s">
        <v>575</v>
      </c>
      <c r="C353" s="2">
        <v>8</v>
      </c>
      <c r="D353" s="2"/>
      <c r="E353" s="2">
        <v>9</v>
      </c>
      <c r="F353" s="2"/>
      <c r="G353" s="2">
        <v>9</v>
      </c>
      <c r="H353" s="2"/>
      <c r="I353" s="2">
        <v>9</v>
      </c>
      <c r="J353" s="2"/>
      <c r="K353" s="2">
        <v>6</v>
      </c>
      <c r="L353" s="2"/>
      <c r="M353" s="2">
        <v>6</v>
      </c>
      <c r="N353" s="2"/>
      <c r="O353" s="2">
        <v>8</v>
      </c>
      <c r="P353" s="2"/>
      <c r="Q353" s="2">
        <v>8</v>
      </c>
      <c r="R353" s="2"/>
      <c r="S353" s="2">
        <v>8</v>
      </c>
      <c r="T353" s="2"/>
      <c r="U353" s="2">
        <v>9</v>
      </c>
      <c r="V353" s="2"/>
      <c r="W353" s="2">
        <v>9</v>
      </c>
      <c r="X353" s="2" t="s">
        <v>334</v>
      </c>
      <c r="Y353" s="2">
        <v>11</v>
      </c>
      <c r="Z353" s="2"/>
      <c r="AA353" s="2">
        <v>9</v>
      </c>
      <c r="AB353" s="2"/>
      <c r="AC353" s="2">
        <v>12</v>
      </c>
      <c r="AD353" s="2" t="s">
        <v>334</v>
      </c>
      <c r="AE353" s="2">
        <v>8</v>
      </c>
      <c r="AF353" s="2"/>
      <c r="AG353" s="2">
        <v>8</v>
      </c>
      <c r="AH353" s="2"/>
    </row>
    <row r="354" spans="1:34">
      <c r="A354" t="s">
        <v>576</v>
      </c>
      <c r="B354" t="s">
        <v>577</v>
      </c>
      <c r="C354" s="2">
        <v>54</v>
      </c>
      <c r="D354" s="2"/>
      <c r="E354" s="2">
        <v>52</v>
      </c>
      <c r="F354" s="2"/>
      <c r="G354" s="2">
        <v>55</v>
      </c>
      <c r="H354" s="2"/>
      <c r="I354" s="2">
        <v>58</v>
      </c>
      <c r="J354" s="2"/>
      <c r="K354" s="2">
        <v>57</v>
      </c>
      <c r="L354" s="2"/>
      <c r="M354" s="2">
        <v>58</v>
      </c>
      <c r="N354" s="2"/>
      <c r="O354" s="2">
        <v>62</v>
      </c>
      <c r="P354" s="2"/>
      <c r="Q354" s="2">
        <v>48</v>
      </c>
      <c r="R354" s="2"/>
      <c r="S354" s="2">
        <v>42</v>
      </c>
      <c r="T354" s="2"/>
      <c r="U354" s="2">
        <v>48</v>
      </c>
      <c r="V354" s="2"/>
      <c r="W354" s="2">
        <v>49</v>
      </c>
      <c r="X354" s="2" t="s">
        <v>334</v>
      </c>
      <c r="Y354" s="2">
        <v>56</v>
      </c>
      <c r="Z354" s="2"/>
      <c r="AA354" s="2">
        <v>56</v>
      </c>
      <c r="AB354" s="2"/>
      <c r="AC354" s="2">
        <v>56</v>
      </c>
      <c r="AD354" s="2" t="s">
        <v>334</v>
      </c>
      <c r="AE354" s="2">
        <v>59</v>
      </c>
      <c r="AF354" s="2"/>
      <c r="AG354" s="2">
        <v>59</v>
      </c>
      <c r="AH354" s="2"/>
    </row>
    <row r="355" spans="1:34">
      <c r="A355" t="s">
        <v>578</v>
      </c>
      <c r="B355" t="s">
        <v>579</v>
      </c>
      <c r="C355" s="2">
        <v>33</v>
      </c>
      <c r="D355" s="2"/>
      <c r="E355" s="2">
        <v>30</v>
      </c>
      <c r="F355" s="2"/>
      <c r="G355" s="2">
        <v>33</v>
      </c>
      <c r="H355" s="2"/>
      <c r="I355" s="2">
        <v>34</v>
      </c>
      <c r="J355" s="2"/>
      <c r="K355" s="2">
        <v>34</v>
      </c>
      <c r="L355" s="2"/>
      <c r="M355" s="2">
        <v>34</v>
      </c>
      <c r="N355" s="2"/>
      <c r="O355" s="2">
        <v>33</v>
      </c>
      <c r="P355" s="2"/>
      <c r="Q355" s="2">
        <v>18</v>
      </c>
      <c r="R355" s="2"/>
      <c r="S355" s="2">
        <v>16</v>
      </c>
      <c r="T355" s="2"/>
      <c r="U355" s="2">
        <v>15</v>
      </c>
      <c r="V355" s="2"/>
      <c r="W355" s="2">
        <v>17</v>
      </c>
      <c r="X355" s="2" t="s">
        <v>334</v>
      </c>
      <c r="Y355" s="2">
        <v>18</v>
      </c>
      <c r="Z355" s="2"/>
      <c r="AA355" s="2">
        <v>21</v>
      </c>
      <c r="AB355" s="2"/>
      <c r="AC355" s="2">
        <v>20</v>
      </c>
      <c r="AD355" s="2" t="s">
        <v>334</v>
      </c>
      <c r="AE355" s="2">
        <v>19</v>
      </c>
      <c r="AF355" s="2"/>
      <c r="AG355" s="2">
        <v>17</v>
      </c>
      <c r="AH355" s="2"/>
    </row>
    <row r="356" spans="1:34">
      <c r="A356" t="s">
        <v>580</v>
      </c>
      <c r="B356" t="s">
        <v>581</v>
      </c>
      <c r="C356" s="2">
        <v>83</v>
      </c>
      <c r="D356" s="2"/>
      <c r="E356" s="2">
        <v>78</v>
      </c>
      <c r="F356" s="2"/>
      <c r="G356" s="2">
        <v>87</v>
      </c>
      <c r="H356" s="2"/>
      <c r="I356" s="2">
        <v>82</v>
      </c>
      <c r="J356" s="2"/>
      <c r="K356" s="2">
        <v>82</v>
      </c>
      <c r="L356" s="2"/>
      <c r="M356" s="2">
        <v>88</v>
      </c>
      <c r="N356" s="2"/>
      <c r="O356" s="2">
        <v>87</v>
      </c>
      <c r="P356" s="2"/>
      <c r="Q356" s="2">
        <v>75</v>
      </c>
      <c r="R356" s="2"/>
      <c r="S356" s="2">
        <v>69</v>
      </c>
      <c r="T356" s="2"/>
      <c r="U356" s="2">
        <v>63</v>
      </c>
      <c r="V356" s="2"/>
      <c r="W356" s="2">
        <v>61</v>
      </c>
      <c r="X356" s="2" t="s">
        <v>334</v>
      </c>
      <c r="Y356" s="2">
        <v>57</v>
      </c>
      <c r="Z356" s="2"/>
      <c r="AA356" s="2">
        <v>55</v>
      </c>
      <c r="AB356" s="2"/>
      <c r="AC356" s="2">
        <v>66</v>
      </c>
      <c r="AD356" s="2" t="s">
        <v>334</v>
      </c>
      <c r="AE356" s="2">
        <v>69</v>
      </c>
      <c r="AF356" s="2"/>
      <c r="AG356" s="2">
        <v>73</v>
      </c>
      <c r="AH356" s="2"/>
    </row>
    <row r="357" spans="1:34">
      <c r="A357" t="s">
        <v>582</v>
      </c>
      <c r="B357" t="s">
        <v>583</v>
      </c>
      <c r="C357" s="2">
        <v>15</v>
      </c>
      <c r="D357" s="2"/>
      <c r="E357" s="2">
        <v>15</v>
      </c>
      <c r="F357" s="2"/>
      <c r="G357" s="2">
        <v>18</v>
      </c>
      <c r="H357" s="2"/>
      <c r="I357" s="2">
        <v>17</v>
      </c>
      <c r="J357" s="2"/>
      <c r="K357" s="2">
        <v>19</v>
      </c>
      <c r="L357" s="2"/>
      <c r="M357" s="2">
        <v>23</v>
      </c>
      <c r="N357" s="2"/>
      <c r="O357" s="2">
        <v>20</v>
      </c>
      <c r="P357" s="2"/>
      <c r="Q357" s="2">
        <v>15</v>
      </c>
      <c r="R357" s="2"/>
      <c r="S357" s="2">
        <v>13</v>
      </c>
      <c r="T357" s="2"/>
      <c r="U357" s="2">
        <v>11</v>
      </c>
      <c r="V357" s="2"/>
      <c r="W357" s="2">
        <v>9</v>
      </c>
      <c r="X357" s="2" t="s">
        <v>334</v>
      </c>
      <c r="Y357" s="2">
        <v>9</v>
      </c>
      <c r="Z357" s="2"/>
      <c r="AA357" s="2">
        <v>9</v>
      </c>
      <c r="AB357" s="2"/>
      <c r="AC357" s="2">
        <v>13</v>
      </c>
      <c r="AD357" s="2" t="s">
        <v>334</v>
      </c>
      <c r="AE357" s="2">
        <v>13</v>
      </c>
      <c r="AF357" s="2"/>
      <c r="AG357" s="2">
        <v>15</v>
      </c>
      <c r="AH357" s="2"/>
    </row>
    <row r="358" spans="1:34">
      <c r="A358" t="s">
        <v>584</v>
      </c>
      <c r="B358" t="s">
        <v>585</v>
      </c>
      <c r="C358" s="2">
        <v>68</v>
      </c>
      <c r="D358" s="2"/>
      <c r="E358" s="2">
        <v>63</v>
      </c>
      <c r="F358" s="2"/>
      <c r="G358" s="2">
        <v>69</v>
      </c>
      <c r="H358" s="2"/>
      <c r="I358" s="2">
        <v>65</v>
      </c>
      <c r="J358" s="2"/>
      <c r="K358" s="2">
        <v>63</v>
      </c>
      <c r="L358" s="2"/>
      <c r="M358" s="2">
        <v>65</v>
      </c>
      <c r="N358" s="2"/>
      <c r="O358" s="2">
        <v>67</v>
      </c>
      <c r="P358" s="2"/>
      <c r="Q358" s="2">
        <v>60</v>
      </c>
      <c r="R358" s="2"/>
      <c r="S358" s="2">
        <v>56</v>
      </c>
      <c r="T358" s="2"/>
      <c r="U358" s="2">
        <v>52</v>
      </c>
      <c r="V358" s="2"/>
      <c r="W358" s="2">
        <v>52</v>
      </c>
      <c r="X358" s="2" t="s">
        <v>334</v>
      </c>
      <c r="Y358" s="2">
        <v>48</v>
      </c>
      <c r="Z358" s="2"/>
      <c r="AA358" s="2">
        <v>46</v>
      </c>
      <c r="AB358" s="2"/>
      <c r="AC358" s="2">
        <v>53</v>
      </c>
      <c r="AD358" s="2" t="s">
        <v>334</v>
      </c>
      <c r="AE358" s="2">
        <v>56</v>
      </c>
      <c r="AF358" s="2"/>
      <c r="AG358" s="2">
        <v>58</v>
      </c>
      <c r="AH358" s="2"/>
    </row>
    <row r="359" spans="1:34">
      <c r="A359" t="s">
        <v>586</v>
      </c>
      <c r="B359" t="s">
        <v>587</v>
      </c>
      <c r="C359" s="2">
        <v>175</v>
      </c>
      <c r="D359" s="2"/>
      <c r="E359" s="2">
        <v>170</v>
      </c>
      <c r="F359" s="2"/>
      <c r="G359" s="2">
        <v>173</v>
      </c>
      <c r="H359" s="2"/>
      <c r="I359" s="2">
        <v>188</v>
      </c>
      <c r="J359" s="2"/>
      <c r="K359" s="2">
        <v>174</v>
      </c>
      <c r="L359" s="2"/>
      <c r="M359" s="2">
        <v>176</v>
      </c>
      <c r="N359" s="2"/>
      <c r="O359" s="2">
        <v>183</v>
      </c>
      <c r="P359" s="2"/>
      <c r="Q359" s="2">
        <v>136</v>
      </c>
      <c r="R359" s="2"/>
      <c r="S359" s="2">
        <v>142</v>
      </c>
      <c r="T359" s="2"/>
      <c r="U359" s="2">
        <v>136</v>
      </c>
      <c r="V359" s="2"/>
      <c r="W359" s="2">
        <v>142</v>
      </c>
      <c r="X359" s="2" t="s">
        <v>334</v>
      </c>
      <c r="Y359" s="2">
        <v>142</v>
      </c>
      <c r="Z359" s="2"/>
      <c r="AA359" s="2">
        <v>146</v>
      </c>
      <c r="AB359" s="2"/>
      <c r="AC359" s="2">
        <v>161</v>
      </c>
      <c r="AD359" s="2" t="s">
        <v>334</v>
      </c>
      <c r="AE359" s="2">
        <v>168</v>
      </c>
      <c r="AF359" s="2"/>
      <c r="AG359" s="2">
        <v>165</v>
      </c>
      <c r="AH359" s="2"/>
    </row>
    <row r="360" spans="1:34">
      <c r="A360" t="s">
        <v>588</v>
      </c>
      <c r="B360" t="s">
        <v>589</v>
      </c>
      <c r="C360" s="2">
        <v>83</v>
      </c>
      <c r="D360" s="2"/>
      <c r="E360" s="2">
        <v>82</v>
      </c>
      <c r="F360" s="2"/>
      <c r="G360" s="2">
        <v>83</v>
      </c>
      <c r="H360" s="2"/>
      <c r="I360" s="2">
        <v>90</v>
      </c>
      <c r="J360" s="2"/>
      <c r="K360" s="2">
        <v>80</v>
      </c>
      <c r="L360" s="2"/>
      <c r="M360" s="2">
        <v>81</v>
      </c>
      <c r="N360" s="2"/>
      <c r="O360" s="2">
        <v>82</v>
      </c>
      <c r="P360" s="2"/>
      <c r="Q360" s="2">
        <v>62</v>
      </c>
      <c r="R360" s="2"/>
      <c r="S360" s="2">
        <v>64</v>
      </c>
      <c r="T360" s="2"/>
      <c r="U360" s="2">
        <v>63</v>
      </c>
      <c r="V360" s="2"/>
      <c r="W360" s="2">
        <v>65</v>
      </c>
      <c r="X360" s="2" t="s">
        <v>334</v>
      </c>
      <c r="Y360" s="2">
        <v>65</v>
      </c>
      <c r="Z360" s="2"/>
      <c r="AA360" s="2">
        <v>65</v>
      </c>
      <c r="AB360" s="2"/>
      <c r="AC360" s="2">
        <v>72</v>
      </c>
      <c r="AD360" s="2" t="s">
        <v>334</v>
      </c>
      <c r="AE360" s="2">
        <v>78</v>
      </c>
      <c r="AF360" s="2"/>
      <c r="AG360" s="2">
        <v>77</v>
      </c>
      <c r="AH360" s="2"/>
    </row>
    <row r="361" spans="1:34">
      <c r="A361" t="s">
        <v>590</v>
      </c>
      <c r="B361" t="s">
        <v>591</v>
      </c>
      <c r="C361" s="2">
        <v>36</v>
      </c>
      <c r="D361" s="2"/>
      <c r="E361" s="2">
        <v>32</v>
      </c>
      <c r="F361" s="2"/>
      <c r="G361" s="2">
        <v>34</v>
      </c>
      <c r="H361" s="2"/>
      <c r="I361" s="2">
        <v>38</v>
      </c>
      <c r="J361" s="2"/>
      <c r="K361" s="2">
        <v>35</v>
      </c>
      <c r="L361" s="2"/>
      <c r="M361" s="2">
        <v>38</v>
      </c>
      <c r="N361" s="2"/>
      <c r="O361" s="2">
        <v>39</v>
      </c>
      <c r="P361" s="2"/>
      <c r="Q361" s="2">
        <v>31</v>
      </c>
      <c r="R361" s="2"/>
      <c r="S361" s="2">
        <v>33</v>
      </c>
      <c r="T361" s="2"/>
      <c r="U361" s="2">
        <v>31</v>
      </c>
      <c r="V361" s="2"/>
      <c r="W361" s="2">
        <v>32</v>
      </c>
      <c r="X361" s="2" t="s">
        <v>334</v>
      </c>
      <c r="Y361" s="2">
        <v>30</v>
      </c>
      <c r="Z361" s="2"/>
      <c r="AA361" s="2">
        <v>32</v>
      </c>
      <c r="AB361" s="2"/>
      <c r="AC361" s="2">
        <v>34</v>
      </c>
      <c r="AD361" s="2" t="s">
        <v>334</v>
      </c>
      <c r="AE361" s="2">
        <v>34</v>
      </c>
      <c r="AF361" s="2"/>
      <c r="AG361" s="2">
        <v>32</v>
      </c>
      <c r="AH361" s="2"/>
    </row>
    <row r="362" spans="1:34">
      <c r="A362" t="s">
        <v>592</v>
      </c>
      <c r="B362" t="s">
        <v>593</v>
      </c>
      <c r="C362" s="2">
        <v>31</v>
      </c>
      <c r="D362" s="2"/>
      <c r="E362" s="2">
        <v>31</v>
      </c>
      <c r="F362" s="2"/>
      <c r="G362" s="2">
        <v>31</v>
      </c>
      <c r="H362" s="2"/>
      <c r="I362" s="2">
        <v>32</v>
      </c>
      <c r="J362" s="2"/>
      <c r="K362" s="2">
        <v>32</v>
      </c>
      <c r="L362" s="2"/>
      <c r="M362" s="2">
        <v>31</v>
      </c>
      <c r="N362" s="2"/>
      <c r="O362" s="2">
        <v>36</v>
      </c>
      <c r="P362" s="2"/>
      <c r="Q362" s="2">
        <v>23</v>
      </c>
      <c r="R362" s="2"/>
      <c r="S362" s="2">
        <v>25</v>
      </c>
      <c r="T362" s="2"/>
      <c r="U362" s="2">
        <v>23</v>
      </c>
      <c r="V362" s="2"/>
      <c r="W362" s="2">
        <v>24</v>
      </c>
      <c r="X362" s="2" t="s">
        <v>334</v>
      </c>
      <c r="Y362" s="2">
        <v>23</v>
      </c>
      <c r="Z362" s="2"/>
      <c r="AA362" s="2">
        <v>25</v>
      </c>
      <c r="AB362" s="2"/>
      <c r="AC362" s="2">
        <v>31</v>
      </c>
      <c r="AD362" s="2" t="s">
        <v>334</v>
      </c>
      <c r="AE362" s="2">
        <v>30</v>
      </c>
      <c r="AF362" s="2"/>
      <c r="AG362" s="2">
        <v>31</v>
      </c>
      <c r="AH362" s="2"/>
    </row>
    <row r="363" spans="1:34">
      <c r="A363" t="s">
        <v>594</v>
      </c>
      <c r="B363" t="s">
        <v>595</v>
      </c>
      <c r="C363" s="2">
        <v>25</v>
      </c>
      <c r="D363" s="2"/>
      <c r="E363" s="2">
        <v>25</v>
      </c>
      <c r="F363" s="2"/>
      <c r="G363" s="2">
        <v>25</v>
      </c>
      <c r="H363" s="2"/>
      <c r="I363" s="2">
        <v>28</v>
      </c>
      <c r="J363" s="2"/>
      <c r="K363" s="2">
        <v>27</v>
      </c>
      <c r="L363" s="2"/>
      <c r="M363" s="2">
        <v>26</v>
      </c>
      <c r="N363" s="2"/>
      <c r="O363" s="2">
        <v>26</v>
      </c>
      <c r="P363" s="2"/>
      <c r="Q363" s="2">
        <v>20</v>
      </c>
      <c r="R363" s="2"/>
      <c r="S363" s="2">
        <v>20</v>
      </c>
      <c r="T363" s="2"/>
      <c r="U363" s="2">
        <v>19</v>
      </c>
      <c r="V363" s="2"/>
      <c r="W363" s="2">
        <v>21</v>
      </c>
      <c r="X363" s="2" t="s">
        <v>334</v>
      </c>
      <c r="Y363" s="2">
        <v>24</v>
      </c>
      <c r="Z363" s="2"/>
      <c r="AA363" s="2">
        <v>24</v>
      </c>
      <c r="AB363" s="2"/>
      <c r="AC363" s="2">
        <v>24</v>
      </c>
      <c r="AD363" s="2" t="s">
        <v>334</v>
      </c>
      <c r="AE363" s="2">
        <v>26</v>
      </c>
      <c r="AF363" s="2"/>
      <c r="AG363" s="2">
        <v>25</v>
      </c>
      <c r="AH363" s="2"/>
    </row>
    <row r="364" spans="1:34">
      <c r="A364" t="s">
        <v>598</v>
      </c>
      <c r="B364" t="s">
        <v>599</v>
      </c>
      <c r="C364" s="2">
        <v>1649</v>
      </c>
      <c r="D364" s="2"/>
      <c r="E364" s="2">
        <v>1433</v>
      </c>
      <c r="F364" s="2"/>
      <c r="G364" s="2">
        <v>1474</v>
      </c>
      <c r="H364" s="2"/>
      <c r="I364" s="2">
        <v>1482</v>
      </c>
      <c r="J364" s="2"/>
      <c r="K364" s="2">
        <v>1392</v>
      </c>
      <c r="L364" s="2"/>
      <c r="M364" s="2">
        <v>1200</v>
      </c>
      <c r="N364" s="2"/>
      <c r="O364" s="2">
        <v>1435</v>
      </c>
      <c r="P364" s="2"/>
      <c r="Q364" s="2">
        <v>1415</v>
      </c>
      <c r="R364" s="2"/>
      <c r="S364" s="2">
        <v>1387</v>
      </c>
      <c r="T364" s="2"/>
      <c r="U364" s="2">
        <v>1467</v>
      </c>
      <c r="V364" s="2"/>
      <c r="W364" s="2">
        <v>1832</v>
      </c>
      <c r="X364" s="2" t="s">
        <v>334</v>
      </c>
      <c r="Y364" s="2">
        <v>1858</v>
      </c>
      <c r="Z364" s="2"/>
      <c r="AA364" s="2">
        <v>1833</v>
      </c>
      <c r="AB364" s="2"/>
      <c r="AC364" s="2">
        <v>1877</v>
      </c>
      <c r="AD364" s="2"/>
      <c r="AE364" s="2">
        <v>1888</v>
      </c>
      <c r="AF364" s="2"/>
      <c r="AG364" s="2">
        <v>1885</v>
      </c>
      <c r="AH364" s="2"/>
    </row>
    <row r="365" spans="1:34">
      <c r="A365" t="s">
        <v>996</v>
      </c>
      <c r="B365" t="s">
        <v>997</v>
      </c>
      <c r="C365" s="2">
        <v>366</v>
      </c>
      <c r="D365" s="2"/>
      <c r="E365" s="2">
        <v>306</v>
      </c>
      <c r="F365" s="2"/>
      <c r="G365" s="2">
        <v>321</v>
      </c>
      <c r="H365" s="2"/>
      <c r="I365" s="2">
        <v>305</v>
      </c>
      <c r="J365" s="2"/>
      <c r="K365" s="2">
        <v>282</v>
      </c>
      <c r="L365" s="2"/>
      <c r="M365" s="2">
        <v>238</v>
      </c>
      <c r="N365" s="2"/>
      <c r="O365" s="2">
        <v>278</v>
      </c>
      <c r="P365" s="2"/>
      <c r="Q365" s="2">
        <v>284</v>
      </c>
      <c r="R365" s="2"/>
      <c r="S365" s="2" t="s">
        <v>43</v>
      </c>
      <c r="T365" s="2"/>
      <c r="U365" s="2" t="s">
        <v>43</v>
      </c>
      <c r="V365" s="2"/>
      <c r="W365" s="2" t="s">
        <v>43</v>
      </c>
      <c r="X365" s="2" t="s">
        <v>334</v>
      </c>
      <c r="Y365" s="2" t="s">
        <v>43</v>
      </c>
      <c r="Z365" s="2"/>
      <c r="AA365" s="2" t="s">
        <v>43</v>
      </c>
      <c r="AB365" s="2"/>
      <c r="AC365" s="2"/>
      <c r="AD365" s="2"/>
      <c r="AE365" s="2"/>
      <c r="AF365" s="2"/>
      <c r="AG365" s="2"/>
      <c r="AH365" s="2"/>
    </row>
    <row r="366" spans="1:34">
      <c r="A366" t="s">
        <v>998</v>
      </c>
      <c r="B366" t="s">
        <v>999</v>
      </c>
      <c r="C366" s="2">
        <v>102</v>
      </c>
      <c r="D366" s="2"/>
      <c r="E366" s="2">
        <v>87</v>
      </c>
      <c r="F366" s="2"/>
      <c r="G366" s="2">
        <v>90</v>
      </c>
      <c r="H366" s="2"/>
      <c r="I366" s="2">
        <v>89</v>
      </c>
      <c r="J366" s="2"/>
      <c r="K366" s="2">
        <v>88</v>
      </c>
      <c r="L366" s="2"/>
      <c r="M366" s="2">
        <v>78</v>
      </c>
      <c r="N366" s="2"/>
      <c r="O366" s="2">
        <v>82</v>
      </c>
      <c r="P366" s="2"/>
      <c r="Q366" s="2">
        <v>89</v>
      </c>
      <c r="R366" s="2"/>
      <c r="S366" s="2" t="s">
        <v>43</v>
      </c>
      <c r="T366" s="2"/>
      <c r="U366" s="2" t="s">
        <v>43</v>
      </c>
      <c r="V366" s="2"/>
      <c r="W366" s="2" t="s">
        <v>43</v>
      </c>
      <c r="X366" s="2" t="s">
        <v>334</v>
      </c>
      <c r="Y366" s="2" t="s">
        <v>43</v>
      </c>
      <c r="Z366" s="2"/>
      <c r="AA366" s="2" t="s">
        <v>43</v>
      </c>
      <c r="AB366" s="2"/>
      <c r="AC366" s="2"/>
      <c r="AD366" s="2"/>
      <c r="AE366" s="2"/>
      <c r="AF366" s="2"/>
      <c r="AG366" s="2"/>
      <c r="AH366" s="2"/>
    </row>
    <row r="367" spans="1:34">
      <c r="A367" t="s">
        <v>1000</v>
      </c>
      <c r="B367" t="s">
        <v>1001</v>
      </c>
      <c r="C367" s="2">
        <v>264</v>
      </c>
      <c r="D367" s="2"/>
      <c r="E367" s="2">
        <v>219</v>
      </c>
      <c r="F367" s="2"/>
      <c r="G367" s="2">
        <v>231</v>
      </c>
      <c r="H367" s="2"/>
      <c r="I367" s="2">
        <v>216</v>
      </c>
      <c r="J367" s="2"/>
      <c r="K367" s="2">
        <v>194</v>
      </c>
      <c r="L367" s="2"/>
      <c r="M367" s="2">
        <v>160</v>
      </c>
      <c r="N367" s="2"/>
      <c r="O367" s="2">
        <v>196</v>
      </c>
      <c r="P367" s="2"/>
      <c r="Q367" s="2">
        <v>195</v>
      </c>
      <c r="R367" s="2"/>
      <c r="S367" s="2" t="s">
        <v>43</v>
      </c>
      <c r="T367" s="2"/>
      <c r="U367" s="2" t="s">
        <v>43</v>
      </c>
      <c r="V367" s="2"/>
      <c r="W367" s="2" t="s">
        <v>43</v>
      </c>
      <c r="X367" s="2" t="s">
        <v>334</v>
      </c>
      <c r="Y367" s="2" t="s">
        <v>43</v>
      </c>
      <c r="Z367" s="2"/>
      <c r="AA367" s="2" t="s">
        <v>43</v>
      </c>
      <c r="AB367" s="2"/>
      <c r="AC367" s="2"/>
      <c r="AD367" s="2"/>
      <c r="AE367" s="2"/>
      <c r="AF367" s="2"/>
      <c r="AG367" s="2"/>
      <c r="AH367" s="2"/>
    </row>
    <row r="368" spans="1:34">
      <c r="A368" t="s">
        <v>600</v>
      </c>
      <c r="B368" t="s">
        <v>601</v>
      </c>
      <c r="C368" s="2">
        <v>354</v>
      </c>
      <c r="D368" s="2"/>
      <c r="E368" s="2">
        <v>322</v>
      </c>
      <c r="F368" s="2"/>
      <c r="G368" s="2">
        <v>331</v>
      </c>
      <c r="H368" s="2"/>
      <c r="I368" s="2">
        <v>331</v>
      </c>
      <c r="J368" s="2"/>
      <c r="K368" s="2">
        <v>309</v>
      </c>
      <c r="L368" s="2"/>
      <c r="M368" s="2">
        <v>278</v>
      </c>
      <c r="N368" s="2"/>
      <c r="O368" s="2">
        <v>334</v>
      </c>
      <c r="P368" s="2"/>
      <c r="Q368" s="2">
        <v>336</v>
      </c>
      <c r="R368" s="2"/>
      <c r="S368" s="2">
        <v>332</v>
      </c>
      <c r="T368" s="2"/>
      <c r="U368" s="2">
        <v>363</v>
      </c>
      <c r="V368" s="2"/>
      <c r="W368" s="2">
        <v>428</v>
      </c>
      <c r="X368" s="2" t="s">
        <v>334</v>
      </c>
      <c r="Y368" s="2">
        <v>434</v>
      </c>
      <c r="Z368" s="2"/>
      <c r="AA368" s="2">
        <v>439</v>
      </c>
      <c r="AB368" s="2"/>
      <c r="AC368" s="2">
        <v>453</v>
      </c>
      <c r="AD368" s="2"/>
      <c r="AE368" s="2">
        <v>459</v>
      </c>
      <c r="AF368" s="2"/>
      <c r="AG368" s="2">
        <v>454</v>
      </c>
      <c r="AH368" s="2"/>
    </row>
    <row r="369" spans="1:34">
      <c r="A369" t="s">
        <v>602</v>
      </c>
      <c r="B369" t="s">
        <v>603</v>
      </c>
      <c r="C369" s="2">
        <v>98</v>
      </c>
      <c r="D369" s="2"/>
      <c r="E369" s="2">
        <v>78</v>
      </c>
      <c r="F369" s="2"/>
      <c r="G369" s="2">
        <v>81</v>
      </c>
      <c r="H369" s="2"/>
      <c r="I369" s="2">
        <v>81</v>
      </c>
      <c r="J369" s="2"/>
      <c r="K369" s="2">
        <v>72</v>
      </c>
      <c r="L369" s="2"/>
      <c r="M369" s="2">
        <v>66</v>
      </c>
      <c r="N369" s="2"/>
      <c r="O369" s="2">
        <v>90</v>
      </c>
      <c r="P369" s="2"/>
      <c r="Q369" s="2">
        <v>88</v>
      </c>
      <c r="R369" s="2"/>
      <c r="S369" s="2">
        <v>80</v>
      </c>
      <c r="T369" s="2"/>
      <c r="U369" s="2">
        <v>88</v>
      </c>
      <c r="V369" s="2"/>
      <c r="W369" s="2">
        <v>109</v>
      </c>
      <c r="X369" s="2" t="s">
        <v>334</v>
      </c>
      <c r="Y369" s="2">
        <v>103</v>
      </c>
      <c r="Z369" s="2"/>
      <c r="AA369" s="2">
        <v>109</v>
      </c>
      <c r="AB369" s="2"/>
      <c r="AC369" s="2">
        <v>124</v>
      </c>
      <c r="AD369" s="2"/>
      <c r="AE369" s="2">
        <v>128</v>
      </c>
      <c r="AF369" s="2"/>
      <c r="AG369" s="2">
        <v>130</v>
      </c>
      <c r="AH369" s="2"/>
    </row>
    <row r="370" spans="1:34">
      <c r="A370" t="s">
        <v>604</v>
      </c>
      <c r="B370" t="s">
        <v>605</v>
      </c>
      <c r="C370" s="2">
        <v>256</v>
      </c>
      <c r="D370" s="2"/>
      <c r="E370" s="2">
        <v>244</v>
      </c>
      <c r="F370" s="2"/>
      <c r="G370" s="2">
        <v>250</v>
      </c>
      <c r="H370" s="2"/>
      <c r="I370" s="2">
        <v>250</v>
      </c>
      <c r="J370" s="2"/>
      <c r="K370" s="2">
        <v>237</v>
      </c>
      <c r="L370" s="2"/>
      <c r="M370" s="2">
        <v>212</v>
      </c>
      <c r="N370" s="2"/>
      <c r="O370" s="2">
        <v>244</v>
      </c>
      <c r="P370" s="2"/>
      <c r="Q370" s="2">
        <v>248</v>
      </c>
      <c r="R370" s="2"/>
      <c r="S370" s="2">
        <v>252</v>
      </c>
      <c r="T370" s="2"/>
      <c r="U370" s="2">
        <v>275</v>
      </c>
      <c r="V370" s="2"/>
      <c r="W370" s="2">
        <v>319</v>
      </c>
      <c r="X370" s="2" t="s">
        <v>334</v>
      </c>
      <c r="Y370" s="2">
        <v>331</v>
      </c>
      <c r="Z370" s="2"/>
      <c r="AA370" s="2">
        <v>330</v>
      </c>
      <c r="AB370" s="2"/>
      <c r="AC370" s="2">
        <v>329</v>
      </c>
      <c r="AD370" s="2"/>
      <c r="AE370" s="2">
        <v>331</v>
      </c>
      <c r="AF370" s="2"/>
      <c r="AG370" s="2">
        <v>324</v>
      </c>
      <c r="AH370" s="2"/>
    </row>
    <row r="371" spans="1:34">
      <c r="A371" t="s">
        <v>1002</v>
      </c>
      <c r="B371" t="s">
        <v>1003</v>
      </c>
      <c r="C371" s="2">
        <v>265</v>
      </c>
      <c r="D371" s="2"/>
      <c r="E371" s="2">
        <v>216</v>
      </c>
      <c r="F371" s="2"/>
      <c r="G371" s="2">
        <v>220</v>
      </c>
      <c r="H371" s="2"/>
      <c r="I371" s="2">
        <v>227</v>
      </c>
      <c r="J371" s="2"/>
      <c r="K371" s="2">
        <v>214</v>
      </c>
      <c r="L371" s="2"/>
      <c r="M371" s="2">
        <v>185</v>
      </c>
      <c r="N371" s="2"/>
      <c r="O371" s="2">
        <v>216</v>
      </c>
      <c r="P371" s="2"/>
      <c r="Q371" s="2">
        <v>208</v>
      </c>
      <c r="R371" s="2"/>
      <c r="S371" s="2" t="s">
        <v>43</v>
      </c>
      <c r="T371" s="2"/>
      <c r="U371" s="2" t="s">
        <v>43</v>
      </c>
      <c r="V371" s="2"/>
      <c r="W371" s="2" t="s">
        <v>43</v>
      </c>
      <c r="X371" s="2" t="s">
        <v>334</v>
      </c>
      <c r="Y371" s="2" t="s">
        <v>43</v>
      </c>
      <c r="Z371" s="2"/>
      <c r="AA371" s="2" t="s">
        <v>43</v>
      </c>
      <c r="AB371" s="2"/>
      <c r="AC371" s="2"/>
      <c r="AD371" s="2"/>
      <c r="AE371" s="2"/>
      <c r="AF371" s="2"/>
      <c r="AG371" s="2"/>
      <c r="AH371" s="2"/>
    </row>
    <row r="372" spans="1:34">
      <c r="A372" t="s">
        <v>1004</v>
      </c>
      <c r="B372" t="s">
        <v>1005</v>
      </c>
      <c r="C372" s="2">
        <v>48</v>
      </c>
      <c r="D372" s="2"/>
      <c r="E372" s="2">
        <v>37</v>
      </c>
      <c r="F372" s="2"/>
      <c r="G372" s="2">
        <v>41</v>
      </c>
      <c r="H372" s="2"/>
      <c r="I372" s="2">
        <v>48</v>
      </c>
      <c r="J372" s="2"/>
      <c r="K372" s="2">
        <v>45</v>
      </c>
      <c r="L372" s="2"/>
      <c r="M372" s="2">
        <v>42</v>
      </c>
      <c r="N372" s="2"/>
      <c r="O372" s="2">
        <v>47</v>
      </c>
      <c r="P372" s="2"/>
      <c r="Q372" s="2">
        <v>47</v>
      </c>
      <c r="R372" s="2"/>
      <c r="S372" s="2" t="s">
        <v>43</v>
      </c>
      <c r="T372" s="2"/>
      <c r="U372" s="2" t="s">
        <v>43</v>
      </c>
      <c r="V372" s="2"/>
      <c r="W372" s="2" t="s">
        <v>43</v>
      </c>
      <c r="X372" s="2" t="s">
        <v>334</v>
      </c>
      <c r="Y372" s="2" t="s">
        <v>43</v>
      </c>
      <c r="Z372" s="2"/>
      <c r="AA372" s="2" t="s">
        <v>43</v>
      </c>
      <c r="AB372" s="2"/>
      <c r="AC372" s="2"/>
      <c r="AD372" s="2"/>
      <c r="AE372" s="2"/>
      <c r="AF372" s="2"/>
      <c r="AG372" s="2"/>
      <c r="AH372" s="2"/>
    </row>
    <row r="373" spans="1:34">
      <c r="A373" t="s">
        <v>1006</v>
      </c>
      <c r="B373" t="s">
        <v>1007</v>
      </c>
      <c r="C373" s="2">
        <v>128</v>
      </c>
      <c r="D373" s="2"/>
      <c r="E373" s="2">
        <v>111</v>
      </c>
      <c r="F373" s="2"/>
      <c r="G373" s="2">
        <v>105</v>
      </c>
      <c r="H373" s="2"/>
      <c r="I373" s="2">
        <v>103</v>
      </c>
      <c r="J373" s="2"/>
      <c r="K373" s="2">
        <v>99</v>
      </c>
      <c r="L373" s="2"/>
      <c r="M373" s="2">
        <v>77</v>
      </c>
      <c r="N373" s="2"/>
      <c r="O373" s="2">
        <v>86</v>
      </c>
      <c r="P373" s="2"/>
      <c r="Q373" s="2">
        <v>86</v>
      </c>
      <c r="R373" s="2"/>
      <c r="S373" s="2" t="s">
        <v>43</v>
      </c>
      <c r="T373" s="2"/>
      <c r="U373" s="2" t="s">
        <v>43</v>
      </c>
      <c r="V373" s="2"/>
      <c r="W373" s="2" t="s">
        <v>43</v>
      </c>
      <c r="X373" s="2" t="s">
        <v>334</v>
      </c>
      <c r="Y373" s="2" t="s">
        <v>43</v>
      </c>
      <c r="Z373" s="2"/>
      <c r="AA373" s="2" t="s">
        <v>43</v>
      </c>
      <c r="AB373" s="2"/>
      <c r="AC373" s="2"/>
      <c r="AD373" s="2"/>
      <c r="AE373" s="2"/>
      <c r="AF373" s="2"/>
      <c r="AG373" s="2"/>
      <c r="AH373" s="2"/>
    </row>
    <row r="374" spans="1:34">
      <c r="A374" t="s">
        <v>1008</v>
      </c>
      <c r="B374" t="s">
        <v>1009</v>
      </c>
      <c r="C374" s="2">
        <v>64</v>
      </c>
      <c r="D374" s="2"/>
      <c r="E374" s="2">
        <v>47</v>
      </c>
      <c r="F374" s="2"/>
      <c r="G374" s="2">
        <v>48</v>
      </c>
      <c r="H374" s="2"/>
      <c r="I374" s="2">
        <v>49</v>
      </c>
      <c r="J374" s="2"/>
      <c r="K374" s="2">
        <v>47</v>
      </c>
      <c r="L374" s="2"/>
      <c r="M374" s="2">
        <v>44</v>
      </c>
      <c r="N374" s="2"/>
      <c r="O374" s="2">
        <v>58</v>
      </c>
      <c r="P374" s="2"/>
      <c r="Q374" s="2">
        <v>58</v>
      </c>
      <c r="R374" s="2"/>
      <c r="S374" s="2" t="s">
        <v>43</v>
      </c>
      <c r="T374" s="2"/>
      <c r="U374" s="2" t="s">
        <v>43</v>
      </c>
      <c r="V374" s="2"/>
      <c r="W374" s="2" t="s">
        <v>43</v>
      </c>
      <c r="X374" s="2" t="s">
        <v>334</v>
      </c>
      <c r="Y374" s="2" t="s">
        <v>43</v>
      </c>
      <c r="Z374" s="2"/>
      <c r="AA374" s="2" t="s">
        <v>43</v>
      </c>
      <c r="AB374" s="2"/>
      <c r="AC374" s="2"/>
      <c r="AD374" s="2"/>
      <c r="AE374" s="2"/>
      <c r="AF374" s="2"/>
      <c r="AG374" s="2"/>
      <c r="AH374" s="2"/>
    </row>
    <row r="375" spans="1:34">
      <c r="A375" t="s">
        <v>1010</v>
      </c>
      <c r="B375" t="s">
        <v>1011</v>
      </c>
      <c r="C375" s="2">
        <v>25</v>
      </c>
      <c r="D375" s="2"/>
      <c r="E375" s="2">
        <v>21</v>
      </c>
      <c r="F375" s="2"/>
      <c r="G375" s="2">
        <v>26</v>
      </c>
      <c r="H375" s="2"/>
      <c r="I375" s="2">
        <v>27</v>
      </c>
      <c r="J375" s="2"/>
      <c r="K375" s="2">
        <v>23</v>
      </c>
      <c r="L375" s="2"/>
      <c r="M375" s="2">
        <v>22</v>
      </c>
      <c r="N375" s="2"/>
      <c r="O375" s="2">
        <v>25</v>
      </c>
      <c r="P375" s="2"/>
      <c r="Q375" s="2">
        <v>17</v>
      </c>
      <c r="R375" s="2"/>
      <c r="S375" s="2" t="s">
        <v>43</v>
      </c>
      <c r="T375" s="2"/>
      <c r="U375" s="2" t="s">
        <v>43</v>
      </c>
      <c r="V375" s="2"/>
      <c r="W375" s="2" t="s">
        <v>43</v>
      </c>
      <c r="X375" s="2" t="s">
        <v>334</v>
      </c>
      <c r="Y375" s="2" t="s">
        <v>43</v>
      </c>
      <c r="Z375" s="2"/>
      <c r="AA375" s="2" t="s">
        <v>43</v>
      </c>
      <c r="AB375" s="2"/>
      <c r="AC375" s="2"/>
      <c r="AD375" s="2"/>
      <c r="AE375" s="2"/>
      <c r="AF375" s="2"/>
      <c r="AG375" s="2"/>
      <c r="AH375" s="2"/>
    </row>
    <row r="376" spans="1:34">
      <c r="A376" t="s">
        <v>606</v>
      </c>
      <c r="B376" t="s">
        <v>607</v>
      </c>
      <c r="C376" s="2">
        <v>295</v>
      </c>
      <c r="D376" s="2"/>
      <c r="E376" s="2">
        <v>277</v>
      </c>
      <c r="F376" s="2"/>
      <c r="G376" s="2">
        <v>286</v>
      </c>
      <c r="H376" s="2"/>
      <c r="I376" s="2">
        <v>298</v>
      </c>
      <c r="J376" s="2"/>
      <c r="K376" s="2">
        <v>286</v>
      </c>
      <c r="L376" s="2"/>
      <c r="M376" s="2">
        <v>238</v>
      </c>
      <c r="N376" s="2"/>
      <c r="O376" s="2">
        <v>281</v>
      </c>
      <c r="P376" s="2"/>
      <c r="Q376" s="2">
        <v>266</v>
      </c>
      <c r="R376" s="2"/>
      <c r="S376" s="2">
        <v>254</v>
      </c>
      <c r="T376" s="2"/>
      <c r="U376" s="2">
        <v>277</v>
      </c>
      <c r="V376" s="2"/>
      <c r="W376" s="2">
        <v>334</v>
      </c>
      <c r="X376" s="2" t="s">
        <v>334</v>
      </c>
      <c r="Y376" s="2">
        <v>323</v>
      </c>
      <c r="Z376" s="2"/>
      <c r="AA376" s="2">
        <v>319</v>
      </c>
      <c r="AB376" s="2"/>
      <c r="AC376" s="2">
        <v>327</v>
      </c>
      <c r="AD376" s="2"/>
      <c r="AE376" s="2">
        <v>322</v>
      </c>
      <c r="AF376" s="2"/>
      <c r="AG376" s="2">
        <v>333</v>
      </c>
      <c r="AH376" s="2"/>
    </row>
    <row r="377" spans="1:34">
      <c r="A377" t="s">
        <v>608</v>
      </c>
      <c r="B377" t="s">
        <v>609</v>
      </c>
      <c r="C377" s="2">
        <v>195</v>
      </c>
      <c r="D377" s="2"/>
      <c r="E377" s="2">
        <v>185</v>
      </c>
      <c r="F377" s="2"/>
      <c r="G377" s="2">
        <v>191</v>
      </c>
      <c r="H377" s="2"/>
      <c r="I377" s="2">
        <v>202</v>
      </c>
      <c r="J377" s="2"/>
      <c r="K377" s="2">
        <v>191</v>
      </c>
      <c r="L377" s="2"/>
      <c r="M377" s="2">
        <v>159</v>
      </c>
      <c r="N377" s="2"/>
      <c r="O377" s="2">
        <v>191</v>
      </c>
      <c r="P377" s="2"/>
      <c r="Q377" s="2">
        <v>180</v>
      </c>
      <c r="R377" s="2"/>
      <c r="S377" s="2">
        <v>174</v>
      </c>
      <c r="T377" s="2"/>
      <c r="U377" s="2">
        <v>188</v>
      </c>
      <c r="V377" s="2"/>
      <c r="W377" s="2">
        <v>239</v>
      </c>
      <c r="X377" s="2" t="s">
        <v>334</v>
      </c>
      <c r="Y377" s="2">
        <v>228</v>
      </c>
      <c r="Z377" s="2"/>
      <c r="AA377" s="2">
        <v>226</v>
      </c>
      <c r="AB377" s="2"/>
      <c r="AC377" s="2">
        <v>234</v>
      </c>
      <c r="AD377" s="2"/>
      <c r="AE377" s="2">
        <v>234</v>
      </c>
      <c r="AF377" s="2"/>
      <c r="AG377" s="2">
        <v>238</v>
      </c>
      <c r="AH377" s="2"/>
    </row>
    <row r="378" spans="1:34">
      <c r="A378" t="s">
        <v>610</v>
      </c>
      <c r="B378" t="s">
        <v>611</v>
      </c>
      <c r="C378" s="2">
        <v>62</v>
      </c>
      <c r="D378" s="2"/>
      <c r="E378" s="2">
        <v>53</v>
      </c>
      <c r="F378" s="2"/>
      <c r="G378" s="2">
        <v>51</v>
      </c>
      <c r="H378" s="2"/>
      <c r="I378" s="2">
        <v>54</v>
      </c>
      <c r="J378" s="2"/>
      <c r="K378" s="2">
        <v>54</v>
      </c>
      <c r="L378" s="2"/>
      <c r="M378" s="2">
        <v>42</v>
      </c>
      <c r="N378" s="2"/>
      <c r="O378" s="2">
        <v>51</v>
      </c>
      <c r="P378" s="2"/>
      <c r="Q378" s="2">
        <v>47</v>
      </c>
      <c r="R378" s="2"/>
      <c r="S378" s="2">
        <v>46</v>
      </c>
      <c r="T378" s="2"/>
      <c r="U378" s="2">
        <v>52</v>
      </c>
      <c r="V378" s="2"/>
      <c r="W378" s="2">
        <v>53</v>
      </c>
      <c r="X378" s="2" t="s">
        <v>334</v>
      </c>
      <c r="Y378" s="2">
        <v>51</v>
      </c>
      <c r="Z378" s="2"/>
      <c r="AA378" s="2">
        <v>52</v>
      </c>
      <c r="AB378" s="2"/>
      <c r="AC378" s="2">
        <v>49</v>
      </c>
      <c r="AD378" s="2"/>
      <c r="AE378" s="2">
        <v>47</v>
      </c>
      <c r="AF378" s="2"/>
      <c r="AG378" s="2">
        <v>52</v>
      </c>
      <c r="AH378" s="2"/>
    </row>
    <row r="379" spans="1:34">
      <c r="A379" t="s">
        <v>612</v>
      </c>
      <c r="B379" t="s">
        <v>613</v>
      </c>
      <c r="C379" s="2">
        <v>38</v>
      </c>
      <c r="D379" s="2"/>
      <c r="E379" s="2">
        <v>39</v>
      </c>
      <c r="F379" s="2"/>
      <c r="G379" s="2">
        <v>44</v>
      </c>
      <c r="H379" s="2"/>
      <c r="I379" s="2">
        <v>42</v>
      </c>
      <c r="J379" s="2"/>
      <c r="K379" s="2">
        <v>41</v>
      </c>
      <c r="L379" s="2"/>
      <c r="M379" s="2">
        <v>37</v>
      </c>
      <c r="N379" s="2"/>
      <c r="O379" s="2">
        <v>39</v>
      </c>
      <c r="P379" s="2"/>
      <c r="Q379" s="2">
        <v>39</v>
      </c>
      <c r="R379" s="2"/>
      <c r="S379" s="2">
        <v>34</v>
      </c>
      <c r="T379" s="2"/>
      <c r="U379" s="2">
        <v>37</v>
      </c>
      <c r="V379" s="2"/>
      <c r="W379" s="2">
        <v>42</v>
      </c>
      <c r="X379" s="2" t="s">
        <v>334</v>
      </c>
      <c r="Y379" s="2">
        <v>44</v>
      </c>
      <c r="Z379" s="2"/>
      <c r="AA379" s="2">
        <v>41</v>
      </c>
      <c r="AB379" s="2"/>
      <c r="AC379" s="2">
        <v>44</v>
      </c>
      <c r="AD379" s="2"/>
      <c r="AE379" s="2">
        <v>41</v>
      </c>
      <c r="AF379" s="2"/>
      <c r="AG379" s="2">
        <v>43</v>
      </c>
      <c r="AH379" s="2"/>
    </row>
    <row r="380" spans="1:34">
      <c r="A380" t="s">
        <v>614</v>
      </c>
      <c r="B380" t="s">
        <v>615</v>
      </c>
      <c r="C380" s="2">
        <v>190</v>
      </c>
      <c r="D380" s="2"/>
      <c r="E380" s="2">
        <v>156</v>
      </c>
      <c r="F380" s="2"/>
      <c r="G380" s="2">
        <v>162</v>
      </c>
      <c r="H380" s="2"/>
      <c r="I380" s="2">
        <v>163</v>
      </c>
      <c r="J380" s="2"/>
      <c r="K380" s="2">
        <v>153</v>
      </c>
      <c r="L380" s="2"/>
      <c r="M380" s="2">
        <v>134</v>
      </c>
      <c r="N380" s="2"/>
      <c r="O380" s="2">
        <v>172</v>
      </c>
      <c r="P380" s="2"/>
      <c r="Q380" s="2">
        <v>172</v>
      </c>
      <c r="R380" s="2"/>
      <c r="S380" s="2">
        <v>165</v>
      </c>
      <c r="T380" s="2"/>
      <c r="U380" s="2">
        <v>169</v>
      </c>
      <c r="V380" s="2"/>
      <c r="W380" s="2">
        <v>218</v>
      </c>
      <c r="X380" s="2" t="s">
        <v>334</v>
      </c>
      <c r="Y380" s="2">
        <v>231</v>
      </c>
      <c r="Z380" s="2"/>
      <c r="AA380" s="2">
        <v>218</v>
      </c>
      <c r="AB380" s="2"/>
      <c r="AC380" s="2">
        <v>229</v>
      </c>
      <c r="AD380" s="2"/>
      <c r="AE380" s="2">
        <v>228</v>
      </c>
      <c r="AF380" s="2"/>
      <c r="AG380" s="2">
        <v>221</v>
      </c>
      <c r="AH380" s="2"/>
    </row>
    <row r="381" spans="1:34">
      <c r="A381" t="s">
        <v>616</v>
      </c>
      <c r="B381" t="s">
        <v>617</v>
      </c>
      <c r="C381" s="2">
        <v>159</v>
      </c>
      <c r="D381" s="2"/>
      <c r="E381" s="2">
        <v>127</v>
      </c>
      <c r="F381" s="2"/>
      <c r="G381" s="2">
        <v>130</v>
      </c>
      <c r="H381" s="2"/>
      <c r="I381" s="2">
        <v>131</v>
      </c>
      <c r="J381" s="2"/>
      <c r="K381" s="2">
        <v>124</v>
      </c>
      <c r="L381" s="2"/>
      <c r="M381" s="2">
        <v>108</v>
      </c>
      <c r="N381" s="2"/>
      <c r="O381" s="2">
        <v>136</v>
      </c>
      <c r="P381" s="2"/>
      <c r="Q381" s="2">
        <v>136</v>
      </c>
      <c r="R381" s="2"/>
      <c r="S381" s="2">
        <v>132</v>
      </c>
      <c r="T381" s="2"/>
      <c r="U381" s="2">
        <v>134</v>
      </c>
      <c r="V381" s="2"/>
      <c r="W381" s="2">
        <v>181</v>
      </c>
      <c r="X381" s="2" t="s">
        <v>334</v>
      </c>
      <c r="Y381" s="2">
        <v>187</v>
      </c>
      <c r="Z381" s="2"/>
      <c r="AA381" s="2">
        <v>178</v>
      </c>
      <c r="AB381" s="2"/>
      <c r="AC381" s="2">
        <v>189</v>
      </c>
      <c r="AD381" s="2"/>
      <c r="AE381" s="2">
        <v>186</v>
      </c>
      <c r="AF381" s="2"/>
      <c r="AG381" s="2">
        <v>181</v>
      </c>
      <c r="AH381" s="2"/>
    </row>
    <row r="382" spans="1:34">
      <c r="A382" t="s">
        <v>618</v>
      </c>
      <c r="B382" t="s">
        <v>619</v>
      </c>
      <c r="C382" s="2">
        <v>31</v>
      </c>
      <c r="D382" s="2"/>
      <c r="E382" s="2">
        <v>29</v>
      </c>
      <c r="F382" s="2"/>
      <c r="G382" s="2">
        <v>32</v>
      </c>
      <c r="H382" s="2"/>
      <c r="I382" s="2">
        <v>32</v>
      </c>
      <c r="J382" s="2"/>
      <c r="K382" s="2">
        <v>29</v>
      </c>
      <c r="L382" s="2"/>
      <c r="M382" s="2">
        <v>26</v>
      </c>
      <c r="N382" s="2"/>
      <c r="O382" s="2">
        <v>36</v>
      </c>
      <c r="P382" s="2"/>
      <c r="Q382" s="2">
        <v>36</v>
      </c>
      <c r="R382" s="2"/>
      <c r="S382" s="2">
        <v>33</v>
      </c>
      <c r="T382" s="2"/>
      <c r="U382" s="2">
        <v>35</v>
      </c>
      <c r="V382" s="2"/>
      <c r="W382" s="2">
        <v>37</v>
      </c>
      <c r="X382" s="2" t="s">
        <v>334</v>
      </c>
      <c r="Y382" s="2">
        <v>44</v>
      </c>
      <c r="Z382" s="2"/>
      <c r="AA382" s="2">
        <v>40</v>
      </c>
      <c r="AB382" s="2"/>
      <c r="AC382" s="2">
        <v>40</v>
      </c>
      <c r="AD382" s="2"/>
      <c r="AE382" s="2">
        <v>42</v>
      </c>
      <c r="AF382" s="2"/>
      <c r="AG382" s="2">
        <v>40</v>
      </c>
      <c r="AH382" s="2"/>
    </row>
    <row r="383" spans="1:34">
      <c r="A383" t="s">
        <v>620</v>
      </c>
      <c r="B383" t="s">
        <v>621</v>
      </c>
      <c r="C383" s="2">
        <v>179</v>
      </c>
      <c r="D383" s="2"/>
      <c r="E383" s="2">
        <v>156</v>
      </c>
      <c r="F383" s="2"/>
      <c r="G383" s="2">
        <v>154</v>
      </c>
      <c r="H383" s="2"/>
      <c r="I383" s="2">
        <v>158</v>
      </c>
      <c r="J383" s="2"/>
      <c r="K383" s="2">
        <v>148</v>
      </c>
      <c r="L383" s="2"/>
      <c r="M383" s="2">
        <v>127</v>
      </c>
      <c r="N383" s="2"/>
      <c r="O383" s="2">
        <v>154</v>
      </c>
      <c r="P383" s="2"/>
      <c r="Q383" s="2">
        <v>149</v>
      </c>
      <c r="R383" s="2"/>
      <c r="S383" s="2">
        <v>156</v>
      </c>
      <c r="T383" s="2"/>
      <c r="U383" s="2">
        <v>158</v>
      </c>
      <c r="V383" s="2"/>
      <c r="W383" s="2">
        <v>202</v>
      </c>
      <c r="X383" s="2" t="s">
        <v>334</v>
      </c>
      <c r="Y383" s="2">
        <v>214</v>
      </c>
      <c r="Z383" s="2"/>
      <c r="AA383" s="2">
        <v>214</v>
      </c>
      <c r="AB383" s="2"/>
      <c r="AC383" s="2">
        <v>227</v>
      </c>
      <c r="AD383" s="2"/>
      <c r="AE383" s="2">
        <v>222</v>
      </c>
      <c r="AF383" s="2"/>
      <c r="AG383" s="2">
        <v>224</v>
      </c>
      <c r="AH383" s="2"/>
    </row>
    <row r="384" spans="1:34">
      <c r="A384" t="s">
        <v>622</v>
      </c>
      <c r="B384" t="s">
        <v>623</v>
      </c>
      <c r="C384" s="2">
        <v>80</v>
      </c>
      <c r="D384" s="2"/>
      <c r="E384" s="2">
        <v>67</v>
      </c>
      <c r="F384" s="2"/>
      <c r="G384" s="2">
        <v>63</v>
      </c>
      <c r="H384" s="2"/>
      <c r="I384" s="2">
        <v>64</v>
      </c>
      <c r="J384" s="2"/>
      <c r="K384" s="2">
        <v>59</v>
      </c>
      <c r="L384" s="2"/>
      <c r="M384" s="2">
        <v>53</v>
      </c>
      <c r="N384" s="2"/>
      <c r="O384" s="2">
        <v>67</v>
      </c>
      <c r="P384" s="2"/>
      <c r="Q384" s="2">
        <v>67</v>
      </c>
      <c r="R384" s="2"/>
      <c r="S384" s="2">
        <v>70</v>
      </c>
      <c r="T384" s="2"/>
      <c r="U384" s="2">
        <v>66</v>
      </c>
      <c r="V384" s="2"/>
      <c r="W384" s="2">
        <v>91</v>
      </c>
      <c r="X384" s="2" t="s">
        <v>334</v>
      </c>
      <c r="Y384" s="2">
        <v>93</v>
      </c>
      <c r="Z384" s="2"/>
      <c r="AA384" s="2">
        <v>95</v>
      </c>
      <c r="AB384" s="2"/>
      <c r="AC384" s="2">
        <v>98</v>
      </c>
      <c r="AD384" s="2"/>
      <c r="AE384" s="2">
        <v>89</v>
      </c>
      <c r="AF384" s="2"/>
      <c r="AG384" s="2">
        <v>87</v>
      </c>
      <c r="AH384" s="2"/>
    </row>
    <row r="385" spans="1:34">
      <c r="A385" t="s">
        <v>624</v>
      </c>
      <c r="B385" t="s">
        <v>625</v>
      </c>
      <c r="C385" s="2">
        <v>24</v>
      </c>
      <c r="D385" s="2"/>
      <c r="E385" s="2">
        <v>20</v>
      </c>
      <c r="F385" s="2"/>
      <c r="G385" s="2">
        <v>20</v>
      </c>
      <c r="H385" s="2"/>
      <c r="I385" s="2">
        <v>18</v>
      </c>
      <c r="J385" s="2"/>
      <c r="K385" s="2">
        <v>20</v>
      </c>
      <c r="L385" s="2"/>
      <c r="M385" s="2">
        <v>16</v>
      </c>
      <c r="N385" s="2"/>
      <c r="O385" s="2">
        <v>17</v>
      </c>
      <c r="P385" s="2"/>
      <c r="Q385" s="2">
        <v>17</v>
      </c>
      <c r="R385" s="2"/>
      <c r="S385" s="2">
        <v>20</v>
      </c>
      <c r="T385" s="2"/>
      <c r="U385" s="2">
        <v>19</v>
      </c>
      <c r="V385" s="2"/>
      <c r="W385" s="2">
        <v>25</v>
      </c>
      <c r="X385" s="2" t="s">
        <v>334</v>
      </c>
      <c r="Y385" s="2">
        <v>30</v>
      </c>
      <c r="Z385" s="2"/>
      <c r="AA385" s="2">
        <v>30</v>
      </c>
      <c r="AB385" s="2"/>
      <c r="AC385" s="2">
        <v>32</v>
      </c>
      <c r="AD385" s="2"/>
      <c r="AE385" s="2">
        <v>32</v>
      </c>
      <c r="AF385" s="2"/>
      <c r="AG385" s="2">
        <v>34</v>
      </c>
      <c r="AH385" s="2"/>
    </row>
    <row r="386" spans="1:34">
      <c r="A386" t="s">
        <v>626</v>
      </c>
      <c r="B386" t="s">
        <v>627</v>
      </c>
      <c r="C386" s="2">
        <v>75</v>
      </c>
      <c r="D386" s="2"/>
      <c r="E386" s="2">
        <v>69</v>
      </c>
      <c r="F386" s="2"/>
      <c r="G386" s="2">
        <v>71</v>
      </c>
      <c r="H386" s="2"/>
      <c r="I386" s="2">
        <v>76</v>
      </c>
      <c r="J386" s="2"/>
      <c r="K386" s="2">
        <v>69</v>
      </c>
      <c r="L386" s="2"/>
      <c r="M386" s="2">
        <v>58</v>
      </c>
      <c r="N386" s="2"/>
      <c r="O386" s="2">
        <v>70</v>
      </c>
      <c r="P386" s="2"/>
      <c r="Q386" s="2">
        <v>65</v>
      </c>
      <c r="R386" s="2"/>
      <c r="S386" s="2">
        <v>66</v>
      </c>
      <c r="T386" s="2"/>
      <c r="U386" s="2">
        <v>73</v>
      </c>
      <c r="V386" s="2"/>
      <c r="W386" s="2">
        <v>86</v>
      </c>
      <c r="X386" s="2" t="s">
        <v>334</v>
      </c>
      <c r="Y386" s="2">
        <v>91</v>
      </c>
      <c r="Z386" s="2"/>
      <c r="AA386" s="2">
        <v>89</v>
      </c>
      <c r="AB386" s="2"/>
      <c r="AC386" s="2">
        <v>97</v>
      </c>
      <c r="AD386" s="2"/>
      <c r="AE386" s="2">
        <v>101</v>
      </c>
      <c r="AF386" s="2"/>
      <c r="AG386" s="2">
        <v>103</v>
      </c>
      <c r="AH386" s="2"/>
    </row>
    <row r="387" spans="1:34">
      <c r="A387" t="s">
        <v>628</v>
      </c>
      <c r="B387" t="s">
        <v>629</v>
      </c>
      <c r="C387" s="2" t="s">
        <v>43</v>
      </c>
      <c r="D387" s="2"/>
      <c r="E387" s="2" t="s">
        <v>43</v>
      </c>
      <c r="F387" s="2"/>
      <c r="G387" s="2" t="s">
        <v>43</v>
      </c>
      <c r="H387" s="2"/>
      <c r="I387" s="2" t="s">
        <v>43</v>
      </c>
      <c r="J387" s="2"/>
      <c r="K387" s="2" t="s">
        <v>43</v>
      </c>
      <c r="L387" s="2"/>
      <c r="M387" s="2" t="s">
        <v>43</v>
      </c>
      <c r="N387" s="2"/>
      <c r="O387" s="2" t="s">
        <v>43</v>
      </c>
      <c r="P387" s="2"/>
      <c r="Q387" s="2" t="s">
        <v>43</v>
      </c>
      <c r="R387" s="2"/>
      <c r="S387" s="2">
        <v>142</v>
      </c>
      <c r="T387" s="2"/>
      <c r="U387" s="2">
        <v>153</v>
      </c>
      <c r="V387" s="2"/>
      <c r="W387" s="2">
        <v>197</v>
      </c>
      <c r="X387" s="2" t="s">
        <v>334</v>
      </c>
      <c r="Y387" s="2">
        <v>209</v>
      </c>
      <c r="Z387" s="2"/>
      <c r="AA387" s="2">
        <v>209</v>
      </c>
      <c r="AB387" s="2"/>
      <c r="AC387" s="2">
        <v>210</v>
      </c>
      <c r="AD387" s="2"/>
      <c r="AE387" s="2">
        <v>210</v>
      </c>
      <c r="AF387" s="2"/>
      <c r="AG387" s="2">
        <v>209</v>
      </c>
      <c r="AH387" s="2"/>
    </row>
    <row r="388" spans="1:34">
      <c r="A388" t="s">
        <v>630</v>
      </c>
      <c r="B388" t="s">
        <v>631</v>
      </c>
      <c r="C388" s="2" t="s">
        <v>43</v>
      </c>
      <c r="D388" s="2"/>
      <c r="E388" s="2" t="s">
        <v>43</v>
      </c>
      <c r="F388" s="2"/>
      <c r="G388" s="2" t="s">
        <v>43</v>
      </c>
      <c r="H388" s="2"/>
      <c r="I388" s="2" t="s">
        <v>43</v>
      </c>
      <c r="J388" s="2"/>
      <c r="K388" s="2" t="s">
        <v>43</v>
      </c>
      <c r="L388" s="2"/>
      <c r="M388" s="2" t="s">
        <v>43</v>
      </c>
      <c r="N388" s="2"/>
      <c r="O388" s="2" t="s">
        <v>43</v>
      </c>
      <c r="P388" s="2"/>
      <c r="Q388" s="2" t="s">
        <v>43</v>
      </c>
      <c r="R388" s="2"/>
      <c r="S388" s="2">
        <v>87</v>
      </c>
      <c r="T388" s="2"/>
      <c r="U388" s="2">
        <v>91</v>
      </c>
      <c r="V388" s="2"/>
      <c r="W388" s="2">
        <v>121</v>
      </c>
      <c r="X388" s="2" t="s">
        <v>334</v>
      </c>
      <c r="Y388" s="2">
        <v>124</v>
      </c>
      <c r="Z388" s="2"/>
      <c r="AA388" s="2">
        <v>130</v>
      </c>
      <c r="AB388" s="2"/>
      <c r="AC388" s="2">
        <v>135</v>
      </c>
      <c r="AD388" s="2"/>
      <c r="AE388" s="2">
        <v>134</v>
      </c>
      <c r="AF388" s="2"/>
      <c r="AG388" s="2">
        <v>133</v>
      </c>
      <c r="AH388" s="2"/>
    </row>
    <row r="389" spans="1:34">
      <c r="A389" t="s">
        <v>632</v>
      </c>
      <c r="B389" t="s">
        <v>633</v>
      </c>
      <c r="C389" s="2" t="s">
        <v>43</v>
      </c>
      <c r="D389" s="2"/>
      <c r="E389" s="2" t="s">
        <v>43</v>
      </c>
      <c r="F389" s="2"/>
      <c r="G389" s="2" t="s">
        <v>43</v>
      </c>
      <c r="H389" s="2"/>
      <c r="I389" s="2" t="s">
        <v>43</v>
      </c>
      <c r="J389" s="2"/>
      <c r="K389" s="2" t="s">
        <v>43</v>
      </c>
      <c r="L389" s="2"/>
      <c r="M389" s="2" t="s">
        <v>43</v>
      </c>
      <c r="N389" s="2"/>
      <c r="O389" s="2" t="s">
        <v>43</v>
      </c>
      <c r="P389" s="2"/>
      <c r="Q389" s="2" t="s">
        <v>43</v>
      </c>
      <c r="R389" s="2"/>
      <c r="S389" s="2">
        <v>55</v>
      </c>
      <c r="T389" s="2"/>
      <c r="U389" s="2">
        <v>62</v>
      </c>
      <c r="V389" s="2"/>
      <c r="W389" s="2">
        <v>76</v>
      </c>
      <c r="X389" s="2" t="s">
        <v>334</v>
      </c>
      <c r="Y389" s="2">
        <v>85</v>
      </c>
      <c r="Z389" s="2"/>
      <c r="AA389" s="2">
        <v>79</v>
      </c>
      <c r="AB389" s="2"/>
      <c r="AC389" s="2">
        <v>75</v>
      </c>
      <c r="AD389" s="2"/>
      <c r="AE389" s="2">
        <v>76</v>
      </c>
      <c r="AF389" s="2"/>
      <c r="AG389" s="2">
        <v>76</v>
      </c>
      <c r="AH389" s="2"/>
    </row>
    <row r="390" spans="1:34">
      <c r="A390" t="s">
        <v>634</v>
      </c>
      <c r="B390" t="s">
        <v>635</v>
      </c>
      <c r="C390" s="2" t="s">
        <v>43</v>
      </c>
      <c r="D390" s="2"/>
      <c r="E390" s="2" t="s">
        <v>43</v>
      </c>
      <c r="F390" s="2"/>
      <c r="G390" s="2" t="s">
        <v>43</v>
      </c>
      <c r="H390" s="2"/>
      <c r="I390" s="2" t="s">
        <v>43</v>
      </c>
      <c r="J390" s="2"/>
      <c r="K390" s="2" t="s">
        <v>43</v>
      </c>
      <c r="L390" s="2"/>
      <c r="M390" s="2" t="s">
        <v>43</v>
      </c>
      <c r="N390" s="2"/>
      <c r="O390" s="2" t="s">
        <v>43</v>
      </c>
      <c r="P390" s="2"/>
      <c r="Q390" s="2" t="s">
        <v>43</v>
      </c>
      <c r="R390" s="2"/>
      <c r="S390" s="2">
        <v>144</v>
      </c>
      <c r="T390" s="2"/>
      <c r="U390" s="2">
        <v>155</v>
      </c>
      <c r="V390" s="2"/>
      <c r="W390" s="2">
        <v>203</v>
      </c>
      <c r="X390" s="2" t="s">
        <v>334</v>
      </c>
      <c r="Y390" s="2">
        <v>200</v>
      </c>
      <c r="Z390" s="2"/>
      <c r="AA390" s="2">
        <v>191</v>
      </c>
      <c r="AB390" s="2"/>
      <c r="AC390" s="2">
        <v>188</v>
      </c>
      <c r="AD390" s="2"/>
      <c r="AE390" s="2">
        <v>197</v>
      </c>
      <c r="AF390" s="2"/>
      <c r="AG390" s="2">
        <v>199</v>
      </c>
      <c r="AH390" s="2"/>
    </row>
    <row r="391" spans="1:34">
      <c r="A391" t="s">
        <v>636</v>
      </c>
      <c r="B391" t="s">
        <v>637</v>
      </c>
      <c r="C391" s="2" t="s">
        <v>43</v>
      </c>
      <c r="D391" s="2"/>
      <c r="E391" s="2" t="s">
        <v>43</v>
      </c>
      <c r="F391" s="2"/>
      <c r="G391" s="2" t="s">
        <v>43</v>
      </c>
      <c r="H391" s="2"/>
      <c r="I391" s="2" t="s">
        <v>43</v>
      </c>
      <c r="J391" s="2"/>
      <c r="K391" s="2" t="s">
        <v>43</v>
      </c>
      <c r="L391" s="2"/>
      <c r="M391" s="2" t="s">
        <v>43</v>
      </c>
      <c r="N391" s="2"/>
      <c r="O391" s="2" t="s">
        <v>43</v>
      </c>
      <c r="P391" s="2"/>
      <c r="Q391" s="2" t="s">
        <v>43</v>
      </c>
      <c r="R391" s="2"/>
      <c r="S391" s="2">
        <v>43</v>
      </c>
      <c r="T391" s="2"/>
      <c r="U391" s="2">
        <v>49</v>
      </c>
      <c r="V391" s="2"/>
      <c r="W391" s="2">
        <v>68</v>
      </c>
      <c r="X391" s="2" t="s">
        <v>334</v>
      </c>
      <c r="Y391" s="2">
        <v>60</v>
      </c>
      <c r="Z391" s="2"/>
      <c r="AA391" s="2">
        <v>59</v>
      </c>
      <c r="AB391" s="2"/>
      <c r="AC391" s="2">
        <v>56</v>
      </c>
      <c r="AD391" s="2"/>
      <c r="AE391" s="2">
        <v>63</v>
      </c>
      <c r="AF391" s="2"/>
      <c r="AG391" s="2">
        <v>62</v>
      </c>
      <c r="AH391" s="2"/>
    </row>
    <row r="392" spans="1:34">
      <c r="A392" t="s">
        <v>638</v>
      </c>
      <c r="B392" t="s">
        <v>639</v>
      </c>
      <c r="C392" s="2" t="s">
        <v>43</v>
      </c>
      <c r="D392" s="2"/>
      <c r="E392" s="2" t="s">
        <v>43</v>
      </c>
      <c r="F392" s="2"/>
      <c r="G392" s="2" t="s">
        <v>43</v>
      </c>
      <c r="H392" s="2"/>
      <c r="I392" s="2" t="s">
        <v>43</v>
      </c>
      <c r="J392" s="2"/>
      <c r="K392" s="2" t="s">
        <v>43</v>
      </c>
      <c r="L392" s="2"/>
      <c r="M392" s="2" t="s">
        <v>43</v>
      </c>
      <c r="N392" s="2"/>
      <c r="O392" s="2" t="s">
        <v>43</v>
      </c>
      <c r="P392" s="2"/>
      <c r="Q392" s="2" t="s">
        <v>43</v>
      </c>
      <c r="R392" s="2"/>
      <c r="S392" s="2">
        <v>78</v>
      </c>
      <c r="T392" s="2"/>
      <c r="U392" s="2">
        <v>81</v>
      </c>
      <c r="V392" s="2"/>
      <c r="W392" s="2">
        <v>103</v>
      </c>
      <c r="X392" s="2" t="s">
        <v>334</v>
      </c>
      <c r="Y392" s="2">
        <v>104</v>
      </c>
      <c r="Z392" s="2"/>
      <c r="AA392" s="2">
        <v>102</v>
      </c>
      <c r="AB392" s="2"/>
      <c r="AC392" s="2">
        <v>98</v>
      </c>
      <c r="AD392" s="2"/>
      <c r="AE392" s="2">
        <v>103</v>
      </c>
      <c r="AF392" s="2"/>
      <c r="AG392" s="2">
        <v>105</v>
      </c>
      <c r="AH392" s="2"/>
    </row>
    <row r="393" spans="1:34">
      <c r="A393" t="s">
        <v>640</v>
      </c>
      <c r="B393" t="s">
        <v>641</v>
      </c>
      <c r="C393" s="2" t="s">
        <v>43</v>
      </c>
      <c r="D393" s="2"/>
      <c r="E393" s="2" t="s">
        <v>43</v>
      </c>
      <c r="F393" s="2"/>
      <c r="G393" s="2" t="s">
        <v>43</v>
      </c>
      <c r="H393" s="2"/>
      <c r="I393" s="2" t="s">
        <v>43</v>
      </c>
      <c r="J393" s="2"/>
      <c r="K393" s="2" t="s">
        <v>43</v>
      </c>
      <c r="L393" s="2"/>
      <c r="M393" s="2" t="s">
        <v>43</v>
      </c>
      <c r="N393" s="2"/>
      <c r="O393" s="2" t="s">
        <v>43</v>
      </c>
      <c r="P393" s="2"/>
      <c r="Q393" s="2" t="s">
        <v>43</v>
      </c>
      <c r="R393" s="2"/>
      <c r="S393" s="2">
        <v>23</v>
      </c>
      <c r="T393" s="2"/>
      <c r="U393" s="2">
        <v>25</v>
      </c>
      <c r="V393" s="2"/>
      <c r="W393" s="2">
        <v>32</v>
      </c>
      <c r="X393" s="2" t="s">
        <v>334</v>
      </c>
      <c r="Y393" s="2">
        <v>36</v>
      </c>
      <c r="Z393" s="2"/>
      <c r="AA393" s="2">
        <v>30</v>
      </c>
      <c r="AB393" s="2"/>
      <c r="AC393" s="2">
        <v>34</v>
      </c>
      <c r="AD393" s="2"/>
      <c r="AE393" s="2">
        <v>31</v>
      </c>
      <c r="AF393" s="2"/>
      <c r="AG393" s="2">
        <v>32</v>
      </c>
      <c r="AH393" s="2"/>
    </row>
    <row r="394" spans="1:34">
      <c r="A394" t="s">
        <v>642</v>
      </c>
      <c r="B394" t="s">
        <v>643</v>
      </c>
      <c r="C394" s="2" t="s">
        <v>43</v>
      </c>
      <c r="D394" s="2"/>
      <c r="E394" s="2" t="s">
        <v>43</v>
      </c>
      <c r="F394" s="2"/>
      <c r="G394" s="2" t="s">
        <v>43</v>
      </c>
      <c r="H394" s="2"/>
      <c r="I394" s="2" t="s">
        <v>43</v>
      </c>
      <c r="J394" s="2"/>
      <c r="K394" s="2" t="s">
        <v>43</v>
      </c>
      <c r="L394" s="2"/>
      <c r="M394" s="2" t="s">
        <v>43</v>
      </c>
      <c r="N394" s="2"/>
      <c r="O394" s="2" t="s">
        <v>43</v>
      </c>
      <c r="P394" s="2"/>
      <c r="Q394" s="2" t="s">
        <v>43</v>
      </c>
      <c r="R394" s="2"/>
      <c r="S394" s="2">
        <v>194</v>
      </c>
      <c r="T394" s="2"/>
      <c r="U394" s="2">
        <v>192</v>
      </c>
      <c r="V394" s="2"/>
      <c r="W394" s="2">
        <v>250</v>
      </c>
      <c r="X394" s="2" t="s">
        <v>334</v>
      </c>
      <c r="Y394" s="2">
        <v>247</v>
      </c>
      <c r="Z394" s="2"/>
      <c r="AA394" s="2">
        <v>243</v>
      </c>
      <c r="AB394" s="2"/>
      <c r="AC394" s="2">
        <v>243</v>
      </c>
      <c r="AD394" s="2"/>
      <c r="AE394" s="2">
        <v>250</v>
      </c>
      <c r="AF394" s="2"/>
      <c r="AG394" s="2">
        <v>245</v>
      </c>
      <c r="AH394" s="2"/>
    </row>
    <row r="395" spans="1:34">
      <c r="A395" t="s">
        <v>644</v>
      </c>
      <c r="B395" t="s">
        <v>645</v>
      </c>
      <c r="C395" s="2" t="s">
        <v>43</v>
      </c>
      <c r="D395" s="2"/>
      <c r="E395" s="2" t="s">
        <v>43</v>
      </c>
      <c r="F395" s="2"/>
      <c r="G395" s="2" t="s">
        <v>43</v>
      </c>
      <c r="H395" s="2"/>
      <c r="I395" s="2" t="s">
        <v>43</v>
      </c>
      <c r="J395" s="2"/>
      <c r="K395" s="2" t="s">
        <v>43</v>
      </c>
      <c r="L395" s="2"/>
      <c r="M395" s="2" t="s">
        <v>43</v>
      </c>
      <c r="N395" s="2"/>
      <c r="O395" s="2" t="s">
        <v>43</v>
      </c>
      <c r="P395" s="2"/>
      <c r="Q395" s="2" t="s">
        <v>43</v>
      </c>
      <c r="R395" s="2"/>
      <c r="S395" s="2">
        <v>35</v>
      </c>
      <c r="T395" s="2" t="s">
        <v>847</v>
      </c>
      <c r="U395" s="2">
        <v>39</v>
      </c>
      <c r="V395" s="2" t="s">
        <v>847</v>
      </c>
      <c r="W395" s="2">
        <v>188</v>
      </c>
      <c r="X395" s="2" t="s">
        <v>334</v>
      </c>
      <c r="Y395" s="2">
        <v>193</v>
      </c>
      <c r="Z395" s="2"/>
      <c r="AA395" s="2">
        <v>190</v>
      </c>
      <c r="AB395" s="2"/>
      <c r="AC395" s="2">
        <v>193</v>
      </c>
      <c r="AD395" s="2"/>
      <c r="AE395" s="2">
        <v>202</v>
      </c>
      <c r="AF395" s="2"/>
      <c r="AG395" s="2">
        <v>198</v>
      </c>
      <c r="AH395" s="2"/>
    </row>
    <row r="396" spans="1:34">
      <c r="A396" t="s">
        <v>646</v>
      </c>
      <c r="B396" t="s">
        <v>647</v>
      </c>
      <c r="C396" s="2" t="s">
        <v>43</v>
      </c>
      <c r="D396" s="2"/>
      <c r="E396" s="2" t="s">
        <v>43</v>
      </c>
      <c r="F396" s="2"/>
      <c r="G396" s="2" t="s">
        <v>43</v>
      </c>
      <c r="H396" s="2"/>
      <c r="I396" s="2" t="s">
        <v>43</v>
      </c>
      <c r="J396" s="2"/>
      <c r="K396" s="2" t="s">
        <v>43</v>
      </c>
      <c r="L396" s="2"/>
      <c r="M396" s="2" t="s">
        <v>43</v>
      </c>
      <c r="N396" s="2"/>
      <c r="O396" s="2" t="s">
        <v>43</v>
      </c>
      <c r="P396" s="2"/>
      <c r="Q396" s="2" t="s">
        <v>43</v>
      </c>
      <c r="R396" s="2"/>
      <c r="S396" s="2">
        <v>18</v>
      </c>
      <c r="T396" s="2" t="s">
        <v>847</v>
      </c>
      <c r="U396" s="2">
        <v>15</v>
      </c>
      <c r="V396" s="2" t="s">
        <v>847</v>
      </c>
      <c r="W396" s="2">
        <v>62</v>
      </c>
      <c r="X396" s="2" t="s">
        <v>334</v>
      </c>
      <c r="Y396" s="2">
        <v>54</v>
      </c>
      <c r="Z396" s="2"/>
      <c r="AA396" s="2">
        <v>53</v>
      </c>
      <c r="AB396" s="2"/>
      <c r="AC396" s="2">
        <v>50</v>
      </c>
      <c r="AD396" s="2"/>
      <c r="AE396" s="2">
        <v>48</v>
      </c>
      <c r="AF396" s="2"/>
      <c r="AG396" s="2">
        <v>47</v>
      </c>
      <c r="AH396" s="2"/>
    </row>
    <row r="397" spans="1:34">
      <c r="A397" t="s">
        <v>648</v>
      </c>
      <c r="B397" t="s">
        <v>649</v>
      </c>
      <c r="C397" s="2">
        <v>605</v>
      </c>
      <c r="D397" s="2"/>
      <c r="E397" s="2">
        <v>582</v>
      </c>
      <c r="F397" s="2"/>
      <c r="G397" s="2">
        <v>793</v>
      </c>
      <c r="H397" s="2"/>
      <c r="I397" s="2">
        <v>789</v>
      </c>
      <c r="J397" s="2"/>
      <c r="K397" s="2">
        <v>759</v>
      </c>
      <c r="L397" s="2"/>
      <c r="M397" s="2">
        <v>748</v>
      </c>
      <c r="N397" s="2"/>
      <c r="O397" s="2">
        <v>725</v>
      </c>
      <c r="P397" s="2"/>
      <c r="Q397" s="2">
        <v>726</v>
      </c>
      <c r="R397" s="2"/>
      <c r="S397" s="2">
        <v>727</v>
      </c>
      <c r="T397" s="2"/>
      <c r="U397" s="2">
        <v>738</v>
      </c>
      <c r="V397" s="2"/>
      <c r="W397" s="2">
        <v>757</v>
      </c>
      <c r="X397" s="2"/>
      <c r="Y397" s="2">
        <v>734</v>
      </c>
      <c r="Z397" s="2"/>
      <c r="AA397" s="2">
        <v>734</v>
      </c>
      <c r="AB397" s="2"/>
      <c r="AC397" s="2">
        <v>735</v>
      </c>
      <c r="AD397" s="2" t="s">
        <v>334</v>
      </c>
      <c r="AE397" s="2">
        <v>716</v>
      </c>
      <c r="AF397" s="2"/>
      <c r="AG397" s="2">
        <v>718</v>
      </c>
      <c r="AH397" s="2"/>
    </row>
    <row r="398" spans="1:34">
      <c r="A398" t="s">
        <v>650</v>
      </c>
      <c r="B398" t="s">
        <v>651</v>
      </c>
      <c r="C398" s="2">
        <v>599</v>
      </c>
      <c r="D398" s="2"/>
      <c r="E398" s="2">
        <v>577</v>
      </c>
      <c r="F398" s="2"/>
      <c r="G398" s="2">
        <v>779</v>
      </c>
      <c r="H398" s="2"/>
      <c r="I398" s="2">
        <v>775</v>
      </c>
      <c r="J398" s="2"/>
      <c r="K398" s="2">
        <v>744</v>
      </c>
      <c r="L398" s="2"/>
      <c r="M398" s="2">
        <v>736</v>
      </c>
      <c r="N398" s="2"/>
      <c r="O398" s="2">
        <v>714</v>
      </c>
      <c r="P398" s="2"/>
      <c r="Q398" s="2">
        <v>714</v>
      </c>
      <c r="R398" s="2"/>
      <c r="S398" s="2">
        <v>716</v>
      </c>
      <c r="T398" s="2"/>
      <c r="U398" s="2">
        <v>728</v>
      </c>
      <c r="V398" s="2"/>
      <c r="W398" s="2">
        <v>747</v>
      </c>
      <c r="X398" s="2"/>
      <c r="Y398" s="2">
        <v>725</v>
      </c>
      <c r="Z398" s="2"/>
      <c r="AA398" s="2">
        <v>724</v>
      </c>
      <c r="AB398" s="2"/>
      <c r="AC398" s="2">
        <v>723</v>
      </c>
      <c r="AD398" s="2" t="s">
        <v>334</v>
      </c>
      <c r="AE398" s="2">
        <v>703</v>
      </c>
      <c r="AF398" s="2"/>
      <c r="AG398" s="2">
        <v>706</v>
      </c>
      <c r="AH398" s="2"/>
    </row>
    <row r="399" spans="1:34">
      <c r="A399" t="s">
        <v>652</v>
      </c>
      <c r="B399" t="s">
        <v>653</v>
      </c>
      <c r="C399" s="2">
        <v>268</v>
      </c>
      <c r="D399" s="2"/>
      <c r="E399" s="2">
        <v>261</v>
      </c>
      <c r="F399" s="2"/>
      <c r="G399" s="2">
        <v>345</v>
      </c>
      <c r="H399" s="2"/>
      <c r="I399" s="2">
        <v>342</v>
      </c>
      <c r="J399" s="2"/>
      <c r="K399" s="2">
        <v>330</v>
      </c>
      <c r="L399" s="2"/>
      <c r="M399" s="2">
        <v>336</v>
      </c>
      <c r="N399" s="2"/>
      <c r="O399" s="2">
        <v>330</v>
      </c>
      <c r="P399" s="2"/>
      <c r="Q399" s="2">
        <v>339</v>
      </c>
      <c r="R399" s="2"/>
      <c r="S399" s="2">
        <v>341</v>
      </c>
      <c r="T399" s="2"/>
      <c r="U399" s="2">
        <v>344</v>
      </c>
      <c r="V399" s="2"/>
      <c r="W399" s="2">
        <v>350</v>
      </c>
      <c r="X399" s="2"/>
      <c r="Y399" s="2">
        <v>340</v>
      </c>
      <c r="Z399" s="2"/>
      <c r="AA399" s="2">
        <v>331</v>
      </c>
      <c r="AB399" s="2"/>
      <c r="AC399" s="2">
        <v>330</v>
      </c>
      <c r="AD399" s="2" t="s">
        <v>334</v>
      </c>
      <c r="AE399" s="2">
        <v>317</v>
      </c>
      <c r="AF399" s="2"/>
      <c r="AG399" s="2">
        <v>316</v>
      </c>
      <c r="AH399" s="2"/>
    </row>
    <row r="400" spans="1:34">
      <c r="A400" t="s">
        <v>654</v>
      </c>
      <c r="B400" t="s">
        <v>655</v>
      </c>
      <c r="C400" s="2">
        <v>6</v>
      </c>
      <c r="D400" s="2"/>
      <c r="E400" s="2">
        <v>6</v>
      </c>
      <c r="F400" s="2"/>
      <c r="G400" s="2">
        <v>14</v>
      </c>
      <c r="H400" s="2"/>
      <c r="I400" s="2">
        <v>15</v>
      </c>
      <c r="J400" s="2"/>
      <c r="K400" s="2">
        <v>15</v>
      </c>
      <c r="L400" s="2"/>
      <c r="M400" s="2">
        <v>16</v>
      </c>
      <c r="N400" s="2"/>
      <c r="O400" s="2">
        <v>14</v>
      </c>
      <c r="P400" s="2"/>
      <c r="Q400" s="2">
        <v>13</v>
      </c>
      <c r="R400" s="2"/>
      <c r="S400" s="2">
        <v>13</v>
      </c>
      <c r="T400" s="2"/>
      <c r="U400" s="2">
        <v>12</v>
      </c>
      <c r="V400" s="2"/>
      <c r="W400" s="2">
        <v>10</v>
      </c>
      <c r="X400" s="2"/>
      <c r="Y400" s="2">
        <v>13</v>
      </c>
      <c r="Z400" s="2"/>
      <c r="AA400" s="2">
        <v>13</v>
      </c>
      <c r="AB400" s="2"/>
      <c r="AC400" s="2">
        <v>12</v>
      </c>
      <c r="AD400" s="2" t="s">
        <v>334</v>
      </c>
      <c r="AE400" s="2">
        <v>13</v>
      </c>
      <c r="AF400" s="2"/>
      <c r="AG400" s="2">
        <v>13</v>
      </c>
      <c r="AH400" s="2"/>
    </row>
    <row r="401" spans="1:34">
      <c r="A401" t="s">
        <v>656</v>
      </c>
      <c r="B401" t="s">
        <v>657</v>
      </c>
      <c r="C401" s="2">
        <v>170</v>
      </c>
      <c r="D401" s="2"/>
      <c r="E401" s="2">
        <v>164</v>
      </c>
      <c r="F401" s="2"/>
      <c r="G401" s="2">
        <v>213</v>
      </c>
      <c r="H401" s="2"/>
      <c r="I401" s="2">
        <v>213</v>
      </c>
      <c r="J401" s="2"/>
      <c r="K401" s="2">
        <v>199</v>
      </c>
      <c r="L401" s="2"/>
      <c r="M401" s="2">
        <v>193</v>
      </c>
      <c r="N401" s="2"/>
      <c r="O401" s="2">
        <v>192</v>
      </c>
      <c r="P401" s="2"/>
      <c r="Q401" s="2">
        <v>193</v>
      </c>
      <c r="R401" s="2"/>
      <c r="S401" s="2">
        <v>199</v>
      </c>
      <c r="T401" s="2"/>
      <c r="U401" s="2">
        <v>205</v>
      </c>
      <c r="V401" s="2"/>
      <c r="W401" s="2">
        <v>215</v>
      </c>
      <c r="X401" s="2"/>
      <c r="Y401" s="2">
        <v>207</v>
      </c>
      <c r="Z401" s="2"/>
      <c r="AA401" s="2">
        <v>209</v>
      </c>
      <c r="AB401" s="2"/>
      <c r="AC401" s="2">
        <v>209</v>
      </c>
      <c r="AD401" s="2" t="s">
        <v>334</v>
      </c>
      <c r="AE401" s="2" t="s">
        <v>43</v>
      </c>
      <c r="AF401" s="2"/>
      <c r="AG401" s="2" t="s">
        <v>43</v>
      </c>
      <c r="AH401" s="2"/>
    </row>
    <row r="402" spans="1:34">
      <c r="A402" t="s">
        <v>658</v>
      </c>
      <c r="B402" t="s">
        <v>659</v>
      </c>
      <c r="C402" s="2">
        <v>101</v>
      </c>
      <c r="D402" s="2"/>
      <c r="E402" s="2">
        <v>99</v>
      </c>
      <c r="F402" s="2"/>
      <c r="G402" s="2">
        <v>146</v>
      </c>
      <c r="H402" s="2"/>
      <c r="I402" s="2">
        <v>144</v>
      </c>
      <c r="J402" s="2"/>
      <c r="K402" s="2">
        <v>140</v>
      </c>
      <c r="L402" s="2"/>
      <c r="M402" s="2">
        <v>136</v>
      </c>
      <c r="N402" s="2"/>
      <c r="O402" s="2">
        <v>127</v>
      </c>
      <c r="P402" s="2"/>
      <c r="Q402" s="2">
        <v>117</v>
      </c>
      <c r="R402" s="2"/>
      <c r="S402" s="2">
        <v>115</v>
      </c>
      <c r="T402" s="2"/>
      <c r="U402" s="2">
        <v>117</v>
      </c>
      <c r="V402" s="2"/>
      <c r="W402" s="2">
        <v>116</v>
      </c>
      <c r="X402" s="2"/>
      <c r="Y402" s="2">
        <v>113</v>
      </c>
      <c r="Z402" s="2"/>
      <c r="AA402" s="2">
        <v>119</v>
      </c>
      <c r="AB402" s="2"/>
      <c r="AC402" s="2">
        <v>117</v>
      </c>
      <c r="AD402" s="2" t="s">
        <v>334</v>
      </c>
      <c r="AE402" s="2" t="s">
        <v>43</v>
      </c>
      <c r="AF402" s="2"/>
      <c r="AG402" s="2" t="s">
        <v>43</v>
      </c>
      <c r="AH402" s="2"/>
    </row>
    <row r="403" spans="1:34">
      <c r="A403" t="s">
        <v>660</v>
      </c>
      <c r="B403" t="s">
        <v>661</v>
      </c>
      <c r="C403" s="2">
        <v>54</v>
      </c>
      <c r="D403" s="2"/>
      <c r="E403" s="2">
        <v>47</v>
      </c>
      <c r="F403" s="2"/>
      <c r="G403" s="2">
        <v>61</v>
      </c>
      <c r="H403" s="2"/>
      <c r="I403" s="2">
        <v>61</v>
      </c>
      <c r="J403" s="2"/>
      <c r="K403" s="2">
        <v>60</v>
      </c>
      <c r="L403" s="2"/>
      <c r="M403" s="2">
        <v>55</v>
      </c>
      <c r="N403" s="2"/>
      <c r="O403" s="2">
        <v>51</v>
      </c>
      <c r="P403" s="2"/>
      <c r="Q403" s="2">
        <v>52</v>
      </c>
      <c r="R403" s="2"/>
      <c r="S403" s="2">
        <v>48</v>
      </c>
      <c r="T403" s="2"/>
      <c r="U403" s="2">
        <v>50</v>
      </c>
      <c r="V403" s="2"/>
      <c r="W403" s="2">
        <v>56</v>
      </c>
      <c r="X403" s="2"/>
      <c r="Y403" s="2">
        <v>52</v>
      </c>
      <c r="Z403" s="2"/>
      <c r="AA403" s="2">
        <v>52</v>
      </c>
      <c r="AB403" s="2"/>
      <c r="AC403" s="2">
        <v>55</v>
      </c>
      <c r="AD403" s="2" t="s">
        <v>334</v>
      </c>
      <c r="AE403" s="2" t="s">
        <v>43</v>
      </c>
      <c r="AF403" s="2"/>
      <c r="AG403" s="2" t="s">
        <v>43</v>
      </c>
      <c r="AH403" s="2"/>
    </row>
    <row r="404" spans="1:34">
      <c r="A404" t="s">
        <v>672</v>
      </c>
      <c r="B404" t="s">
        <v>673</v>
      </c>
      <c r="C404" s="2">
        <v>3</v>
      </c>
      <c r="D404" s="2"/>
      <c r="E404" s="2">
        <v>3</v>
      </c>
      <c r="F404" s="2"/>
      <c r="G404" s="2">
        <v>7</v>
      </c>
      <c r="H404" s="2"/>
      <c r="I404" s="2">
        <v>7</v>
      </c>
      <c r="J404" s="2"/>
      <c r="K404" s="2">
        <v>8</v>
      </c>
      <c r="L404" s="2"/>
      <c r="M404" s="2">
        <v>7</v>
      </c>
      <c r="N404" s="2"/>
      <c r="O404" s="2">
        <v>7</v>
      </c>
      <c r="P404" s="2"/>
      <c r="Q404" s="2">
        <v>7</v>
      </c>
      <c r="R404" s="2"/>
      <c r="S404" s="2">
        <v>6</v>
      </c>
      <c r="T404" s="2"/>
      <c r="U404" s="2">
        <v>6</v>
      </c>
      <c r="V404" s="2"/>
      <c r="W404" s="2">
        <v>6</v>
      </c>
      <c r="X404" s="2"/>
      <c r="Y404" s="2">
        <v>5</v>
      </c>
      <c r="Z404" s="2"/>
      <c r="AA404" s="2">
        <v>5</v>
      </c>
      <c r="AB404" s="2"/>
      <c r="AC404" s="2">
        <v>6</v>
      </c>
      <c r="AD404" s="2" t="s">
        <v>334</v>
      </c>
      <c r="AE404" s="2">
        <v>7</v>
      </c>
      <c r="AF404" s="2"/>
      <c r="AG404" s="2">
        <v>6</v>
      </c>
      <c r="AH404" s="2"/>
    </row>
    <row r="405" spans="1:34">
      <c r="A405" t="s">
        <v>674</v>
      </c>
      <c r="B405" t="s">
        <v>673</v>
      </c>
      <c r="C405" s="2">
        <v>3</v>
      </c>
      <c r="D405" s="2"/>
      <c r="E405" s="2">
        <v>3</v>
      </c>
      <c r="F405" s="2"/>
      <c r="G405" s="2">
        <v>7</v>
      </c>
      <c r="H405" s="2"/>
      <c r="I405" s="2">
        <v>7</v>
      </c>
      <c r="J405" s="2"/>
      <c r="K405" s="2">
        <v>8</v>
      </c>
      <c r="L405" s="2"/>
      <c r="M405" s="2">
        <v>7</v>
      </c>
      <c r="N405" s="2"/>
      <c r="O405" s="2">
        <v>7</v>
      </c>
      <c r="P405" s="2"/>
      <c r="Q405" s="2">
        <v>7</v>
      </c>
      <c r="R405" s="2"/>
      <c r="S405" s="2">
        <v>6</v>
      </c>
      <c r="T405" s="2"/>
      <c r="U405" s="2">
        <v>6</v>
      </c>
      <c r="V405" s="2"/>
      <c r="W405" s="2">
        <v>6</v>
      </c>
      <c r="X405" s="2"/>
      <c r="Y405" s="2">
        <v>5</v>
      </c>
      <c r="Z405" s="2"/>
      <c r="AA405" s="2">
        <v>5</v>
      </c>
      <c r="AB405" s="2"/>
      <c r="AC405" s="2">
        <v>6</v>
      </c>
      <c r="AD405" s="2" t="s">
        <v>334</v>
      </c>
      <c r="AE405" s="2">
        <v>7</v>
      </c>
      <c r="AF405" s="2"/>
      <c r="AG405" s="2">
        <v>6</v>
      </c>
      <c r="AH405" s="2"/>
    </row>
    <row r="406" spans="1:34">
      <c r="A406" t="s">
        <v>675</v>
      </c>
      <c r="B406" t="s">
        <v>676</v>
      </c>
      <c r="C406" s="2">
        <v>3</v>
      </c>
      <c r="D406" s="2"/>
      <c r="E406" s="2">
        <v>2</v>
      </c>
      <c r="F406" s="2"/>
      <c r="G406" s="2">
        <v>7</v>
      </c>
      <c r="H406" s="2"/>
      <c r="I406" s="2">
        <v>7</v>
      </c>
      <c r="J406" s="2"/>
      <c r="K406" s="2">
        <v>7</v>
      </c>
      <c r="L406" s="2"/>
      <c r="M406" s="2">
        <v>5</v>
      </c>
      <c r="N406" s="2"/>
      <c r="O406" s="2">
        <v>4</v>
      </c>
      <c r="P406" s="2"/>
      <c r="Q406" s="2">
        <v>5</v>
      </c>
      <c r="R406" s="2"/>
      <c r="S406" s="2">
        <v>5</v>
      </c>
      <c r="T406" s="2"/>
      <c r="U406" s="2">
        <v>4</v>
      </c>
      <c r="V406" s="2"/>
      <c r="W406" s="2">
        <v>4</v>
      </c>
      <c r="X406" s="2"/>
      <c r="Y406" s="2">
        <v>4</v>
      </c>
      <c r="Z406" s="2"/>
      <c r="AA406" s="2">
        <v>5</v>
      </c>
      <c r="AB406" s="2"/>
      <c r="AC406" s="2">
        <v>6</v>
      </c>
      <c r="AD406" s="2" t="s">
        <v>334</v>
      </c>
      <c r="AE406" s="2">
        <v>6</v>
      </c>
      <c r="AF406" s="2"/>
      <c r="AG406" s="2">
        <v>6</v>
      </c>
      <c r="AH406" s="2"/>
    </row>
    <row r="407" spans="1:34">
      <c r="A407" t="s">
        <v>677</v>
      </c>
      <c r="B407" t="s">
        <v>676</v>
      </c>
      <c r="C407" s="2">
        <v>3</v>
      </c>
      <c r="D407" s="2"/>
      <c r="E407" s="2">
        <v>2</v>
      </c>
      <c r="F407" s="2"/>
      <c r="G407" s="2">
        <v>7</v>
      </c>
      <c r="H407" s="2"/>
      <c r="I407" s="2">
        <v>7</v>
      </c>
      <c r="J407" s="2"/>
      <c r="K407" s="2">
        <v>7</v>
      </c>
      <c r="L407" s="2"/>
      <c r="M407" s="2">
        <v>5</v>
      </c>
      <c r="N407" s="2"/>
      <c r="O407" s="2">
        <v>4</v>
      </c>
      <c r="P407" s="2"/>
      <c r="Q407" s="2">
        <v>5</v>
      </c>
      <c r="R407" s="2"/>
      <c r="S407" s="2">
        <v>5</v>
      </c>
      <c r="T407" s="2"/>
      <c r="U407" s="2">
        <v>4</v>
      </c>
      <c r="V407" s="2"/>
      <c r="W407" s="2">
        <v>4</v>
      </c>
      <c r="X407" s="2"/>
      <c r="Y407" s="2">
        <v>4</v>
      </c>
      <c r="Z407" s="2"/>
      <c r="AA407" s="2">
        <v>5</v>
      </c>
      <c r="AB407" s="2"/>
      <c r="AC407" s="2">
        <v>6</v>
      </c>
      <c r="AD407" s="2" t="s">
        <v>334</v>
      </c>
      <c r="AE407" s="2">
        <v>6</v>
      </c>
      <c r="AF407" s="2"/>
      <c r="AG407" s="2">
        <v>6</v>
      </c>
      <c r="AH407" s="2"/>
    </row>
    <row r="408" spans="1:34">
      <c r="A408" t="s">
        <v>680</v>
      </c>
      <c r="B408" t="s">
        <v>681</v>
      </c>
      <c r="C408" s="2">
        <v>541</v>
      </c>
      <c r="D408" s="2"/>
      <c r="E408" s="2">
        <v>512</v>
      </c>
      <c r="F408" s="2" t="s">
        <v>846</v>
      </c>
      <c r="G408" s="2">
        <v>462</v>
      </c>
      <c r="H408" s="2"/>
      <c r="I408" s="2">
        <v>451</v>
      </c>
      <c r="J408" s="2"/>
      <c r="K408" s="2">
        <v>458</v>
      </c>
      <c r="L408" s="2"/>
      <c r="M408" s="2">
        <v>469</v>
      </c>
      <c r="N408" s="2"/>
      <c r="O408" s="2">
        <v>497</v>
      </c>
      <c r="P408" s="2"/>
      <c r="Q408" s="2">
        <v>509</v>
      </c>
      <c r="R408" s="2"/>
      <c r="S408" s="2">
        <v>518</v>
      </c>
      <c r="T408" s="2"/>
      <c r="U408" s="2">
        <v>525</v>
      </c>
      <c r="V408" s="2"/>
      <c r="W408" s="2">
        <v>536</v>
      </c>
      <c r="X408" s="2" t="s">
        <v>334</v>
      </c>
      <c r="Y408" s="2">
        <v>555</v>
      </c>
      <c r="Z408" s="2"/>
      <c r="AA408" s="2">
        <v>572</v>
      </c>
      <c r="AB408" s="2"/>
      <c r="AC408" s="2">
        <v>558</v>
      </c>
      <c r="AD408" s="2"/>
      <c r="AE408" s="2">
        <v>569</v>
      </c>
      <c r="AF408" s="2"/>
      <c r="AG408" s="2">
        <v>575</v>
      </c>
      <c r="AH408" s="2"/>
    </row>
    <row r="409" spans="1:34">
      <c r="A409" t="s">
        <v>682</v>
      </c>
      <c r="B409" t="s">
        <v>683</v>
      </c>
      <c r="C409" s="2">
        <v>213</v>
      </c>
      <c r="D409" s="2"/>
      <c r="E409" s="2">
        <v>192</v>
      </c>
      <c r="F409" s="2" t="s">
        <v>846</v>
      </c>
      <c r="G409" s="2">
        <v>164</v>
      </c>
      <c r="H409" s="2"/>
      <c r="I409" s="2">
        <v>163</v>
      </c>
      <c r="J409" s="2"/>
      <c r="K409" s="2">
        <v>164</v>
      </c>
      <c r="L409" s="2"/>
      <c r="M409" s="2">
        <v>157</v>
      </c>
      <c r="N409" s="2"/>
      <c r="O409" s="2">
        <v>169</v>
      </c>
      <c r="P409" s="2"/>
      <c r="Q409" s="2">
        <v>172</v>
      </c>
      <c r="R409" s="2"/>
      <c r="S409" s="2">
        <v>177</v>
      </c>
      <c r="T409" s="2"/>
      <c r="U409" s="2">
        <v>186</v>
      </c>
      <c r="V409" s="2"/>
      <c r="W409" s="2">
        <v>196</v>
      </c>
      <c r="X409" s="2" t="s">
        <v>334</v>
      </c>
      <c r="Y409" s="2">
        <v>216</v>
      </c>
      <c r="Z409" s="2"/>
      <c r="AA409" s="2">
        <v>228</v>
      </c>
      <c r="AB409" s="2"/>
      <c r="AC409" s="2">
        <v>216</v>
      </c>
      <c r="AD409" s="2"/>
      <c r="AE409" s="2">
        <v>223</v>
      </c>
      <c r="AF409" s="2"/>
      <c r="AG409" s="2">
        <v>217</v>
      </c>
      <c r="AH409" s="2"/>
    </row>
    <row r="410" spans="1:34">
      <c r="A410" t="s">
        <v>684</v>
      </c>
      <c r="B410" t="s">
        <v>685</v>
      </c>
      <c r="C410" s="2">
        <v>89</v>
      </c>
      <c r="D410" s="2"/>
      <c r="E410" s="2">
        <v>80</v>
      </c>
      <c r="F410" s="2" t="s">
        <v>846</v>
      </c>
      <c r="G410" s="2">
        <v>63</v>
      </c>
      <c r="H410" s="2"/>
      <c r="I410" s="2">
        <v>60</v>
      </c>
      <c r="J410" s="2"/>
      <c r="K410" s="2">
        <v>62</v>
      </c>
      <c r="L410" s="2"/>
      <c r="M410" s="2">
        <v>58</v>
      </c>
      <c r="N410" s="2"/>
      <c r="O410" s="2">
        <v>64</v>
      </c>
      <c r="P410" s="2"/>
      <c r="Q410" s="2">
        <v>60</v>
      </c>
      <c r="R410" s="2"/>
      <c r="S410" s="2">
        <v>66</v>
      </c>
      <c r="T410" s="2"/>
      <c r="U410" s="2">
        <v>67</v>
      </c>
      <c r="V410" s="2"/>
      <c r="W410" s="2">
        <v>75</v>
      </c>
      <c r="X410" s="2" t="s">
        <v>334</v>
      </c>
      <c r="Y410" s="2">
        <v>84</v>
      </c>
      <c r="Z410" s="2"/>
      <c r="AA410" s="2">
        <v>96</v>
      </c>
      <c r="AB410" s="2"/>
      <c r="AC410" s="2">
        <v>86</v>
      </c>
      <c r="AD410" s="2"/>
      <c r="AE410" s="2">
        <v>86</v>
      </c>
      <c r="AF410" s="2"/>
      <c r="AG410" s="2">
        <v>85</v>
      </c>
      <c r="AH410" s="2"/>
    </row>
    <row r="411" spans="1:34">
      <c r="A411" t="s">
        <v>686</v>
      </c>
      <c r="B411" t="s">
        <v>687</v>
      </c>
      <c r="C411" s="2">
        <v>124</v>
      </c>
      <c r="D411" s="2"/>
      <c r="E411" s="2">
        <v>112</v>
      </c>
      <c r="F411" s="2" t="s">
        <v>846</v>
      </c>
      <c r="G411" s="2">
        <v>101</v>
      </c>
      <c r="H411" s="2"/>
      <c r="I411" s="2">
        <v>103</v>
      </c>
      <c r="J411" s="2"/>
      <c r="K411" s="2">
        <v>102</v>
      </c>
      <c r="L411" s="2"/>
      <c r="M411" s="2">
        <v>99</v>
      </c>
      <c r="N411" s="2"/>
      <c r="O411" s="2">
        <v>105</v>
      </c>
      <c r="P411" s="2"/>
      <c r="Q411" s="2">
        <v>112</v>
      </c>
      <c r="R411" s="2"/>
      <c r="S411" s="2">
        <v>111</v>
      </c>
      <c r="T411" s="2"/>
      <c r="U411" s="2">
        <v>119</v>
      </c>
      <c r="V411" s="2"/>
      <c r="W411" s="2">
        <v>121</v>
      </c>
      <c r="X411" s="2" t="s">
        <v>334</v>
      </c>
      <c r="Y411" s="2">
        <v>132</v>
      </c>
      <c r="Z411" s="2"/>
      <c r="AA411" s="2">
        <v>132</v>
      </c>
      <c r="AB411" s="2"/>
      <c r="AC411" s="2">
        <v>130</v>
      </c>
      <c r="AD411" s="2"/>
      <c r="AE411" s="2">
        <v>137</v>
      </c>
      <c r="AF411" s="2"/>
      <c r="AG411" s="2">
        <v>132</v>
      </c>
      <c r="AH411" s="2"/>
    </row>
    <row r="412" spans="1:34">
      <c r="A412" t="s">
        <v>688</v>
      </c>
      <c r="B412" t="s">
        <v>689</v>
      </c>
      <c r="C412" s="2">
        <v>44</v>
      </c>
      <c r="D412" s="2"/>
      <c r="E412" s="2">
        <v>47</v>
      </c>
      <c r="F412" s="2" t="s">
        <v>846</v>
      </c>
      <c r="G412" s="2">
        <v>43</v>
      </c>
      <c r="H412" s="2"/>
      <c r="I412" s="2">
        <v>41</v>
      </c>
      <c r="J412" s="2"/>
      <c r="K412" s="2">
        <v>43</v>
      </c>
      <c r="L412" s="2"/>
      <c r="M412" s="2">
        <v>48</v>
      </c>
      <c r="N412" s="2"/>
      <c r="O412" s="2">
        <v>50</v>
      </c>
      <c r="P412" s="2"/>
      <c r="Q412" s="2">
        <v>55</v>
      </c>
      <c r="R412" s="2"/>
      <c r="S412" s="2">
        <v>51</v>
      </c>
      <c r="T412" s="2"/>
      <c r="U412" s="2">
        <v>51</v>
      </c>
      <c r="V412" s="2"/>
      <c r="W412" s="2">
        <v>48</v>
      </c>
      <c r="X412" s="2" t="s">
        <v>334</v>
      </c>
      <c r="Y412" s="2">
        <v>52</v>
      </c>
      <c r="Z412" s="2"/>
      <c r="AA412" s="2">
        <v>56</v>
      </c>
      <c r="AB412" s="2"/>
      <c r="AC412" s="2">
        <v>57</v>
      </c>
      <c r="AD412" s="2"/>
      <c r="AE412" s="2">
        <v>58</v>
      </c>
      <c r="AF412" s="2"/>
      <c r="AG412" s="2">
        <v>60</v>
      </c>
      <c r="AH412" s="2"/>
    </row>
    <row r="413" spans="1:34">
      <c r="A413" t="s">
        <v>690</v>
      </c>
      <c r="B413" t="s">
        <v>459</v>
      </c>
      <c r="C413" s="2">
        <v>29</v>
      </c>
      <c r="D413" s="2"/>
      <c r="E413" s="2">
        <v>34</v>
      </c>
      <c r="F413" s="2" t="s">
        <v>846</v>
      </c>
      <c r="G413" s="2">
        <v>27</v>
      </c>
      <c r="H413" s="2"/>
      <c r="I413" s="2">
        <v>27</v>
      </c>
      <c r="J413" s="2"/>
      <c r="K413" s="2">
        <v>29</v>
      </c>
      <c r="L413" s="2"/>
      <c r="M413" s="2">
        <v>33</v>
      </c>
      <c r="N413" s="2"/>
      <c r="O413" s="2">
        <v>35</v>
      </c>
      <c r="P413" s="2"/>
      <c r="Q413" s="2">
        <v>35</v>
      </c>
      <c r="R413" s="2"/>
      <c r="S413" s="2">
        <v>33</v>
      </c>
      <c r="T413" s="2"/>
      <c r="U413" s="2">
        <v>32</v>
      </c>
      <c r="V413" s="2"/>
      <c r="W413" s="2">
        <v>30</v>
      </c>
      <c r="X413" s="2" t="s">
        <v>334</v>
      </c>
      <c r="Y413" s="2">
        <v>35</v>
      </c>
      <c r="Z413" s="2"/>
      <c r="AA413" s="2">
        <v>36</v>
      </c>
      <c r="AB413" s="2"/>
      <c r="AC413" s="2">
        <v>36</v>
      </c>
      <c r="AD413" s="2"/>
      <c r="AE413" s="2">
        <v>35</v>
      </c>
      <c r="AF413" s="2"/>
      <c r="AG413" s="2">
        <v>34</v>
      </c>
      <c r="AH413" s="2"/>
    </row>
    <row r="414" spans="1:34">
      <c r="A414" t="s">
        <v>691</v>
      </c>
      <c r="B414" t="s">
        <v>692</v>
      </c>
      <c r="C414" s="2">
        <v>15</v>
      </c>
      <c r="D414" s="2"/>
      <c r="E414" s="2">
        <v>13</v>
      </c>
      <c r="F414" s="2" t="s">
        <v>846</v>
      </c>
      <c r="G414" s="2">
        <v>16</v>
      </c>
      <c r="H414" s="2"/>
      <c r="I414" s="2">
        <v>14</v>
      </c>
      <c r="J414" s="2"/>
      <c r="K414" s="2">
        <v>14</v>
      </c>
      <c r="L414" s="2"/>
      <c r="M414" s="2">
        <v>15</v>
      </c>
      <c r="N414" s="2"/>
      <c r="O414" s="2">
        <v>15</v>
      </c>
      <c r="P414" s="2"/>
      <c r="Q414" s="2">
        <v>20</v>
      </c>
      <c r="R414" s="2"/>
      <c r="S414" s="2">
        <v>18</v>
      </c>
      <c r="T414" s="2"/>
      <c r="U414" s="2">
        <v>19</v>
      </c>
      <c r="V414" s="2"/>
      <c r="W414" s="2">
        <v>18</v>
      </c>
      <c r="X414" s="2" t="s">
        <v>334</v>
      </c>
      <c r="Y414" s="2">
        <v>17</v>
      </c>
      <c r="Z414" s="2"/>
      <c r="AA414" s="2">
        <v>20</v>
      </c>
      <c r="AB414" s="2"/>
      <c r="AC414" s="2">
        <v>21</v>
      </c>
      <c r="AD414" s="2"/>
      <c r="AE414" s="2">
        <v>23</v>
      </c>
      <c r="AF414" s="2"/>
      <c r="AG414" s="2">
        <v>26</v>
      </c>
      <c r="AH414" s="2"/>
    </row>
    <row r="415" spans="1:34">
      <c r="A415" t="s">
        <v>693</v>
      </c>
      <c r="B415" t="s">
        <v>694</v>
      </c>
      <c r="C415" s="2">
        <v>183</v>
      </c>
      <c r="D415" s="2"/>
      <c r="E415" s="2">
        <v>168</v>
      </c>
      <c r="F415" s="2" t="s">
        <v>846</v>
      </c>
      <c r="G415" s="2">
        <v>152</v>
      </c>
      <c r="H415" s="2"/>
      <c r="I415" s="2">
        <v>141</v>
      </c>
      <c r="J415" s="2"/>
      <c r="K415" s="2">
        <v>144</v>
      </c>
      <c r="L415" s="2"/>
      <c r="M415" s="2">
        <v>147</v>
      </c>
      <c r="N415" s="2"/>
      <c r="O415" s="2">
        <v>161</v>
      </c>
      <c r="P415" s="2"/>
      <c r="Q415" s="2">
        <v>165</v>
      </c>
      <c r="R415" s="2"/>
      <c r="S415" s="2">
        <v>171</v>
      </c>
      <c r="T415" s="2"/>
      <c r="U415" s="2">
        <v>168</v>
      </c>
      <c r="V415" s="2"/>
      <c r="W415" s="2">
        <v>172</v>
      </c>
      <c r="X415" s="2" t="s">
        <v>334</v>
      </c>
      <c r="Y415" s="2">
        <v>172</v>
      </c>
      <c r="Z415" s="2"/>
      <c r="AA415" s="2">
        <v>169</v>
      </c>
      <c r="AB415" s="2"/>
      <c r="AC415" s="2">
        <v>167</v>
      </c>
      <c r="AD415" s="2"/>
      <c r="AE415" s="2">
        <v>171</v>
      </c>
      <c r="AF415" s="2"/>
      <c r="AG415" s="2">
        <v>179</v>
      </c>
      <c r="AH415" s="2"/>
    </row>
    <row r="416" spans="1:34">
      <c r="A416" t="s">
        <v>695</v>
      </c>
      <c r="B416" t="s">
        <v>696</v>
      </c>
      <c r="C416" s="2">
        <v>114</v>
      </c>
      <c r="D416" s="2"/>
      <c r="E416" s="2">
        <v>103</v>
      </c>
      <c r="F416" s="2" t="s">
        <v>846</v>
      </c>
      <c r="G416" s="2">
        <v>101</v>
      </c>
      <c r="H416" s="2"/>
      <c r="I416" s="2">
        <v>90</v>
      </c>
      <c r="J416" s="2"/>
      <c r="K416" s="2">
        <v>91</v>
      </c>
      <c r="L416" s="2"/>
      <c r="M416" s="2">
        <v>88</v>
      </c>
      <c r="N416" s="2"/>
      <c r="O416" s="2">
        <v>96</v>
      </c>
      <c r="P416" s="2"/>
      <c r="Q416" s="2">
        <v>98</v>
      </c>
      <c r="R416" s="2"/>
      <c r="S416" s="2">
        <v>104</v>
      </c>
      <c r="T416" s="2"/>
      <c r="U416" s="2">
        <v>101</v>
      </c>
      <c r="V416" s="2"/>
      <c r="W416" s="2">
        <v>103</v>
      </c>
      <c r="X416" s="2" t="s">
        <v>334</v>
      </c>
      <c r="Y416" s="2">
        <v>109</v>
      </c>
      <c r="Z416" s="2"/>
      <c r="AA416" s="2">
        <v>108</v>
      </c>
      <c r="AB416" s="2"/>
      <c r="AC416" s="2">
        <v>105</v>
      </c>
      <c r="AD416" s="2"/>
      <c r="AE416" s="2">
        <v>108</v>
      </c>
      <c r="AF416" s="2"/>
      <c r="AG416" s="2">
        <v>113</v>
      </c>
      <c r="AH416" s="2"/>
    </row>
    <row r="417" spans="1:34">
      <c r="A417" t="s">
        <v>697</v>
      </c>
      <c r="B417" t="s">
        <v>698</v>
      </c>
      <c r="C417" s="2">
        <v>69</v>
      </c>
      <c r="D417" s="2"/>
      <c r="E417" s="2">
        <v>65</v>
      </c>
      <c r="F417" s="2" t="s">
        <v>846</v>
      </c>
      <c r="G417" s="2">
        <v>51</v>
      </c>
      <c r="H417" s="2"/>
      <c r="I417" s="2">
        <v>51</v>
      </c>
      <c r="J417" s="2"/>
      <c r="K417" s="2">
        <v>53</v>
      </c>
      <c r="L417" s="2"/>
      <c r="M417" s="2">
        <v>59</v>
      </c>
      <c r="N417" s="2"/>
      <c r="O417" s="2">
        <v>65</v>
      </c>
      <c r="P417" s="2"/>
      <c r="Q417" s="2">
        <v>67</v>
      </c>
      <c r="R417" s="2"/>
      <c r="S417" s="2">
        <v>67</v>
      </c>
      <c r="T417" s="2"/>
      <c r="U417" s="2">
        <v>67</v>
      </c>
      <c r="V417" s="2"/>
      <c r="W417" s="2">
        <v>69</v>
      </c>
      <c r="X417" s="2" t="s">
        <v>334</v>
      </c>
      <c r="Y417" s="2">
        <v>63</v>
      </c>
      <c r="Z417" s="2"/>
      <c r="AA417" s="2">
        <v>61</v>
      </c>
      <c r="AB417" s="2"/>
      <c r="AC417" s="2">
        <v>62</v>
      </c>
      <c r="AD417" s="2"/>
      <c r="AE417" s="2">
        <v>63</v>
      </c>
      <c r="AF417" s="2"/>
      <c r="AG417" s="2">
        <v>66</v>
      </c>
      <c r="AH417" s="2"/>
    </row>
    <row r="418" spans="1:34">
      <c r="A418" t="s">
        <v>699</v>
      </c>
      <c r="B418" t="s">
        <v>700</v>
      </c>
      <c r="C418" s="2">
        <v>101</v>
      </c>
      <c r="D418" s="2"/>
      <c r="E418" s="2">
        <v>105</v>
      </c>
      <c r="F418" s="2" t="s">
        <v>846</v>
      </c>
      <c r="G418" s="2">
        <v>103</v>
      </c>
      <c r="H418" s="2"/>
      <c r="I418" s="2">
        <v>106</v>
      </c>
      <c r="J418" s="2"/>
      <c r="K418" s="2">
        <v>107</v>
      </c>
      <c r="L418" s="2"/>
      <c r="M418" s="2">
        <v>117</v>
      </c>
      <c r="N418" s="2"/>
      <c r="O418" s="2">
        <v>117</v>
      </c>
      <c r="P418" s="2"/>
      <c r="Q418" s="2">
        <v>117</v>
      </c>
      <c r="R418" s="2"/>
      <c r="S418" s="2">
        <v>119</v>
      </c>
      <c r="T418" s="2"/>
      <c r="U418" s="2">
        <v>120</v>
      </c>
      <c r="V418" s="2"/>
      <c r="W418" s="2">
        <v>120</v>
      </c>
      <c r="X418" s="2" t="s">
        <v>334</v>
      </c>
      <c r="Y418" s="2">
        <v>115</v>
      </c>
      <c r="Z418" s="2"/>
      <c r="AA418" s="2">
        <v>119</v>
      </c>
      <c r="AB418" s="2"/>
      <c r="AC418" s="2">
        <v>118</v>
      </c>
      <c r="AD418" s="2"/>
      <c r="AE418" s="2">
        <v>117</v>
      </c>
      <c r="AF418" s="2"/>
      <c r="AG418" s="2">
        <v>119</v>
      </c>
      <c r="AH418" s="2"/>
    </row>
    <row r="419" spans="1:34">
      <c r="A419" t="s">
        <v>701</v>
      </c>
      <c r="B419" t="s">
        <v>702</v>
      </c>
      <c r="C419" s="2">
        <v>24</v>
      </c>
      <c r="D419" s="2"/>
      <c r="E419" s="2">
        <v>25</v>
      </c>
      <c r="F419" s="2" t="s">
        <v>846</v>
      </c>
      <c r="G419" s="2">
        <v>20</v>
      </c>
      <c r="H419" s="2"/>
      <c r="I419" s="2">
        <v>21</v>
      </c>
      <c r="J419" s="2"/>
      <c r="K419" s="2">
        <v>24</v>
      </c>
      <c r="L419" s="2"/>
      <c r="M419" s="2">
        <v>27</v>
      </c>
      <c r="N419" s="2"/>
      <c r="O419" s="2">
        <v>28</v>
      </c>
      <c r="P419" s="2"/>
      <c r="Q419" s="2">
        <v>26</v>
      </c>
      <c r="R419" s="2"/>
      <c r="S419" s="2">
        <v>28</v>
      </c>
      <c r="T419" s="2"/>
      <c r="U419" s="2">
        <v>30</v>
      </c>
      <c r="V419" s="2"/>
      <c r="W419" s="2">
        <v>31</v>
      </c>
      <c r="X419" s="2" t="s">
        <v>334</v>
      </c>
      <c r="Y419" s="2">
        <v>30</v>
      </c>
      <c r="Z419" s="2"/>
      <c r="AA419" s="2">
        <v>30</v>
      </c>
      <c r="AB419" s="2"/>
      <c r="AC419" s="2">
        <v>31</v>
      </c>
      <c r="AD419" s="2"/>
      <c r="AE419" s="2">
        <v>37</v>
      </c>
      <c r="AF419" s="2"/>
      <c r="AG419" s="2">
        <v>39</v>
      </c>
      <c r="AH419" s="2"/>
    </row>
    <row r="420" spans="1:34">
      <c r="A420" t="s">
        <v>703</v>
      </c>
      <c r="B420" t="s">
        <v>704</v>
      </c>
      <c r="C420" s="2">
        <v>77</v>
      </c>
      <c r="D420" s="2"/>
      <c r="E420" s="2">
        <v>80</v>
      </c>
      <c r="F420" s="2" t="s">
        <v>846</v>
      </c>
      <c r="G420" s="2">
        <v>83</v>
      </c>
      <c r="H420" s="2"/>
      <c r="I420" s="2">
        <v>85</v>
      </c>
      <c r="J420" s="2"/>
      <c r="K420" s="2">
        <v>83</v>
      </c>
      <c r="L420" s="2"/>
      <c r="M420" s="2">
        <v>90</v>
      </c>
      <c r="N420" s="2"/>
      <c r="O420" s="2">
        <v>89</v>
      </c>
      <c r="P420" s="2"/>
      <c r="Q420" s="2">
        <v>91</v>
      </c>
      <c r="R420" s="2"/>
      <c r="S420" s="2">
        <v>91</v>
      </c>
      <c r="T420" s="2"/>
      <c r="U420" s="2">
        <v>90</v>
      </c>
      <c r="V420" s="2"/>
      <c r="W420" s="2">
        <v>89</v>
      </c>
      <c r="X420" s="2" t="s">
        <v>334</v>
      </c>
      <c r="Y420" s="2">
        <v>85</v>
      </c>
      <c r="Z420" s="2"/>
      <c r="AA420" s="2">
        <v>89</v>
      </c>
      <c r="AB420" s="2"/>
      <c r="AC420" s="2">
        <v>87</v>
      </c>
      <c r="AD420" s="2"/>
      <c r="AE420" s="2">
        <v>80</v>
      </c>
      <c r="AF420" s="2"/>
      <c r="AG420" s="2">
        <v>80</v>
      </c>
      <c r="AH420" s="2"/>
    </row>
    <row r="421" spans="1:34">
      <c r="A421" t="s">
        <v>707</v>
      </c>
      <c r="B421" t="s">
        <v>708</v>
      </c>
      <c r="C421" s="2">
        <v>156</v>
      </c>
      <c r="D421" s="2"/>
      <c r="E421" s="2">
        <v>150</v>
      </c>
      <c r="F421" s="2"/>
      <c r="G421" s="2">
        <v>156</v>
      </c>
      <c r="H421" s="2"/>
      <c r="I421" s="2">
        <v>168</v>
      </c>
      <c r="J421" s="2"/>
      <c r="K421" s="2">
        <v>164</v>
      </c>
      <c r="L421" s="2"/>
      <c r="M421" s="2">
        <v>172</v>
      </c>
      <c r="N421" s="2"/>
      <c r="O421" s="2">
        <v>179</v>
      </c>
      <c r="P421" s="2"/>
      <c r="Q421" s="2">
        <v>179</v>
      </c>
      <c r="R421" s="2"/>
      <c r="S421" s="2">
        <v>191</v>
      </c>
      <c r="T421" s="2"/>
      <c r="U421" s="2">
        <v>201</v>
      </c>
      <c r="V421" s="2"/>
      <c r="W421" s="2">
        <v>199</v>
      </c>
      <c r="X421" s="2"/>
      <c r="Y421" s="2">
        <v>203</v>
      </c>
      <c r="Z421" s="2"/>
      <c r="AA421" s="2">
        <v>199</v>
      </c>
      <c r="AB421" s="2"/>
      <c r="AC421" s="2">
        <v>205</v>
      </c>
      <c r="AD421" s="2"/>
      <c r="AE421" s="2">
        <v>207</v>
      </c>
      <c r="AF421" s="2"/>
      <c r="AG421" s="2">
        <v>197</v>
      </c>
      <c r="AH421" s="2"/>
    </row>
    <row r="422" spans="1:34">
      <c r="A422" t="s">
        <v>709</v>
      </c>
      <c r="B422" t="s">
        <v>710</v>
      </c>
      <c r="C422" s="2">
        <v>156</v>
      </c>
      <c r="D422" s="2"/>
      <c r="E422" s="2">
        <v>150</v>
      </c>
      <c r="F422" s="2"/>
      <c r="G422" s="2">
        <v>156</v>
      </c>
      <c r="H422" s="2"/>
      <c r="I422" s="2">
        <v>168</v>
      </c>
      <c r="J422" s="2"/>
      <c r="K422" s="2">
        <v>164</v>
      </c>
      <c r="L422" s="2"/>
      <c r="M422" s="2">
        <v>172</v>
      </c>
      <c r="N422" s="2"/>
      <c r="O422" s="2">
        <v>179</v>
      </c>
      <c r="P422" s="2"/>
      <c r="Q422" s="2">
        <v>179</v>
      </c>
      <c r="R422" s="2"/>
      <c r="S422" s="2">
        <v>191</v>
      </c>
      <c r="T422" s="2"/>
      <c r="U422" s="2">
        <v>201</v>
      </c>
      <c r="V422" s="2"/>
      <c r="W422" s="2">
        <v>199</v>
      </c>
      <c r="X422" s="2"/>
      <c r="Y422" s="2">
        <v>203</v>
      </c>
      <c r="Z422" s="2"/>
      <c r="AA422" s="2">
        <v>199</v>
      </c>
      <c r="AB422" s="2"/>
      <c r="AC422" s="2">
        <v>205</v>
      </c>
      <c r="AD422" s="2"/>
      <c r="AE422" s="2">
        <v>207</v>
      </c>
      <c r="AF422" s="2"/>
      <c r="AG422" s="2">
        <v>197</v>
      </c>
      <c r="AH422" s="2"/>
    </row>
    <row r="423" spans="1:34">
      <c r="A423" t="s">
        <v>711</v>
      </c>
      <c r="B423" t="s">
        <v>712</v>
      </c>
      <c r="C423" s="2" t="s">
        <v>43</v>
      </c>
      <c r="D423" s="2"/>
      <c r="E423" s="2" t="s">
        <v>43</v>
      </c>
      <c r="F423" s="2"/>
      <c r="G423" s="2" t="s">
        <v>43</v>
      </c>
      <c r="H423" s="2"/>
      <c r="I423" s="2" t="s">
        <v>43</v>
      </c>
      <c r="J423" s="2"/>
      <c r="K423" s="2" t="s">
        <v>43</v>
      </c>
      <c r="L423" s="2"/>
      <c r="M423" s="2">
        <v>87</v>
      </c>
      <c r="N423" s="2"/>
      <c r="O423" s="2">
        <v>90</v>
      </c>
      <c r="P423" s="2"/>
      <c r="Q423" s="2">
        <v>91</v>
      </c>
      <c r="R423" s="2"/>
      <c r="S423" s="2">
        <v>97</v>
      </c>
      <c r="T423" s="2"/>
      <c r="U423" s="2">
        <v>103</v>
      </c>
      <c r="V423" s="2"/>
      <c r="W423" s="2">
        <v>103</v>
      </c>
      <c r="X423" s="2"/>
      <c r="Y423" s="2">
        <v>107</v>
      </c>
      <c r="Z423" s="2"/>
      <c r="AA423" s="2">
        <v>105</v>
      </c>
      <c r="AB423" s="2"/>
      <c r="AC423" s="2">
        <v>108</v>
      </c>
      <c r="AD423" s="2"/>
      <c r="AE423" s="2">
        <v>108</v>
      </c>
      <c r="AF423" s="2"/>
      <c r="AG423" s="2">
        <v>100</v>
      </c>
      <c r="AH423" s="2"/>
    </row>
    <row r="424" spans="1:34">
      <c r="A424" t="s">
        <v>1012</v>
      </c>
      <c r="B424" t="s">
        <v>1013</v>
      </c>
      <c r="C424" s="2">
        <v>88</v>
      </c>
      <c r="D424" s="2"/>
      <c r="E424" s="2">
        <v>81</v>
      </c>
      <c r="F424" s="2"/>
      <c r="G424" s="2">
        <v>85</v>
      </c>
      <c r="H424" s="2"/>
      <c r="I424" s="2">
        <v>89</v>
      </c>
      <c r="J424" s="2"/>
      <c r="K424" s="2">
        <v>83</v>
      </c>
      <c r="L424" s="2"/>
      <c r="M424" s="2" t="s">
        <v>43</v>
      </c>
      <c r="N424" s="2"/>
      <c r="O424" s="2" t="s">
        <v>43</v>
      </c>
      <c r="P424" s="2"/>
      <c r="Q424" s="2" t="s">
        <v>43</v>
      </c>
      <c r="R424" s="2"/>
      <c r="S424" s="2" t="s">
        <v>43</v>
      </c>
      <c r="T424" s="2"/>
      <c r="U424" s="2" t="s">
        <v>43</v>
      </c>
      <c r="V424" s="2"/>
      <c r="W424" s="2" t="s">
        <v>43</v>
      </c>
      <c r="X424" s="2"/>
      <c r="Y424" s="2" t="s">
        <v>43</v>
      </c>
      <c r="Z424" s="2"/>
      <c r="AA424" s="2" t="s">
        <v>43</v>
      </c>
      <c r="AB424" s="2"/>
      <c r="AC424" s="2"/>
      <c r="AD424" s="2"/>
      <c r="AE424" s="2"/>
      <c r="AF424" s="2"/>
      <c r="AG424" s="2"/>
      <c r="AH424" s="2"/>
    </row>
    <row r="425" spans="1:34">
      <c r="A425" t="s">
        <v>713</v>
      </c>
      <c r="B425" t="s">
        <v>714</v>
      </c>
      <c r="C425" s="2" t="s">
        <v>43</v>
      </c>
      <c r="D425" s="2"/>
      <c r="E425" s="2" t="s">
        <v>43</v>
      </c>
      <c r="F425" s="2"/>
      <c r="G425" s="2" t="s">
        <v>43</v>
      </c>
      <c r="H425" s="2"/>
      <c r="I425" s="2" t="s">
        <v>43</v>
      </c>
      <c r="J425" s="2"/>
      <c r="K425" s="2" t="s">
        <v>43</v>
      </c>
      <c r="L425" s="2"/>
      <c r="M425" s="2">
        <v>85</v>
      </c>
      <c r="N425" s="2"/>
      <c r="O425" s="2">
        <v>89</v>
      </c>
      <c r="P425" s="2"/>
      <c r="Q425" s="2">
        <v>88</v>
      </c>
      <c r="R425" s="2"/>
      <c r="S425" s="2">
        <v>94</v>
      </c>
      <c r="T425" s="2"/>
      <c r="U425" s="2">
        <v>98</v>
      </c>
      <c r="V425" s="2"/>
      <c r="W425" s="2">
        <v>96</v>
      </c>
      <c r="X425" s="2"/>
      <c r="Y425" s="2">
        <v>96</v>
      </c>
      <c r="Z425" s="2"/>
      <c r="AA425" s="2">
        <v>94</v>
      </c>
      <c r="AB425" s="2"/>
      <c r="AC425" s="2">
        <v>97</v>
      </c>
      <c r="AD425" s="2"/>
      <c r="AE425" s="2">
        <v>99</v>
      </c>
      <c r="AF425" s="2"/>
      <c r="AG425" s="2">
        <v>97</v>
      </c>
      <c r="AH425" s="2"/>
    </row>
    <row r="426" spans="1:34">
      <c r="A426" t="s">
        <v>1014</v>
      </c>
      <c r="B426" t="s">
        <v>1015</v>
      </c>
      <c r="C426" s="2">
        <v>68</v>
      </c>
      <c r="D426" s="2"/>
      <c r="E426" s="2">
        <v>69</v>
      </c>
      <c r="F426" s="2"/>
      <c r="G426" s="2">
        <v>71</v>
      </c>
      <c r="H426" s="2"/>
      <c r="I426" s="2">
        <v>79</v>
      </c>
      <c r="J426" s="2"/>
      <c r="K426" s="2">
        <v>81</v>
      </c>
      <c r="L426" s="2"/>
      <c r="M426" s="2" t="s">
        <v>43</v>
      </c>
      <c r="N426" s="2"/>
      <c r="O426" s="2" t="s">
        <v>43</v>
      </c>
      <c r="P426" s="2"/>
      <c r="Q426" s="2" t="s">
        <v>43</v>
      </c>
      <c r="R426" s="2"/>
      <c r="S426" s="2" t="s">
        <v>43</v>
      </c>
      <c r="T426" s="2"/>
      <c r="U426" s="2" t="s">
        <v>43</v>
      </c>
      <c r="V426" s="2"/>
      <c r="W426" s="2" t="s">
        <v>43</v>
      </c>
      <c r="X426" s="2"/>
      <c r="Y426" s="2" t="s">
        <v>43</v>
      </c>
      <c r="Z426" s="2"/>
      <c r="AA426" s="2" t="s">
        <v>43</v>
      </c>
      <c r="AB426" s="2"/>
      <c r="AC426" s="2"/>
      <c r="AD426" s="2"/>
      <c r="AE426" s="2"/>
      <c r="AF426" s="2"/>
      <c r="AG426" s="2"/>
      <c r="AH426" s="2"/>
    </row>
    <row r="427" spans="1:34">
      <c r="A427" t="s">
        <v>715</v>
      </c>
      <c r="B427" t="s">
        <v>716</v>
      </c>
      <c r="C427" s="2">
        <v>157</v>
      </c>
      <c r="D427" s="2"/>
      <c r="E427" s="2">
        <v>162</v>
      </c>
      <c r="F427" s="2"/>
      <c r="G427" s="2">
        <v>212</v>
      </c>
      <c r="H427" s="2"/>
      <c r="I427" s="2">
        <v>248</v>
      </c>
      <c r="J427" s="2"/>
      <c r="K427" s="2">
        <v>246</v>
      </c>
      <c r="L427" s="2"/>
      <c r="M427" s="2">
        <v>277</v>
      </c>
      <c r="N427" s="2"/>
      <c r="O427" s="2">
        <v>284</v>
      </c>
      <c r="P427" s="2"/>
      <c r="Q427" s="2">
        <v>375</v>
      </c>
      <c r="R427" s="2"/>
      <c r="S427" s="2">
        <v>398</v>
      </c>
      <c r="T427" s="2"/>
      <c r="U427" s="2">
        <v>516</v>
      </c>
      <c r="V427" s="2"/>
      <c r="W427" s="2">
        <v>616</v>
      </c>
      <c r="X427" s="2"/>
      <c r="Y427" s="2">
        <v>654</v>
      </c>
      <c r="Z427" s="2"/>
      <c r="AA427" s="2">
        <v>800</v>
      </c>
      <c r="AB427" s="2"/>
      <c r="AC427" s="2">
        <v>901</v>
      </c>
      <c r="AD427" s="2"/>
      <c r="AE427" s="2">
        <v>1062</v>
      </c>
      <c r="AF427" s="2"/>
      <c r="AG427" s="2">
        <v>1365</v>
      </c>
      <c r="AH427" s="2"/>
    </row>
    <row r="428" spans="1:34">
      <c r="A428" t="s">
        <v>717</v>
      </c>
      <c r="B428" t="s">
        <v>718</v>
      </c>
      <c r="C428" s="2">
        <v>157</v>
      </c>
      <c r="D428" s="2"/>
      <c r="E428" s="2">
        <v>162</v>
      </c>
      <c r="F428" s="2"/>
      <c r="G428" s="2">
        <v>212</v>
      </c>
      <c r="H428" s="2"/>
      <c r="I428" s="2">
        <v>248</v>
      </c>
      <c r="J428" s="2"/>
      <c r="K428" s="2">
        <v>246</v>
      </c>
      <c r="L428" s="2"/>
      <c r="M428" s="2">
        <v>277</v>
      </c>
      <c r="N428" s="2"/>
      <c r="O428" s="2">
        <v>284</v>
      </c>
      <c r="P428" s="2"/>
      <c r="Q428" s="2">
        <v>375</v>
      </c>
      <c r="R428" s="2"/>
      <c r="S428" s="2">
        <v>398</v>
      </c>
      <c r="T428" s="2"/>
      <c r="U428" s="2">
        <v>516</v>
      </c>
      <c r="V428" s="2"/>
      <c r="W428" s="2">
        <v>616</v>
      </c>
      <c r="X428" s="2"/>
      <c r="Y428" s="2">
        <v>654</v>
      </c>
      <c r="Z428" s="2"/>
      <c r="AA428" s="2">
        <v>800</v>
      </c>
      <c r="AB428" s="2"/>
      <c r="AC428" s="2">
        <v>901</v>
      </c>
      <c r="AD428" s="2"/>
      <c r="AE428" s="2">
        <v>1062</v>
      </c>
      <c r="AF428" s="2"/>
      <c r="AG428" s="2">
        <v>1365</v>
      </c>
      <c r="AH428" s="2"/>
    </row>
    <row r="429" spans="1:34">
      <c r="A429" t="s">
        <v>719</v>
      </c>
      <c r="B429" t="s">
        <v>720</v>
      </c>
      <c r="C429" s="2">
        <v>37</v>
      </c>
      <c r="D429" s="2"/>
      <c r="E429" s="2">
        <v>35</v>
      </c>
      <c r="F429" s="2"/>
      <c r="G429" s="2">
        <v>37</v>
      </c>
      <c r="H429" s="2"/>
      <c r="I429" s="2">
        <v>37</v>
      </c>
      <c r="J429" s="2"/>
      <c r="K429" s="2">
        <v>39</v>
      </c>
      <c r="L429" s="2"/>
      <c r="M429" s="2">
        <v>48</v>
      </c>
      <c r="N429" s="2"/>
      <c r="O429" s="2">
        <v>41</v>
      </c>
      <c r="P429" s="2"/>
      <c r="Q429" s="2">
        <v>83</v>
      </c>
      <c r="R429" s="2"/>
      <c r="S429" s="2">
        <v>51</v>
      </c>
      <c r="T429" s="2"/>
      <c r="U429" s="2">
        <v>59</v>
      </c>
      <c r="V429" s="2"/>
      <c r="W429" s="2">
        <v>59</v>
      </c>
      <c r="X429" s="2"/>
      <c r="Y429" s="2">
        <v>99</v>
      </c>
      <c r="Z429" s="2"/>
      <c r="AA429" s="2">
        <v>143</v>
      </c>
      <c r="AB429" s="2"/>
      <c r="AC429" s="2">
        <v>318</v>
      </c>
      <c r="AD429" s="2"/>
      <c r="AE429" s="2">
        <v>372</v>
      </c>
      <c r="AF429" s="2"/>
      <c r="AG429" s="2">
        <v>440</v>
      </c>
      <c r="AH429" s="2"/>
    </row>
    <row r="430" spans="1:34">
      <c r="A430" t="s">
        <v>721</v>
      </c>
      <c r="B430" t="s">
        <v>722</v>
      </c>
      <c r="C430" s="2">
        <v>65</v>
      </c>
      <c r="D430" s="2"/>
      <c r="E430" s="2">
        <v>55</v>
      </c>
      <c r="F430" s="2"/>
      <c r="G430" s="2">
        <v>88</v>
      </c>
      <c r="H430" s="2"/>
      <c r="I430" s="2">
        <v>80</v>
      </c>
      <c r="J430" s="2"/>
      <c r="K430" s="2">
        <v>98</v>
      </c>
      <c r="L430" s="2"/>
      <c r="M430" s="2">
        <v>91</v>
      </c>
      <c r="N430" s="2"/>
      <c r="O430" s="2">
        <v>116</v>
      </c>
      <c r="P430" s="2"/>
      <c r="Q430" s="2">
        <v>132</v>
      </c>
      <c r="R430" s="2"/>
      <c r="S430" s="2">
        <v>101</v>
      </c>
      <c r="T430" s="2"/>
      <c r="U430" s="2">
        <v>160</v>
      </c>
      <c r="V430" s="2"/>
      <c r="W430" s="2">
        <v>228</v>
      </c>
      <c r="X430" s="2"/>
      <c r="Y430" s="2">
        <v>293</v>
      </c>
      <c r="Z430" s="2"/>
      <c r="AA430" s="2">
        <v>310</v>
      </c>
      <c r="AB430" s="2"/>
      <c r="AC430" s="2">
        <v>302</v>
      </c>
      <c r="AD430" s="2"/>
      <c r="AE430" s="2">
        <v>373</v>
      </c>
      <c r="AF430" s="2"/>
      <c r="AG430" s="2">
        <v>558</v>
      </c>
      <c r="AH430" s="2"/>
    </row>
    <row r="431" spans="1:34">
      <c r="A431" t="s">
        <v>723</v>
      </c>
      <c r="B431" t="s">
        <v>724</v>
      </c>
      <c r="C431" s="2">
        <v>29</v>
      </c>
      <c r="D431" s="2"/>
      <c r="E431" s="2">
        <v>47</v>
      </c>
      <c r="F431" s="2"/>
      <c r="G431" s="2">
        <v>47</v>
      </c>
      <c r="H431" s="2"/>
      <c r="I431" s="2">
        <v>73</v>
      </c>
      <c r="J431" s="2"/>
      <c r="K431" s="2">
        <v>52</v>
      </c>
      <c r="L431" s="2"/>
      <c r="M431" s="2">
        <v>72</v>
      </c>
      <c r="N431" s="2"/>
      <c r="O431" s="2">
        <v>66</v>
      </c>
      <c r="P431" s="2"/>
      <c r="Q431" s="2">
        <v>84</v>
      </c>
      <c r="R431" s="2"/>
      <c r="S431" s="2">
        <v>107</v>
      </c>
      <c r="T431" s="2"/>
      <c r="U431" s="2">
        <v>98</v>
      </c>
      <c r="V431" s="2"/>
      <c r="W431" s="2">
        <v>152</v>
      </c>
      <c r="X431" s="2"/>
      <c r="Y431" s="2">
        <v>159</v>
      </c>
      <c r="Z431" s="2"/>
      <c r="AA431" s="2">
        <v>121</v>
      </c>
      <c r="AB431" s="2"/>
      <c r="AC431" s="2">
        <v>147</v>
      </c>
      <c r="AD431" s="2"/>
      <c r="AE431" s="2">
        <v>172</v>
      </c>
      <c r="AF431" s="2"/>
      <c r="AG431" s="2">
        <v>203</v>
      </c>
      <c r="AH431" s="2"/>
    </row>
    <row r="432" spans="1:34">
      <c r="A432" t="s">
        <v>725</v>
      </c>
      <c r="B432" t="s">
        <v>726</v>
      </c>
      <c r="C432" s="2">
        <v>26</v>
      </c>
      <c r="D432" s="2"/>
      <c r="E432" s="2">
        <v>25</v>
      </c>
      <c r="F432" s="2"/>
      <c r="G432" s="2">
        <v>40</v>
      </c>
      <c r="H432" s="2"/>
      <c r="I432" s="2">
        <v>58</v>
      </c>
      <c r="J432" s="2"/>
      <c r="K432" s="2">
        <v>57</v>
      </c>
      <c r="L432" s="2"/>
      <c r="M432" s="2">
        <v>66</v>
      </c>
      <c r="N432" s="2"/>
      <c r="O432" s="2">
        <v>61</v>
      </c>
      <c r="P432" s="2"/>
      <c r="Q432" s="2">
        <v>76</v>
      </c>
      <c r="R432" s="2"/>
      <c r="S432" s="2">
        <v>139</v>
      </c>
      <c r="T432" s="2"/>
      <c r="U432" s="2">
        <v>199</v>
      </c>
      <c r="V432" s="2"/>
      <c r="W432" s="2">
        <v>177</v>
      </c>
      <c r="X432" s="2"/>
      <c r="Y432" s="2">
        <v>103</v>
      </c>
      <c r="Z432" s="2"/>
      <c r="AA432" s="2">
        <v>226</v>
      </c>
      <c r="AB432" s="2"/>
      <c r="AC432" s="2">
        <v>134</v>
      </c>
      <c r="AD432" s="2"/>
      <c r="AE432" s="2">
        <v>145</v>
      </c>
      <c r="AF432" s="2"/>
      <c r="AG432" s="2">
        <v>164</v>
      </c>
      <c r="AH432" s="2"/>
    </row>
    <row r="433" spans="1:34">
      <c r="A433" t="s">
        <v>727</v>
      </c>
      <c r="B433" t="s">
        <v>68</v>
      </c>
      <c r="C433" s="2" t="s">
        <v>43</v>
      </c>
      <c r="D433" s="2"/>
      <c r="E433" s="2" t="s">
        <v>43</v>
      </c>
      <c r="F433" s="2"/>
      <c r="G433" s="2" t="s">
        <v>43</v>
      </c>
      <c r="H433" s="2"/>
      <c r="I433" s="2">
        <v>0</v>
      </c>
      <c r="J433" s="2"/>
      <c r="K433" s="2" t="s">
        <v>43</v>
      </c>
      <c r="L433" s="2"/>
      <c r="M433" s="2" t="s">
        <v>43</v>
      </c>
      <c r="N433" s="2"/>
      <c r="O433" s="2" t="s">
        <v>43</v>
      </c>
      <c r="P433" s="2"/>
      <c r="Q433" s="2" t="s">
        <v>43</v>
      </c>
      <c r="R433" s="2"/>
      <c r="S433" s="2" t="s">
        <v>43</v>
      </c>
      <c r="T433" s="2"/>
      <c r="U433" s="2" t="s">
        <v>43</v>
      </c>
      <c r="V433" s="2"/>
      <c r="W433" s="2" t="s">
        <v>43</v>
      </c>
      <c r="X433" s="2"/>
      <c r="Y433" s="2" t="s">
        <v>43</v>
      </c>
      <c r="Z433" s="2"/>
      <c r="AA433" s="2" t="s">
        <v>43</v>
      </c>
      <c r="AB433" s="2"/>
      <c r="AC433" s="2">
        <v>0</v>
      </c>
      <c r="AD433" s="2"/>
      <c r="AE433" s="2">
        <v>0</v>
      </c>
      <c r="AF433" s="2"/>
      <c r="AG433" s="2">
        <v>0</v>
      </c>
      <c r="AH433" s="2"/>
    </row>
    <row r="434" spans="1:34">
      <c r="A434" t="s">
        <v>728</v>
      </c>
      <c r="B434" t="s">
        <v>70</v>
      </c>
      <c r="C434" s="2" t="s">
        <v>43</v>
      </c>
      <c r="D434" s="2"/>
      <c r="E434" s="2" t="s">
        <v>43</v>
      </c>
      <c r="F434" s="2"/>
      <c r="G434" s="2" t="s">
        <v>43</v>
      </c>
      <c r="H434" s="2"/>
      <c r="I434" s="2">
        <v>0</v>
      </c>
      <c r="J434" s="2"/>
      <c r="K434" s="2" t="s">
        <v>43</v>
      </c>
      <c r="L434" s="2"/>
      <c r="M434" s="2" t="s">
        <v>43</v>
      </c>
      <c r="N434" s="2"/>
      <c r="O434" s="2" t="s">
        <v>43</v>
      </c>
      <c r="P434" s="2"/>
      <c r="Q434" s="2" t="s">
        <v>43</v>
      </c>
      <c r="R434" s="2"/>
      <c r="S434" s="2" t="s">
        <v>43</v>
      </c>
      <c r="T434" s="2"/>
      <c r="U434" s="2" t="s">
        <v>43</v>
      </c>
      <c r="V434" s="2"/>
      <c r="W434" s="2" t="s">
        <v>43</v>
      </c>
      <c r="X434" s="2"/>
      <c r="Y434" s="2" t="s">
        <v>43</v>
      </c>
      <c r="Z434" s="2"/>
      <c r="AA434" s="2" t="s">
        <v>43</v>
      </c>
      <c r="AB434" s="2"/>
      <c r="AC434" s="2">
        <v>0</v>
      </c>
      <c r="AD434" s="2"/>
      <c r="AE434" s="2">
        <v>0</v>
      </c>
      <c r="AF434" s="2"/>
      <c r="AG434" s="2">
        <v>0</v>
      </c>
      <c r="AH434" s="2"/>
    </row>
    <row r="435" spans="1:34">
      <c r="A435" t="s">
        <v>729</v>
      </c>
      <c r="B435" t="s">
        <v>730</v>
      </c>
      <c r="C435" s="2">
        <v>303</v>
      </c>
      <c r="D435" s="2"/>
      <c r="E435" s="2">
        <v>274</v>
      </c>
      <c r="F435" s="2"/>
      <c r="G435" s="2">
        <v>275</v>
      </c>
      <c r="H435" s="2"/>
      <c r="I435" s="2">
        <v>273</v>
      </c>
      <c r="J435" s="2"/>
      <c r="K435" s="2">
        <v>263</v>
      </c>
      <c r="L435" s="2"/>
      <c r="M435" s="2">
        <v>290</v>
      </c>
      <c r="N435" s="2" t="s">
        <v>334</v>
      </c>
      <c r="O435" s="2">
        <v>268</v>
      </c>
      <c r="P435" s="2"/>
      <c r="Q435" s="2">
        <v>261</v>
      </c>
      <c r="R435" s="2"/>
      <c r="S435" s="2">
        <v>249</v>
      </c>
      <c r="T435" s="2"/>
      <c r="U435" s="2">
        <v>258</v>
      </c>
      <c r="V435" s="2" t="s">
        <v>334</v>
      </c>
      <c r="W435" s="2">
        <v>249</v>
      </c>
      <c r="X435" s="2"/>
      <c r="Y435" s="2">
        <v>252</v>
      </c>
      <c r="Z435" s="2"/>
      <c r="AA435" s="2">
        <v>258</v>
      </c>
      <c r="AB435" s="2"/>
      <c r="AC435" s="2">
        <v>298</v>
      </c>
      <c r="AD435" s="2" t="s">
        <v>334</v>
      </c>
      <c r="AE435" s="2">
        <v>311</v>
      </c>
      <c r="AF435" s="2"/>
      <c r="AG435" s="2">
        <v>320</v>
      </c>
      <c r="AH435" s="2"/>
    </row>
    <row r="436" spans="1:34">
      <c r="A436" t="s">
        <v>731</v>
      </c>
      <c r="B436" t="s">
        <v>732</v>
      </c>
      <c r="C436" s="2">
        <v>303</v>
      </c>
      <c r="D436" s="2"/>
      <c r="E436" s="2">
        <v>274</v>
      </c>
      <c r="F436" s="2"/>
      <c r="G436" s="2">
        <v>275</v>
      </c>
      <c r="H436" s="2"/>
      <c r="I436" s="2">
        <v>273</v>
      </c>
      <c r="J436" s="2"/>
      <c r="K436" s="2">
        <v>263</v>
      </c>
      <c r="L436" s="2"/>
      <c r="M436" s="2">
        <v>290</v>
      </c>
      <c r="N436" s="2" t="s">
        <v>334</v>
      </c>
      <c r="O436" s="2">
        <v>268</v>
      </c>
      <c r="P436" s="2"/>
      <c r="Q436" s="2">
        <v>261</v>
      </c>
      <c r="R436" s="2"/>
      <c r="S436" s="2">
        <v>249</v>
      </c>
      <c r="T436" s="2"/>
      <c r="U436" s="2">
        <v>258</v>
      </c>
      <c r="V436" s="2" t="s">
        <v>334</v>
      </c>
      <c r="W436" s="2">
        <v>249</v>
      </c>
      <c r="X436" s="2"/>
      <c r="Y436" s="2">
        <v>252</v>
      </c>
      <c r="Z436" s="2"/>
      <c r="AA436" s="2">
        <v>258</v>
      </c>
      <c r="AB436" s="2"/>
      <c r="AC436" s="2">
        <v>297</v>
      </c>
      <c r="AD436" s="2"/>
      <c r="AE436" s="2">
        <v>310</v>
      </c>
      <c r="AF436" s="2"/>
      <c r="AG436" s="2">
        <v>319</v>
      </c>
      <c r="AH436" s="2"/>
    </row>
    <row r="437" spans="1:34">
      <c r="A437" t="s">
        <v>1016</v>
      </c>
      <c r="B437" t="s">
        <v>1017</v>
      </c>
      <c r="C437" s="2">
        <v>27</v>
      </c>
      <c r="D437" s="2"/>
      <c r="E437" s="2">
        <v>22</v>
      </c>
      <c r="F437" s="2"/>
      <c r="G437" s="2">
        <v>25</v>
      </c>
      <c r="H437" s="2"/>
      <c r="I437" s="2" t="s">
        <v>43</v>
      </c>
      <c r="J437" s="2"/>
      <c r="K437" s="2" t="s">
        <v>43</v>
      </c>
      <c r="L437" s="2"/>
      <c r="M437" s="2" t="s">
        <v>43</v>
      </c>
      <c r="N437" s="2"/>
      <c r="O437" s="2" t="s">
        <v>43</v>
      </c>
      <c r="P437" s="2"/>
      <c r="Q437" s="2" t="s">
        <v>43</v>
      </c>
      <c r="R437" s="2"/>
      <c r="S437" s="2" t="s">
        <v>43</v>
      </c>
      <c r="T437" s="2"/>
      <c r="U437" s="2" t="s">
        <v>43</v>
      </c>
      <c r="V437" s="2"/>
      <c r="W437" s="2" t="s">
        <v>43</v>
      </c>
      <c r="X437" s="2"/>
      <c r="Y437" s="2" t="s">
        <v>43</v>
      </c>
      <c r="Z437" s="2"/>
      <c r="AA437" s="2" t="s">
        <v>43</v>
      </c>
      <c r="AB437" s="2"/>
      <c r="AC437" s="2"/>
      <c r="AD437" s="2"/>
      <c r="AE437" s="2"/>
      <c r="AF437" s="2"/>
      <c r="AG437" s="2"/>
      <c r="AH437" s="2"/>
    </row>
    <row r="438" spans="1:34">
      <c r="A438" t="s">
        <v>1018</v>
      </c>
      <c r="B438" t="s">
        <v>1019</v>
      </c>
      <c r="C438" s="2">
        <v>136</v>
      </c>
      <c r="D438" s="2"/>
      <c r="E438" s="2">
        <v>128</v>
      </c>
      <c r="F438" s="2"/>
      <c r="G438" s="2">
        <v>126</v>
      </c>
      <c r="H438" s="2"/>
      <c r="I438" s="2" t="s">
        <v>43</v>
      </c>
      <c r="J438" s="2"/>
      <c r="K438" s="2" t="s">
        <v>43</v>
      </c>
      <c r="L438" s="2"/>
      <c r="M438" s="2" t="s">
        <v>43</v>
      </c>
      <c r="N438" s="2"/>
      <c r="O438" s="2" t="s">
        <v>43</v>
      </c>
      <c r="P438" s="2"/>
      <c r="Q438" s="2" t="s">
        <v>43</v>
      </c>
      <c r="R438" s="2"/>
      <c r="S438" s="2" t="s">
        <v>43</v>
      </c>
      <c r="T438" s="2"/>
      <c r="U438" s="2" t="s">
        <v>43</v>
      </c>
      <c r="V438" s="2"/>
      <c r="W438" s="2" t="s">
        <v>43</v>
      </c>
      <c r="X438" s="2"/>
      <c r="Y438" s="2" t="s">
        <v>43</v>
      </c>
      <c r="Z438" s="2"/>
      <c r="AA438" s="2" t="s">
        <v>43</v>
      </c>
      <c r="AB438" s="2"/>
      <c r="AC438" s="2"/>
      <c r="AD438" s="2"/>
      <c r="AE438" s="2"/>
      <c r="AF438" s="2"/>
      <c r="AG438" s="2"/>
      <c r="AH438" s="2"/>
    </row>
    <row r="439" spans="1:34">
      <c r="A439" t="s">
        <v>733</v>
      </c>
      <c r="B439" t="s">
        <v>734</v>
      </c>
      <c r="C439" s="2">
        <v>112</v>
      </c>
      <c r="D439" s="2"/>
      <c r="E439" s="2">
        <v>95</v>
      </c>
      <c r="F439" s="2"/>
      <c r="G439" s="2">
        <v>96</v>
      </c>
      <c r="H439" s="2"/>
      <c r="I439" s="2">
        <v>97</v>
      </c>
      <c r="J439" s="2"/>
      <c r="K439" s="2">
        <v>98</v>
      </c>
      <c r="L439" s="2"/>
      <c r="M439" s="2">
        <v>109</v>
      </c>
      <c r="N439" s="2" t="s">
        <v>334</v>
      </c>
      <c r="O439" s="2">
        <v>103</v>
      </c>
      <c r="P439" s="2"/>
      <c r="Q439" s="2">
        <v>103</v>
      </c>
      <c r="R439" s="2"/>
      <c r="S439" s="2">
        <v>96</v>
      </c>
      <c r="T439" s="2"/>
      <c r="U439" s="2">
        <v>95</v>
      </c>
      <c r="V439" s="2" t="s">
        <v>334</v>
      </c>
      <c r="W439" s="2">
        <v>96</v>
      </c>
      <c r="X439" s="2"/>
      <c r="Y439" s="2">
        <v>97</v>
      </c>
      <c r="Z439" s="2"/>
      <c r="AA439" s="2">
        <v>94</v>
      </c>
      <c r="AB439" s="2"/>
      <c r="AC439" s="2">
        <v>109</v>
      </c>
      <c r="AD439" s="2"/>
      <c r="AE439" s="2">
        <v>114</v>
      </c>
      <c r="AF439" s="2"/>
      <c r="AG439" s="2">
        <v>117</v>
      </c>
      <c r="AH439" s="2"/>
    </row>
    <row r="440" spans="1:34">
      <c r="A440" t="s">
        <v>1020</v>
      </c>
      <c r="B440" t="s">
        <v>1021</v>
      </c>
      <c r="C440" s="2">
        <v>28</v>
      </c>
      <c r="D440" s="2"/>
      <c r="E440" s="2">
        <v>29</v>
      </c>
      <c r="F440" s="2"/>
      <c r="G440" s="2">
        <v>28</v>
      </c>
      <c r="H440" s="2"/>
      <c r="I440" s="2" t="s">
        <v>43</v>
      </c>
      <c r="J440" s="2"/>
      <c r="K440" s="2" t="s">
        <v>43</v>
      </c>
      <c r="L440" s="2"/>
      <c r="M440" s="2" t="s">
        <v>43</v>
      </c>
      <c r="N440" s="2"/>
      <c r="O440" s="2" t="s">
        <v>43</v>
      </c>
      <c r="P440" s="2"/>
      <c r="Q440" s="2" t="s">
        <v>43</v>
      </c>
      <c r="R440" s="2"/>
      <c r="S440" s="2" t="s">
        <v>43</v>
      </c>
      <c r="T440" s="2"/>
      <c r="U440" s="2" t="s">
        <v>43</v>
      </c>
      <c r="V440" s="2"/>
      <c r="W440" s="2" t="s">
        <v>43</v>
      </c>
      <c r="X440" s="2"/>
      <c r="Y440" s="2" t="s">
        <v>43</v>
      </c>
      <c r="Z440" s="2"/>
      <c r="AA440" s="2" t="s">
        <v>43</v>
      </c>
      <c r="AB440" s="2"/>
      <c r="AC440" s="2"/>
      <c r="AD440" s="2"/>
      <c r="AE440" s="2"/>
      <c r="AF440" s="2"/>
      <c r="AG440" s="2"/>
      <c r="AH440" s="2"/>
    </row>
    <row r="441" spans="1:34">
      <c r="A441" t="s">
        <v>735</v>
      </c>
      <c r="B441" t="s">
        <v>736</v>
      </c>
      <c r="C441" s="2" t="s">
        <v>43</v>
      </c>
      <c r="D441" s="2"/>
      <c r="E441" s="2" t="s">
        <v>43</v>
      </c>
      <c r="F441" s="2"/>
      <c r="G441" s="2">
        <v>49</v>
      </c>
      <c r="H441" s="2"/>
      <c r="I441" s="2">
        <v>46</v>
      </c>
      <c r="J441" s="2"/>
      <c r="K441" s="2">
        <v>40</v>
      </c>
      <c r="L441" s="2"/>
      <c r="M441" s="2">
        <v>45</v>
      </c>
      <c r="N441" s="2" t="s">
        <v>334</v>
      </c>
      <c r="O441" s="2">
        <v>38</v>
      </c>
      <c r="P441" s="2"/>
      <c r="Q441" s="2">
        <v>38</v>
      </c>
      <c r="R441" s="2"/>
      <c r="S441" s="2">
        <v>38</v>
      </c>
      <c r="T441" s="2"/>
      <c r="U441" s="2">
        <v>42</v>
      </c>
      <c r="V441" s="2" t="s">
        <v>334</v>
      </c>
      <c r="W441" s="2">
        <v>37</v>
      </c>
      <c r="X441" s="2"/>
      <c r="Y441" s="2">
        <v>38</v>
      </c>
      <c r="Z441" s="2"/>
      <c r="AA441" s="2">
        <v>41</v>
      </c>
      <c r="AB441" s="2"/>
      <c r="AC441" s="2">
        <v>50</v>
      </c>
      <c r="AD441" s="2"/>
      <c r="AE441" s="2">
        <v>53</v>
      </c>
      <c r="AF441" s="2"/>
      <c r="AG441" s="2">
        <v>54</v>
      </c>
      <c r="AH441" s="2"/>
    </row>
    <row r="442" spans="1:34">
      <c r="A442" t="s">
        <v>737</v>
      </c>
      <c r="B442" t="s">
        <v>738</v>
      </c>
      <c r="C442" s="2" t="s">
        <v>43</v>
      </c>
      <c r="D442" s="2"/>
      <c r="E442" s="2" t="s">
        <v>43</v>
      </c>
      <c r="F442" s="2"/>
      <c r="G442" s="2">
        <v>77</v>
      </c>
      <c r="H442" s="2"/>
      <c r="I442" s="2">
        <v>78</v>
      </c>
      <c r="J442" s="2"/>
      <c r="K442" s="2">
        <v>78</v>
      </c>
      <c r="L442" s="2"/>
      <c r="M442" s="2">
        <v>82</v>
      </c>
      <c r="N442" s="2" t="s">
        <v>334</v>
      </c>
      <c r="O442" s="2">
        <v>73</v>
      </c>
      <c r="P442" s="2"/>
      <c r="Q442" s="2">
        <v>69</v>
      </c>
      <c r="R442" s="2"/>
      <c r="S442" s="2">
        <v>68</v>
      </c>
      <c r="T442" s="2"/>
      <c r="U442" s="2">
        <v>65</v>
      </c>
      <c r="V442" s="2" t="s">
        <v>334</v>
      </c>
      <c r="W442" s="2">
        <v>60</v>
      </c>
      <c r="X442" s="2"/>
      <c r="Y442" s="2">
        <v>64</v>
      </c>
      <c r="Z442" s="2"/>
      <c r="AA442" s="2">
        <v>66</v>
      </c>
      <c r="AB442" s="2"/>
      <c r="AC442" s="2">
        <v>74</v>
      </c>
      <c r="AD442" s="2"/>
      <c r="AE442" s="2">
        <v>72</v>
      </c>
      <c r="AF442" s="2"/>
      <c r="AG442" s="2">
        <v>76</v>
      </c>
      <c r="AH442" s="2"/>
    </row>
    <row r="443" spans="1:34">
      <c r="A443" t="s">
        <v>739</v>
      </c>
      <c r="B443" t="s">
        <v>740</v>
      </c>
      <c r="C443" s="2" t="s">
        <v>43</v>
      </c>
      <c r="D443" s="2"/>
      <c r="E443" s="2" t="s">
        <v>43</v>
      </c>
      <c r="F443" s="2"/>
      <c r="G443" s="2">
        <v>53</v>
      </c>
      <c r="H443" s="2"/>
      <c r="I443" s="2">
        <v>52</v>
      </c>
      <c r="J443" s="2"/>
      <c r="K443" s="2">
        <v>47</v>
      </c>
      <c r="L443" s="2"/>
      <c r="M443" s="2">
        <v>54</v>
      </c>
      <c r="N443" s="2" t="s">
        <v>334</v>
      </c>
      <c r="O443" s="2">
        <v>54</v>
      </c>
      <c r="P443" s="2"/>
      <c r="Q443" s="2">
        <v>51</v>
      </c>
      <c r="R443" s="2"/>
      <c r="S443" s="2">
        <v>47</v>
      </c>
      <c r="T443" s="2"/>
      <c r="U443" s="2">
        <v>56</v>
      </c>
      <c r="V443" s="2" t="s">
        <v>334</v>
      </c>
      <c r="W443" s="2">
        <v>56</v>
      </c>
      <c r="X443" s="2"/>
      <c r="Y443" s="2">
        <v>53</v>
      </c>
      <c r="Z443" s="2"/>
      <c r="AA443" s="2">
        <v>57</v>
      </c>
      <c r="AB443" s="2"/>
      <c r="AC443" s="2">
        <v>64</v>
      </c>
      <c r="AD443" s="2"/>
      <c r="AE443" s="2">
        <v>71</v>
      </c>
      <c r="AF443" s="2"/>
      <c r="AG443" s="2">
        <v>72</v>
      </c>
      <c r="AH443" s="2"/>
    </row>
    <row r="444" spans="1:34">
      <c r="A444" t="s">
        <v>741</v>
      </c>
      <c r="B444" t="s">
        <v>742</v>
      </c>
      <c r="C444" s="2">
        <v>0</v>
      </c>
      <c r="D444" s="2"/>
      <c r="E444" s="2">
        <v>0</v>
      </c>
      <c r="F444" s="2"/>
      <c r="G444" s="2">
        <v>0</v>
      </c>
      <c r="H444" s="2"/>
      <c r="I444" s="2">
        <v>0</v>
      </c>
      <c r="J444" s="2"/>
      <c r="K444" s="2">
        <v>0</v>
      </c>
      <c r="L444" s="2"/>
      <c r="M444" s="2">
        <v>0</v>
      </c>
      <c r="N444" s="2" t="s">
        <v>334</v>
      </c>
      <c r="O444" s="2">
        <v>0</v>
      </c>
      <c r="P444" s="2"/>
      <c r="Q444" s="2">
        <v>0</v>
      </c>
      <c r="R444" s="2"/>
      <c r="S444" s="2">
        <v>0</v>
      </c>
      <c r="T444" s="2"/>
      <c r="U444" s="2">
        <v>0</v>
      </c>
      <c r="V444" s="2" t="s">
        <v>334</v>
      </c>
      <c r="W444" s="2">
        <v>0</v>
      </c>
      <c r="X444" s="2"/>
      <c r="Y444" s="2">
        <v>0</v>
      </c>
      <c r="Z444" s="2"/>
      <c r="AA444" s="2">
        <v>0</v>
      </c>
      <c r="AB444" s="2"/>
      <c r="AC444" s="2">
        <v>1</v>
      </c>
      <c r="AD444" s="2"/>
      <c r="AE444" s="2">
        <v>1</v>
      </c>
      <c r="AF444" s="2"/>
      <c r="AG444" s="2">
        <v>1</v>
      </c>
      <c r="AH444" s="2"/>
    </row>
    <row r="445" spans="1:34">
      <c r="A445" t="s">
        <v>743</v>
      </c>
      <c r="B445" t="s">
        <v>742</v>
      </c>
      <c r="C445" s="2">
        <v>0</v>
      </c>
      <c r="D445" s="2"/>
      <c r="E445" s="2">
        <v>0</v>
      </c>
      <c r="F445" s="2"/>
      <c r="G445" s="2">
        <v>0</v>
      </c>
      <c r="H445" s="2"/>
      <c r="I445" s="2">
        <v>0</v>
      </c>
      <c r="J445" s="2"/>
      <c r="K445" s="2">
        <v>0</v>
      </c>
      <c r="L445" s="2"/>
      <c r="M445" s="2">
        <v>0</v>
      </c>
      <c r="N445" s="2" t="s">
        <v>334</v>
      </c>
      <c r="O445" s="2">
        <v>0</v>
      </c>
      <c r="P445" s="2"/>
      <c r="Q445" s="2">
        <v>0</v>
      </c>
      <c r="R445" s="2"/>
      <c r="S445" s="2">
        <v>0</v>
      </c>
      <c r="T445" s="2"/>
      <c r="U445" s="2">
        <v>0</v>
      </c>
      <c r="V445" s="2" t="s">
        <v>334</v>
      </c>
      <c r="W445" s="2">
        <v>0</v>
      </c>
      <c r="X445" s="2"/>
      <c r="Y445" s="2">
        <v>0</v>
      </c>
      <c r="Z445" s="2"/>
      <c r="AA445" s="2">
        <v>0</v>
      </c>
      <c r="AB445" s="2"/>
      <c r="AC445" s="2">
        <v>1</v>
      </c>
      <c r="AD445" s="2"/>
      <c r="AE445" s="2">
        <v>1</v>
      </c>
      <c r="AF445" s="2"/>
      <c r="AG445" s="2">
        <v>1</v>
      </c>
      <c r="AH445" s="2"/>
    </row>
    <row r="446" spans="1:34">
      <c r="A446" t="s">
        <v>1022</v>
      </c>
      <c r="B446" t="s">
        <v>68</v>
      </c>
      <c r="C446" s="2" t="s">
        <v>43</v>
      </c>
      <c r="D446" s="2"/>
      <c r="E446" s="2" t="s">
        <v>43</v>
      </c>
      <c r="F446" s="2"/>
      <c r="G446" s="2" t="s">
        <v>43</v>
      </c>
      <c r="H446" s="2"/>
      <c r="I446" s="2" t="s">
        <v>43</v>
      </c>
      <c r="J446" s="2"/>
      <c r="K446" s="2" t="s">
        <v>43</v>
      </c>
      <c r="L446" s="2"/>
      <c r="M446" s="2" t="s">
        <v>43</v>
      </c>
      <c r="N446" s="2" t="s">
        <v>334</v>
      </c>
      <c r="O446" s="2" t="s">
        <v>43</v>
      </c>
      <c r="P446" s="2"/>
      <c r="Q446" s="2" t="s">
        <v>43</v>
      </c>
      <c r="R446" s="2"/>
      <c r="S446" s="2" t="s">
        <v>43</v>
      </c>
      <c r="T446" s="2"/>
      <c r="U446" s="2" t="s">
        <v>43</v>
      </c>
      <c r="V446" s="2" t="s">
        <v>334</v>
      </c>
      <c r="W446" s="2" t="s">
        <v>43</v>
      </c>
      <c r="X446" s="2"/>
      <c r="Y446" s="2" t="s">
        <v>43</v>
      </c>
      <c r="Z446" s="2"/>
      <c r="AA446" s="2" t="s">
        <v>43</v>
      </c>
      <c r="AB446" s="2"/>
      <c r="AC446" s="2"/>
      <c r="AD446" s="2"/>
      <c r="AE446" s="2"/>
      <c r="AF446" s="2"/>
      <c r="AG446" s="2"/>
      <c r="AH446" s="2"/>
    </row>
    <row r="447" spans="1:34">
      <c r="A447" t="s">
        <v>1023</v>
      </c>
      <c r="B447" t="s">
        <v>70</v>
      </c>
      <c r="C447" s="2" t="s">
        <v>43</v>
      </c>
      <c r="D447" s="2"/>
      <c r="E447" s="2" t="s">
        <v>43</v>
      </c>
      <c r="F447" s="2"/>
      <c r="G447" s="2" t="s">
        <v>43</v>
      </c>
      <c r="H447" s="2"/>
      <c r="I447" s="2" t="s">
        <v>43</v>
      </c>
      <c r="J447" s="2"/>
      <c r="K447" s="2" t="s">
        <v>43</v>
      </c>
      <c r="L447" s="2"/>
      <c r="M447" s="2" t="s">
        <v>43</v>
      </c>
      <c r="N447" s="2" t="s">
        <v>334</v>
      </c>
      <c r="O447" s="2" t="s">
        <v>43</v>
      </c>
      <c r="P447" s="2"/>
      <c r="Q447" s="2" t="s">
        <v>43</v>
      </c>
      <c r="R447" s="2"/>
      <c r="S447" s="2" t="s">
        <v>43</v>
      </c>
      <c r="T447" s="2"/>
      <c r="U447" s="2" t="s">
        <v>43</v>
      </c>
      <c r="V447" s="2" t="s">
        <v>334</v>
      </c>
      <c r="W447" s="2" t="s">
        <v>43</v>
      </c>
      <c r="X447" s="2"/>
      <c r="Y447" s="2" t="s">
        <v>43</v>
      </c>
      <c r="Z447" s="2"/>
      <c r="AA447" s="2" t="s">
        <v>43</v>
      </c>
      <c r="AB447" s="2"/>
      <c r="AC447" s="2"/>
      <c r="AD447" s="2"/>
      <c r="AE447" s="2"/>
      <c r="AF447" s="2"/>
      <c r="AG447" s="2"/>
      <c r="AH447" s="2"/>
    </row>
    <row r="448" spans="1:34">
      <c r="A448" t="s">
        <v>744</v>
      </c>
      <c r="B448" t="s">
        <v>745</v>
      </c>
      <c r="C448" s="2">
        <v>1146</v>
      </c>
      <c r="D448" s="2"/>
      <c r="E448" s="2">
        <v>1150</v>
      </c>
      <c r="F448" s="2"/>
      <c r="G448" s="2">
        <v>1148</v>
      </c>
      <c r="H448" s="2"/>
      <c r="I448" s="2">
        <v>1154</v>
      </c>
      <c r="J448" s="2"/>
      <c r="K448" s="2">
        <v>1157</v>
      </c>
      <c r="L448" s="2"/>
      <c r="M448" s="2">
        <v>1137</v>
      </c>
      <c r="N448" s="2"/>
      <c r="O448" s="2">
        <v>1149</v>
      </c>
      <c r="P448" s="2"/>
      <c r="Q448" s="2">
        <v>1123</v>
      </c>
      <c r="R448" s="2"/>
      <c r="S448" s="2">
        <v>1119</v>
      </c>
      <c r="T448" s="2"/>
      <c r="U448" s="2">
        <v>1122</v>
      </c>
      <c r="V448" s="2"/>
      <c r="W448" s="2">
        <v>1412</v>
      </c>
      <c r="X448" s="2" t="s">
        <v>334</v>
      </c>
      <c r="Y448" s="2">
        <v>1375</v>
      </c>
      <c r="Z448" s="2"/>
      <c r="AA448" s="2">
        <v>1413</v>
      </c>
      <c r="AB448" s="2"/>
      <c r="AC448" s="2">
        <v>1483</v>
      </c>
      <c r="AD448" s="2"/>
      <c r="AE448" s="2">
        <v>1603</v>
      </c>
      <c r="AF448" s="2"/>
      <c r="AG448" s="2">
        <v>1681</v>
      </c>
      <c r="AH448" s="2"/>
    </row>
    <row r="449" spans="1:34">
      <c r="A449" t="s">
        <v>746</v>
      </c>
      <c r="B449" t="s">
        <v>747</v>
      </c>
      <c r="C449" s="2">
        <v>329</v>
      </c>
      <c r="D449" s="2"/>
      <c r="E449" s="2">
        <v>334</v>
      </c>
      <c r="F449" s="2"/>
      <c r="G449" s="2">
        <v>334</v>
      </c>
      <c r="H449" s="2"/>
      <c r="I449" s="2">
        <v>329</v>
      </c>
      <c r="J449" s="2"/>
      <c r="K449" s="2">
        <v>325</v>
      </c>
      <c r="L449" s="2"/>
      <c r="M449" s="2">
        <v>316</v>
      </c>
      <c r="N449" s="2"/>
      <c r="O449" s="2">
        <v>330</v>
      </c>
      <c r="P449" s="2"/>
      <c r="Q449" s="2">
        <v>320</v>
      </c>
      <c r="R449" s="2"/>
      <c r="S449" s="2">
        <v>310</v>
      </c>
      <c r="T449" s="2"/>
      <c r="U449" s="2">
        <v>312</v>
      </c>
      <c r="V449" s="2"/>
      <c r="W449" s="2">
        <v>397</v>
      </c>
      <c r="X449" s="2"/>
      <c r="Y449" s="2">
        <v>381</v>
      </c>
      <c r="Z449" s="2"/>
      <c r="AA449" s="2">
        <v>381</v>
      </c>
      <c r="AB449" s="2"/>
      <c r="AC449" s="2">
        <v>418</v>
      </c>
      <c r="AD449" s="2"/>
      <c r="AE449" s="2">
        <v>443</v>
      </c>
      <c r="AF449" s="2"/>
      <c r="AG449" s="2">
        <v>497</v>
      </c>
      <c r="AH449" s="2"/>
    </row>
    <row r="450" spans="1:34">
      <c r="A450" t="s">
        <v>748</v>
      </c>
      <c r="B450" t="s">
        <v>749</v>
      </c>
      <c r="C450" s="2">
        <v>154</v>
      </c>
      <c r="D450" s="2"/>
      <c r="E450" s="2">
        <v>157</v>
      </c>
      <c r="F450" s="2"/>
      <c r="G450" s="2">
        <v>163</v>
      </c>
      <c r="H450" s="2"/>
      <c r="I450" s="2">
        <v>157</v>
      </c>
      <c r="J450" s="2"/>
      <c r="K450" s="2">
        <v>157</v>
      </c>
      <c r="L450" s="2"/>
      <c r="M450" s="2">
        <v>155</v>
      </c>
      <c r="N450" s="2"/>
      <c r="O450" s="2" t="s">
        <v>43</v>
      </c>
      <c r="P450" s="2" t="s">
        <v>44</v>
      </c>
      <c r="Q450" s="2">
        <v>149</v>
      </c>
      <c r="R450" s="2"/>
      <c r="S450" s="2">
        <v>145</v>
      </c>
      <c r="T450" s="2"/>
      <c r="U450" s="2">
        <v>148</v>
      </c>
      <c r="V450" s="2"/>
      <c r="W450" s="2">
        <v>196</v>
      </c>
      <c r="X450" s="2"/>
      <c r="Y450" s="2">
        <v>182</v>
      </c>
      <c r="Z450" s="2"/>
      <c r="AA450" s="2">
        <v>180</v>
      </c>
      <c r="AB450" s="2"/>
      <c r="AC450" s="2">
        <v>198</v>
      </c>
      <c r="AD450" s="2"/>
      <c r="AE450" s="2">
        <v>217</v>
      </c>
      <c r="AF450" s="2"/>
      <c r="AG450" s="2">
        <v>255</v>
      </c>
      <c r="AH450" s="2"/>
    </row>
    <row r="451" spans="1:34">
      <c r="A451" t="s">
        <v>750</v>
      </c>
      <c r="B451" t="s">
        <v>751</v>
      </c>
      <c r="C451" s="2">
        <v>175</v>
      </c>
      <c r="D451" s="2"/>
      <c r="E451" s="2">
        <v>177</v>
      </c>
      <c r="F451" s="2"/>
      <c r="G451" s="2">
        <v>171</v>
      </c>
      <c r="H451" s="2"/>
      <c r="I451" s="2">
        <v>172</v>
      </c>
      <c r="J451" s="2"/>
      <c r="K451" s="2">
        <v>168</v>
      </c>
      <c r="L451" s="2"/>
      <c r="M451" s="2">
        <v>161</v>
      </c>
      <c r="N451" s="2"/>
      <c r="O451" s="2" t="s">
        <v>43</v>
      </c>
      <c r="P451" s="2" t="s">
        <v>44</v>
      </c>
      <c r="Q451" s="2">
        <v>171</v>
      </c>
      <c r="R451" s="2"/>
      <c r="S451" s="2">
        <v>165</v>
      </c>
      <c r="T451" s="2"/>
      <c r="U451" s="2">
        <v>164</v>
      </c>
      <c r="V451" s="2"/>
      <c r="W451" s="2">
        <v>201</v>
      </c>
      <c r="X451" s="2"/>
      <c r="Y451" s="2">
        <v>199</v>
      </c>
      <c r="Z451" s="2"/>
      <c r="AA451" s="2">
        <v>201</v>
      </c>
      <c r="AB451" s="2"/>
      <c r="AC451" s="2">
        <v>220</v>
      </c>
      <c r="AD451" s="2"/>
      <c r="AE451" s="2">
        <v>226</v>
      </c>
      <c r="AF451" s="2"/>
      <c r="AG451" s="2">
        <v>242</v>
      </c>
      <c r="AH451" s="2"/>
    </row>
    <row r="452" spans="1:34">
      <c r="A452" t="s">
        <v>752</v>
      </c>
      <c r="B452" t="s">
        <v>753</v>
      </c>
      <c r="C452" s="2">
        <v>556</v>
      </c>
      <c r="D452" s="2"/>
      <c r="E452" s="2">
        <v>569</v>
      </c>
      <c r="F452" s="2"/>
      <c r="G452" s="2">
        <v>564</v>
      </c>
      <c r="H452" s="2"/>
      <c r="I452" s="2">
        <v>571</v>
      </c>
      <c r="J452" s="2"/>
      <c r="K452" s="2">
        <v>576</v>
      </c>
      <c r="L452" s="2"/>
      <c r="M452" s="2">
        <v>563</v>
      </c>
      <c r="N452" s="2"/>
      <c r="O452" s="2">
        <v>555</v>
      </c>
      <c r="P452" s="2"/>
      <c r="Q452" s="2">
        <v>539</v>
      </c>
      <c r="R452" s="2"/>
      <c r="S452" s="2">
        <v>540</v>
      </c>
      <c r="T452" s="2"/>
      <c r="U452" s="2">
        <v>537</v>
      </c>
      <c r="V452" s="2"/>
      <c r="W452" s="2">
        <v>725</v>
      </c>
      <c r="X452" s="2"/>
      <c r="Y452" s="2">
        <v>715</v>
      </c>
      <c r="Z452" s="2"/>
      <c r="AA452" s="2">
        <v>752</v>
      </c>
      <c r="AB452" s="2"/>
      <c r="AC452" s="2">
        <v>784</v>
      </c>
      <c r="AD452" s="2"/>
      <c r="AE452" s="2">
        <v>865</v>
      </c>
      <c r="AF452" s="2"/>
      <c r="AG452" s="2">
        <v>888</v>
      </c>
      <c r="AH452" s="2"/>
    </row>
    <row r="453" spans="1:34">
      <c r="A453" t="s">
        <v>754</v>
      </c>
      <c r="B453" t="s">
        <v>755</v>
      </c>
      <c r="C453" s="2">
        <v>141</v>
      </c>
      <c r="D453" s="2"/>
      <c r="E453" s="2">
        <v>139</v>
      </c>
      <c r="F453" s="2"/>
      <c r="G453" s="2">
        <v>137</v>
      </c>
      <c r="H453" s="2"/>
      <c r="I453" s="2">
        <v>145</v>
      </c>
      <c r="J453" s="2"/>
      <c r="K453" s="2">
        <v>139</v>
      </c>
      <c r="L453" s="2"/>
      <c r="M453" s="2">
        <v>134</v>
      </c>
      <c r="N453" s="2"/>
      <c r="O453" s="2">
        <v>130</v>
      </c>
      <c r="P453" s="2"/>
      <c r="Q453" s="2">
        <v>129</v>
      </c>
      <c r="R453" s="2"/>
      <c r="S453" s="2">
        <v>129</v>
      </c>
      <c r="T453" s="2"/>
      <c r="U453" s="2">
        <v>129</v>
      </c>
      <c r="V453" s="2"/>
      <c r="W453" s="2">
        <v>165</v>
      </c>
      <c r="X453" s="2"/>
      <c r="Y453" s="2">
        <v>164</v>
      </c>
      <c r="Z453" s="2"/>
      <c r="AA453" s="2">
        <v>166</v>
      </c>
      <c r="AB453" s="2"/>
      <c r="AC453" s="2">
        <v>165</v>
      </c>
      <c r="AD453" s="2"/>
      <c r="AE453" s="2">
        <v>182</v>
      </c>
      <c r="AF453" s="2"/>
      <c r="AG453" s="2">
        <v>204</v>
      </c>
      <c r="AH453" s="2"/>
    </row>
    <row r="454" spans="1:34">
      <c r="A454" t="s">
        <v>756</v>
      </c>
      <c r="B454" t="s">
        <v>757</v>
      </c>
      <c r="C454" s="2">
        <v>129</v>
      </c>
      <c r="D454" s="2"/>
      <c r="E454" s="2">
        <v>142</v>
      </c>
      <c r="F454" s="2"/>
      <c r="G454" s="2">
        <v>145</v>
      </c>
      <c r="H454" s="2"/>
      <c r="I454" s="2">
        <v>142</v>
      </c>
      <c r="J454" s="2"/>
      <c r="K454" s="2">
        <v>149</v>
      </c>
      <c r="L454" s="2"/>
      <c r="M454" s="2">
        <v>148</v>
      </c>
      <c r="N454" s="2"/>
      <c r="O454" s="2">
        <v>138</v>
      </c>
      <c r="P454" s="2"/>
      <c r="Q454" s="2">
        <v>136</v>
      </c>
      <c r="R454" s="2"/>
      <c r="S454" s="2">
        <v>135</v>
      </c>
      <c r="T454" s="2"/>
      <c r="U454" s="2">
        <v>133</v>
      </c>
      <c r="V454" s="2"/>
      <c r="W454" s="2">
        <v>188</v>
      </c>
      <c r="X454" s="2"/>
      <c r="Y454" s="2">
        <v>183</v>
      </c>
      <c r="Z454" s="2"/>
      <c r="AA454" s="2">
        <v>198</v>
      </c>
      <c r="AB454" s="2"/>
      <c r="AC454" s="2">
        <v>211</v>
      </c>
      <c r="AD454" s="2"/>
      <c r="AE454" s="2">
        <v>237</v>
      </c>
      <c r="AF454" s="2"/>
      <c r="AG454" s="2">
        <v>244</v>
      </c>
      <c r="AH454" s="2"/>
    </row>
    <row r="455" spans="1:34">
      <c r="A455" t="s">
        <v>758</v>
      </c>
      <c r="B455" t="s">
        <v>759</v>
      </c>
      <c r="C455" s="2">
        <v>286</v>
      </c>
      <c r="D455" s="2"/>
      <c r="E455" s="2">
        <v>288</v>
      </c>
      <c r="F455" s="2"/>
      <c r="G455" s="2">
        <v>282</v>
      </c>
      <c r="H455" s="2"/>
      <c r="I455" s="2">
        <v>284</v>
      </c>
      <c r="J455" s="2"/>
      <c r="K455" s="2">
        <v>288</v>
      </c>
      <c r="L455" s="2"/>
      <c r="M455" s="2">
        <v>281</v>
      </c>
      <c r="N455" s="2"/>
      <c r="O455" s="2">
        <v>287</v>
      </c>
      <c r="P455" s="2"/>
      <c r="Q455" s="2">
        <v>274</v>
      </c>
      <c r="R455" s="2"/>
      <c r="S455" s="2">
        <v>276</v>
      </c>
      <c r="T455" s="2"/>
      <c r="U455" s="2">
        <v>275</v>
      </c>
      <c r="V455" s="2"/>
      <c r="W455" s="2">
        <v>372</v>
      </c>
      <c r="X455" s="2"/>
      <c r="Y455" s="2">
        <v>368</v>
      </c>
      <c r="Z455" s="2"/>
      <c r="AA455" s="2">
        <v>388</v>
      </c>
      <c r="AB455" s="2"/>
      <c r="AC455" s="2">
        <v>408</v>
      </c>
      <c r="AD455" s="2"/>
      <c r="AE455" s="2">
        <v>446</v>
      </c>
      <c r="AF455" s="2"/>
      <c r="AG455" s="2">
        <v>440</v>
      </c>
      <c r="AH455" s="2"/>
    </row>
    <row r="456" spans="1:34">
      <c r="A456" t="s">
        <v>760</v>
      </c>
      <c r="B456" t="s">
        <v>761</v>
      </c>
      <c r="C456" s="2">
        <v>261</v>
      </c>
      <c r="D456" s="2"/>
      <c r="E456" s="2">
        <v>247</v>
      </c>
      <c r="F456" s="2"/>
      <c r="G456" s="2">
        <v>250</v>
      </c>
      <c r="H456" s="2"/>
      <c r="I456" s="2">
        <v>254</v>
      </c>
      <c r="J456" s="2"/>
      <c r="K456" s="2">
        <v>256</v>
      </c>
      <c r="L456" s="2"/>
      <c r="M456" s="2">
        <v>258</v>
      </c>
      <c r="N456" s="2"/>
      <c r="O456" s="2">
        <v>264</v>
      </c>
      <c r="P456" s="2"/>
      <c r="Q456" s="2">
        <v>264</v>
      </c>
      <c r="R456" s="2"/>
      <c r="S456" s="2">
        <v>269</v>
      </c>
      <c r="T456" s="2"/>
      <c r="U456" s="2">
        <v>273</v>
      </c>
      <c r="V456" s="2"/>
      <c r="W456" s="2">
        <v>290</v>
      </c>
      <c r="X456" s="2"/>
      <c r="Y456" s="2">
        <v>279</v>
      </c>
      <c r="Z456" s="2"/>
      <c r="AA456" s="2">
        <v>280</v>
      </c>
      <c r="AB456" s="2"/>
      <c r="AC456" s="2">
        <v>281</v>
      </c>
      <c r="AD456" s="2"/>
      <c r="AE456" s="2">
        <v>295</v>
      </c>
      <c r="AF456" s="2"/>
      <c r="AG456" s="2">
        <v>296</v>
      </c>
      <c r="AH456" s="2"/>
    </row>
    <row r="457" spans="1:34">
      <c r="A457" t="s">
        <v>762</v>
      </c>
      <c r="B457" t="s">
        <v>763</v>
      </c>
      <c r="C457" s="2">
        <v>138</v>
      </c>
      <c r="D457" s="2"/>
      <c r="E457" s="2">
        <v>131</v>
      </c>
      <c r="F457" s="2"/>
      <c r="G457" s="2">
        <v>124</v>
      </c>
      <c r="H457" s="2"/>
      <c r="I457" s="2">
        <v>131</v>
      </c>
      <c r="J457" s="2"/>
      <c r="K457" s="2">
        <v>133</v>
      </c>
      <c r="L457" s="2"/>
      <c r="M457" s="2">
        <v>133</v>
      </c>
      <c r="N457" s="2"/>
      <c r="O457" s="2">
        <v>137</v>
      </c>
      <c r="P457" s="2"/>
      <c r="Q457" s="2">
        <v>140</v>
      </c>
      <c r="R457" s="2"/>
      <c r="S457" s="2">
        <v>137</v>
      </c>
      <c r="T457" s="2"/>
      <c r="U457" s="2">
        <v>140</v>
      </c>
      <c r="V457" s="2"/>
      <c r="W457" s="2">
        <v>147</v>
      </c>
      <c r="X457" s="2"/>
      <c r="Y457" s="2">
        <v>145</v>
      </c>
      <c r="Z457" s="2"/>
      <c r="AA457" s="2">
        <v>139</v>
      </c>
      <c r="AB457" s="2"/>
      <c r="AC457" s="2">
        <v>147</v>
      </c>
      <c r="AD457" s="2"/>
      <c r="AE457" s="2">
        <v>168</v>
      </c>
      <c r="AF457" s="2"/>
      <c r="AG457" s="2">
        <v>168</v>
      </c>
      <c r="AH457" s="2"/>
    </row>
    <row r="458" spans="1:34">
      <c r="A458" t="s">
        <v>764</v>
      </c>
      <c r="B458" t="s">
        <v>765</v>
      </c>
      <c r="C458" s="2">
        <v>34</v>
      </c>
      <c r="D458" s="2"/>
      <c r="E458" s="2">
        <v>34</v>
      </c>
      <c r="F458" s="2"/>
      <c r="G458" s="2">
        <v>39</v>
      </c>
      <c r="H458" s="2"/>
      <c r="I458" s="2">
        <v>38</v>
      </c>
      <c r="J458" s="2"/>
      <c r="K458" s="2">
        <v>38</v>
      </c>
      <c r="L458" s="2"/>
      <c r="M458" s="2">
        <v>42</v>
      </c>
      <c r="N458" s="2"/>
      <c r="O458" s="2">
        <v>42</v>
      </c>
      <c r="P458" s="2"/>
      <c r="Q458" s="2">
        <v>42</v>
      </c>
      <c r="R458" s="2"/>
      <c r="S458" s="2">
        <v>43</v>
      </c>
      <c r="T458" s="2"/>
      <c r="U458" s="2">
        <v>45</v>
      </c>
      <c r="V458" s="2"/>
      <c r="W458" s="2">
        <v>50</v>
      </c>
      <c r="X458" s="2"/>
      <c r="Y458" s="2">
        <v>45</v>
      </c>
      <c r="Z458" s="2"/>
      <c r="AA458" s="2">
        <v>46</v>
      </c>
      <c r="AB458" s="2"/>
      <c r="AC458" s="2">
        <v>44</v>
      </c>
      <c r="AD458" s="2"/>
      <c r="AE458" s="2">
        <v>41</v>
      </c>
      <c r="AF458" s="2"/>
      <c r="AG458" s="2">
        <v>51</v>
      </c>
      <c r="AH458" s="2"/>
    </row>
    <row r="459" spans="1:34">
      <c r="A459" t="s">
        <v>766</v>
      </c>
      <c r="B459" t="s">
        <v>767</v>
      </c>
      <c r="C459" s="2">
        <v>89</v>
      </c>
      <c r="D459" s="2"/>
      <c r="E459" s="2">
        <v>82</v>
      </c>
      <c r="F459" s="2"/>
      <c r="G459" s="2">
        <v>87</v>
      </c>
      <c r="H459" s="2"/>
      <c r="I459" s="2">
        <v>85</v>
      </c>
      <c r="J459" s="2"/>
      <c r="K459" s="2">
        <v>85</v>
      </c>
      <c r="L459" s="2"/>
      <c r="M459" s="2">
        <v>83</v>
      </c>
      <c r="N459" s="2"/>
      <c r="O459" s="2">
        <v>85</v>
      </c>
      <c r="P459" s="2"/>
      <c r="Q459" s="2">
        <v>82</v>
      </c>
      <c r="R459" s="2"/>
      <c r="S459" s="2">
        <v>89</v>
      </c>
      <c r="T459" s="2"/>
      <c r="U459" s="2">
        <v>88</v>
      </c>
      <c r="V459" s="2"/>
      <c r="W459" s="2">
        <v>93</v>
      </c>
      <c r="X459" s="2"/>
      <c r="Y459" s="2">
        <v>89</v>
      </c>
      <c r="Z459" s="2"/>
      <c r="AA459" s="2">
        <v>95</v>
      </c>
      <c r="AB459" s="2"/>
      <c r="AC459" s="2">
        <v>90</v>
      </c>
      <c r="AD459" s="2"/>
      <c r="AE459" s="2">
        <v>86</v>
      </c>
      <c r="AF459" s="2"/>
      <c r="AG459" s="2">
        <v>77</v>
      </c>
      <c r="AH459" s="2"/>
    </row>
    <row r="460" spans="1:34">
      <c r="A460" t="s">
        <v>1024</v>
      </c>
      <c r="B460" t="s">
        <v>68</v>
      </c>
      <c r="C460" s="2">
        <v>0</v>
      </c>
      <c r="D460" s="2"/>
      <c r="E460" s="2" t="s">
        <v>43</v>
      </c>
      <c r="F460" s="2"/>
      <c r="G460" s="2" t="s">
        <v>43</v>
      </c>
      <c r="H460" s="2"/>
      <c r="I460" s="2" t="s">
        <v>43</v>
      </c>
      <c r="J460" s="2"/>
      <c r="K460" s="2" t="s">
        <v>43</v>
      </c>
      <c r="L460" s="2"/>
      <c r="M460" s="2" t="s">
        <v>43</v>
      </c>
      <c r="N460" s="2"/>
      <c r="O460" s="2" t="s">
        <v>43</v>
      </c>
      <c r="P460" s="2"/>
      <c r="Q460" s="2" t="s">
        <v>43</v>
      </c>
      <c r="R460" s="2"/>
      <c r="S460" s="2" t="s">
        <v>43</v>
      </c>
      <c r="T460" s="2"/>
      <c r="U460" s="2" t="s">
        <v>43</v>
      </c>
      <c r="V460" s="2"/>
      <c r="W460" s="2" t="s">
        <v>43</v>
      </c>
      <c r="X460" s="2"/>
      <c r="Y460" s="2" t="s">
        <v>43</v>
      </c>
      <c r="Z460" s="2"/>
      <c r="AA460" s="2" t="s">
        <v>43</v>
      </c>
      <c r="AB460" s="2"/>
      <c r="AC460" s="2"/>
      <c r="AD460" s="2"/>
      <c r="AE460" s="2"/>
      <c r="AF460" s="2"/>
      <c r="AG460" s="2"/>
      <c r="AH460" s="2"/>
    </row>
    <row r="461" spans="1:34">
      <c r="A461" t="s">
        <v>1025</v>
      </c>
      <c r="B461" t="s">
        <v>70</v>
      </c>
      <c r="C461" s="2">
        <v>0</v>
      </c>
      <c r="D461" s="2"/>
      <c r="E461" s="2" t="s">
        <v>43</v>
      </c>
      <c r="F461" s="2"/>
      <c r="G461" s="2" t="s">
        <v>43</v>
      </c>
      <c r="H461" s="2"/>
      <c r="I461" s="2" t="s">
        <v>43</v>
      </c>
      <c r="J461" s="2"/>
      <c r="K461" s="2" t="s">
        <v>43</v>
      </c>
      <c r="L461" s="2"/>
      <c r="M461" s="2" t="s">
        <v>43</v>
      </c>
      <c r="N461" s="2"/>
      <c r="O461" s="2" t="s">
        <v>43</v>
      </c>
      <c r="P461" s="2"/>
      <c r="Q461" s="2" t="s">
        <v>43</v>
      </c>
      <c r="R461" s="2"/>
      <c r="S461" s="2" t="s">
        <v>43</v>
      </c>
      <c r="T461" s="2"/>
      <c r="U461" s="2" t="s">
        <v>43</v>
      </c>
      <c r="V461" s="2"/>
      <c r="W461" s="2" t="s">
        <v>43</v>
      </c>
      <c r="X461" s="2"/>
      <c r="Y461" s="2" t="s">
        <v>43</v>
      </c>
      <c r="Z461" s="2"/>
      <c r="AA461" s="2" t="s">
        <v>43</v>
      </c>
      <c r="AB461" s="2"/>
      <c r="AC461" s="2"/>
      <c r="AD461" s="2"/>
      <c r="AE461" s="2"/>
      <c r="AF461" s="2"/>
      <c r="AG461" s="2"/>
      <c r="AH461" s="2"/>
    </row>
    <row r="462" spans="1:34">
      <c r="A462" t="s">
        <v>768</v>
      </c>
      <c r="B462" t="s">
        <v>769</v>
      </c>
      <c r="C462" s="2" t="s">
        <v>43</v>
      </c>
      <c r="D462" s="2"/>
      <c r="E462" s="2" t="s">
        <v>43</v>
      </c>
      <c r="F462" s="2"/>
      <c r="G462" s="2" t="s">
        <v>43</v>
      </c>
      <c r="H462" s="2"/>
      <c r="I462" s="2" t="s">
        <v>43</v>
      </c>
      <c r="J462" s="2"/>
      <c r="K462" s="2" t="s">
        <v>43</v>
      </c>
      <c r="L462" s="2"/>
      <c r="M462" s="2" t="s">
        <v>43</v>
      </c>
      <c r="N462" s="2"/>
      <c r="O462" s="2" t="s">
        <v>43</v>
      </c>
      <c r="P462" s="2"/>
      <c r="Q462" s="2" t="s">
        <v>43</v>
      </c>
      <c r="R462" s="2" t="s">
        <v>846</v>
      </c>
      <c r="S462" s="2">
        <v>20</v>
      </c>
      <c r="T462" s="2" t="s">
        <v>846</v>
      </c>
      <c r="U462" s="2">
        <v>19</v>
      </c>
      <c r="V462" s="2" t="s">
        <v>846</v>
      </c>
      <c r="W462" s="2">
        <v>17</v>
      </c>
      <c r="X462" s="2"/>
      <c r="Y462" s="2" t="s">
        <v>43</v>
      </c>
      <c r="Z462" s="2"/>
      <c r="AA462" s="2" t="s">
        <v>43</v>
      </c>
      <c r="AB462" s="2"/>
      <c r="AC462" s="2" t="s">
        <v>43</v>
      </c>
      <c r="AD462" s="2"/>
      <c r="AE462" s="2">
        <v>16</v>
      </c>
      <c r="AF462" s="2"/>
      <c r="AG462" s="2">
        <v>16</v>
      </c>
      <c r="AH462" s="2"/>
    </row>
    <row r="463" spans="1:34">
      <c r="A463" t="s">
        <v>770</v>
      </c>
      <c r="B463" t="s">
        <v>771</v>
      </c>
      <c r="C463" s="2" t="s">
        <v>43</v>
      </c>
      <c r="D463" s="2"/>
      <c r="E463" s="2" t="s">
        <v>43</v>
      </c>
      <c r="F463" s="2"/>
      <c r="G463" s="2" t="s">
        <v>43</v>
      </c>
      <c r="H463" s="2"/>
      <c r="I463" s="2" t="s">
        <v>43</v>
      </c>
      <c r="J463" s="2"/>
      <c r="K463" s="2" t="s">
        <v>43</v>
      </c>
      <c r="L463" s="2"/>
      <c r="M463" s="2" t="s">
        <v>43</v>
      </c>
      <c r="N463" s="2"/>
      <c r="O463" s="2" t="s">
        <v>43</v>
      </c>
      <c r="P463" s="2"/>
      <c r="Q463" s="2" t="s">
        <v>43</v>
      </c>
      <c r="R463" s="2" t="s">
        <v>846</v>
      </c>
      <c r="S463" s="2">
        <v>20</v>
      </c>
      <c r="T463" s="2" t="s">
        <v>846</v>
      </c>
      <c r="U463" s="2">
        <v>19</v>
      </c>
      <c r="V463" s="2" t="s">
        <v>846</v>
      </c>
      <c r="W463" s="2">
        <v>17</v>
      </c>
      <c r="X463" s="2"/>
      <c r="Y463" s="2" t="s">
        <v>43</v>
      </c>
      <c r="Z463" s="2"/>
      <c r="AA463" s="2" t="s">
        <v>43</v>
      </c>
      <c r="AB463" s="2"/>
      <c r="AC463" s="2" t="s">
        <v>43</v>
      </c>
      <c r="AD463" s="2"/>
      <c r="AE463" s="2">
        <v>16</v>
      </c>
      <c r="AF463" s="2"/>
      <c r="AG463" s="2" t="s">
        <v>43</v>
      </c>
      <c r="AH463" s="2"/>
    </row>
    <row r="464" spans="1:34">
      <c r="A464" t="s">
        <v>772</v>
      </c>
      <c r="B464" t="s">
        <v>771</v>
      </c>
      <c r="C464" s="2" t="s">
        <v>43</v>
      </c>
      <c r="D464" s="2"/>
      <c r="E464" s="2" t="s">
        <v>43</v>
      </c>
      <c r="F464" s="2"/>
      <c r="G464" s="2" t="s">
        <v>43</v>
      </c>
      <c r="H464" s="2"/>
      <c r="I464" s="2" t="s">
        <v>43</v>
      </c>
      <c r="J464" s="2"/>
      <c r="K464" s="2" t="s">
        <v>43</v>
      </c>
      <c r="L464" s="2"/>
      <c r="M464" s="2" t="s">
        <v>43</v>
      </c>
      <c r="N464" s="2"/>
      <c r="O464" s="2" t="s">
        <v>43</v>
      </c>
      <c r="P464" s="2"/>
      <c r="Q464" s="2" t="s">
        <v>43</v>
      </c>
      <c r="R464" s="2" t="s">
        <v>846</v>
      </c>
      <c r="S464" s="2">
        <v>20</v>
      </c>
      <c r="T464" s="2" t="s">
        <v>846</v>
      </c>
      <c r="U464" s="2">
        <v>19</v>
      </c>
      <c r="V464" s="2" t="s">
        <v>846</v>
      </c>
      <c r="W464" s="2">
        <v>17</v>
      </c>
      <c r="X464" s="2"/>
      <c r="Y464" s="2" t="s">
        <v>43</v>
      </c>
      <c r="Z464" s="2"/>
      <c r="AA464" s="2" t="s">
        <v>43</v>
      </c>
      <c r="AB464" s="2"/>
      <c r="AC464" s="2" t="s">
        <v>43</v>
      </c>
      <c r="AD464" s="2"/>
      <c r="AE464" s="2">
        <v>16</v>
      </c>
      <c r="AF464" s="2"/>
      <c r="AG464" s="2" t="s">
        <v>43</v>
      </c>
      <c r="AH464" s="2"/>
    </row>
    <row r="465" spans="1:34">
      <c r="A465" t="s">
        <v>773</v>
      </c>
      <c r="B465" t="s">
        <v>774</v>
      </c>
      <c r="C465" s="2">
        <v>137</v>
      </c>
      <c r="D465" s="2"/>
      <c r="E465" s="2">
        <v>149</v>
      </c>
      <c r="F465" s="2"/>
      <c r="G465" s="2">
        <v>140</v>
      </c>
      <c r="H465" s="2"/>
      <c r="I465" s="2">
        <v>137</v>
      </c>
      <c r="J465" s="2"/>
      <c r="K465" s="2">
        <v>136</v>
      </c>
      <c r="L465" s="2"/>
      <c r="M465" s="2">
        <v>138</v>
      </c>
      <c r="N465" s="2"/>
      <c r="O465" s="2">
        <v>135</v>
      </c>
      <c r="P465" s="2"/>
      <c r="Q465" s="2">
        <v>133</v>
      </c>
      <c r="R465" s="2"/>
      <c r="S465" s="2">
        <v>145</v>
      </c>
      <c r="T465" s="2"/>
      <c r="U465" s="2">
        <v>142</v>
      </c>
      <c r="V465" s="2"/>
      <c r="W465" s="2">
        <v>147</v>
      </c>
      <c r="X465" s="2"/>
      <c r="Y465" s="2">
        <v>158</v>
      </c>
      <c r="Z465" s="2"/>
      <c r="AA465" s="2">
        <v>158</v>
      </c>
      <c r="AB465" s="2"/>
      <c r="AC465" s="2">
        <v>156</v>
      </c>
      <c r="AD465" s="2"/>
      <c r="AE465" s="2">
        <v>161</v>
      </c>
      <c r="AF465" s="2"/>
      <c r="AG465" s="2">
        <v>167</v>
      </c>
      <c r="AH465" s="2"/>
    </row>
    <row r="466" spans="1:34">
      <c r="A466" t="s">
        <v>1026</v>
      </c>
      <c r="B466" t="s">
        <v>1027</v>
      </c>
      <c r="C466" s="2">
        <v>137</v>
      </c>
      <c r="D466" s="2"/>
      <c r="E466" s="2">
        <v>149</v>
      </c>
      <c r="F466" s="2"/>
      <c r="G466" s="2">
        <v>140</v>
      </c>
      <c r="H466" s="2"/>
      <c r="I466" s="2">
        <v>137</v>
      </c>
      <c r="J466" s="2"/>
      <c r="K466" s="2">
        <v>136</v>
      </c>
      <c r="L466" s="2"/>
      <c r="M466" s="2">
        <v>138</v>
      </c>
      <c r="N466" s="2"/>
      <c r="O466" s="2">
        <v>135</v>
      </c>
      <c r="P466" s="2"/>
      <c r="Q466" s="2">
        <v>133</v>
      </c>
      <c r="R466" s="2"/>
      <c r="S466" s="2">
        <v>145</v>
      </c>
      <c r="T466" s="2"/>
      <c r="U466" s="2">
        <v>142</v>
      </c>
      <c r="V466" s="2"/>
      <c r="W466" s="2">
        <v>147</v>
      </c>
      <c r="X466" s="2"/>
      <c r="Y466" s="2">
        <v>158</v>
      </c>
      <c r="Z466" s="2"/>
      <c r="AA466" s="2">
        <v>158</v>
      </c>
      <c r="AB466" s="2"/>
      <c r="AC466" s="2"/>
      <c r="AD466" s="2"/>
      <c r="AE466" s="2"/>
      <c r="AF466" s="2"/>
      <c r="AG466" s="2"/>
      <c r="AH466" s="2"/>
    </row>
    <row r="467" spans="1:34">
      <c r="A467" t="s">
        <v>1028</v>
      </c>
      <c r="B467" t="s">
        <v>1029</v>
      </c>
      <c r="C467" s="2">
        <v>20</v>
      </c>
      <c r="D467" s="2"/>
      <c r="E467" s="2">
        <v>20</v>
      </c>
      <c r="F467" s="2"/>
      <c r="G467" s="2">
        <v>18</v>
      </c>
      <c r="H467" s="2"/>
      <c r="I467" s="2">
        <v>17</v>
      </c>
      <c r="J467" s="2"/>
      <c r="K467" s="2">
        <v>19</v>
      </c>
      <c r="L467" s="2"/>
      <c r="M467" s="2">
        <v>19</v>
      </c>
      <c r="N467" s="2"/>
      <c r="O467" s="2">
        <v>20</v>
      </c>
      <c r="P467" s="2"/>
      <c r="Q467" s="2">
        <v>19</v>
      </c>
      <c r="R467" s="2"/>
      <c r="S467" s="2">
        <v>18</v>
      </c>
      <c r="T467" s="2"/>
      <c r="U467" s="2">
        <v>18</v>
      </c>
      <c r="V467" s="2"/>
      <c r="W467" s="2">
        <v>18</v>
      </c>
      <c r="X467" s="2"/>
      <c r="Y467" s="2" t="s">
        <v>43</v>
      </c>
      <c r="Z467" s="2"/>
      <c r="AA467" s="2" t="s">
        <v>43</v>
      </c>
      <c r="AB467" s="2"/>
      <c r="AC467" s="2"/>
      <c r="AD467" s="2"/>
      <c r="AE467" s="2"/>
      <c r="AF467" s="2"/>
      <c r="AG467" s="2"/>
      <c r="AH467" s="2"/>
    </row>
    <row r="468" spans="1:34">
      <c r="A468" t="s">
        <v>775</v>
      </c>
      <c r="B468" t="s">
        <v>776</v>
      </c>
      <c r="C468" s="2">
        <v>15</v>
      </c>
      <c r="D468" s="2"/>
      <c r="E468" s="2">
        <v>16</v>
      </c>
      <c r="F468" s="2"/>
      <c r="G468" s="2">
        <v>15</v>
      </c>
      <c r="H468" s="2"/>
      <c r="I468" s="2">
        <v>14</v>
      </c>
      <c r="J468" s="2"/>
      <c r="K468" s="2">
        <v>13</v>
      </c>
      <c r="L468" s="2"/>
      <c r="M468" s="2">
        <v>14</v>
      </c>
      <c r="N468" s="2"/>
      <c r="O468" s="2">
        <v>13</v>
      </c>
      <c r="P468" s="2"/>
      <c r="Q468" s="2">
        <v>13</v>
      </c>
      <c r="R468" s="2"/>
      <c r="S468" s="2">
        <v>16</v>
      </c>
      <c r="T468" s="2"/>
      <c r="U468" s="2">
        <v>16</v>
      </c>
      <c r="V468" s="2"/>
      <c r="W468" s="2">
        <v>19</v>
      </c>
      <c r="X468" s="2"/>
      <c r="Y468" s="2">
        <v>22</v>
      </c>
      <c r="Z468" s="2"/>
      <c r="AA468" s="2">
        <v>20</v>
      </c>
      <c r="AB468" s="2"/>
      <c r="AC468" s="2">
        <v>20</v>
      </c>
      <c r="AD468" s="2"/>
      <c r="AE468" s="2">
        <v>22</v>
      </c>
      <c r="AF468" s="2"/>
      <c r="AG468" s="2">
        <v>21</v>
      </c>
      <c r="AH468" s="2"/>
    </row>
    <row r="469" spans="1:34">
      <c r="A469" t="s">
        <v>1030</v>
      </c>
      <c r="B469" t="s">
        <v>1031</v>
      </c>
      <c r="C469" s="2">
        <v>39</v>
      </c>
      <c r="D469" s="2"/>
      <c r="E469" s="2">
        <v>46</v>
      </c>
      <c r="F469" s="2"/>
      <c r="G469" s="2">
        <v>42</v>
      </c>
      <c r="H469" s="2"/>
      <c r="I469" s="2">
        <v>43</v>
      </c>
      <c r="J469" s="2"/>
      <c r="K469" s="2">
        <v>39</v>
      </c>
      <c r="L469" s="2"/>
      <c r="M469" s="2">
        <v>42</v>
      </c>
      <c r="N469" s="2"/>
      <c r="O469" s="2">
        <v>42</v>
      </c>
      <c r="P469" s="2"/>
      <c r="Q469" s="2">
        <v>43</v>
      </c>
      <c r="R469" s="2"/>
      <c r="S469" s="2">
        <v>48</v>
      </c>
      <c r="T469" s="2"/>
      <c r="U469" s="2">
        <v>42</v>
      </c>
      <c r="V469" s="2"/>
      <c r="W469" s="2">
        <v>43</v>
      </c>
      <c r="X469" s="2"/>
      <c r="Y469" s="2" t="s">
        <v>43</v>
      </c>
      <c r="Z469" s="2"/>
      <c r="AA469" s="2" t="s">
        <v>43</v>
      </c>
      <c r="AB469" s="2"/>
      <c r="AC469" s="2"/>
      <c r="AD469" s="2"/>
      <c r="AE469" s="2"/>
      <c r="AF469" s="2"/>
      <c r="AG469" s="2"/>
      <c r="AH469" s="2"/>
    </row>
    <row r="470" spans="1:34">
      <c r="A470" t="s">
        <v>1032</v>
      </c>
      <c r="B470" t="s">
        <v>1033</v>
      </c>
      <c r="C470" s="2">
        <v>22</v>
      </c>
      <c r="D470" s="2"/>
      <c r="E470" s="2">
        <v>24</v>
      </c>
      <c r="F470" s="2"/>
      <c r="G470" s="2">
        <v>22</v>
      </c>
      <c r="H470" s="2"/>
      <c r="I470" s="2">
        <v>21</v>
      </c>
      <c r="J470" s="2"/>
      <c r="K470" s="2">
        <v>24</v>
      </c>
      <c r="L470" s="2"/>
      <c r="M470" s="2">
        <v>23</v>
      </c>
      <c r="N470" s="2"/>
      <c r="O470" s="2">
        <v>21</v>
      </c>
      <c r="P470" s="2"/>
      <c r="Q470" s="2">
        <v>20</v>
      </c>
      <c r="R470" s="2"/>
      <c r="S470" s="2">
        <v>21</v>
      </c>
      <c r="T470" s="2"/>
      <c r="U470" s="2">
        <v>22</v>
      </c>
      <c r="V470" s="2"/>
      <c r="W470" s="2">
        <v>23</v>
      </c>
      <c r="X470" s="2"/>
      <c r="Y470" s="2" t="s">
        <v>43</v>
      </c>
      <c r="Z470" s="2"/>
      <c r="AA470" s="2" t="s">
        <v>43</v>
      </c>
      <c r="AB470" s="2"/>
      <c r="AC470" s="2"/>
      <c r="AD470" s="2"/>
      <c r="AE470" s="2"/>
      <c r="AF470" s="2"/>
      <c r="AG470" s="2"/>
      <c r="AH470" s="2"/>
    </row>
    <row r="471" spans="1:34">
      <c r="A471" t="s">
        <v>1034</v>
      </c>
      <c r="B471" t="s">
        <v>1035</v>
      </c>
      <c r="C471" s="2">
        <v>18</v>
      </c>
      <c r="D471" s="2"/>
      <c r="E471" s="2">
        <v>17</v>
      </c>
      <c r="F471" s="2"/>
      <c r="G471" s="2">
        <v>17</v>
      </c>
      <c r="H471" s="2"/>
      <c r="I471" s="2">
        <v>18</v>
      </c>
      <c r="J471" s="2"/>
      <c r="K471" s="2">
        <v>16</v>
      </c>
      <c r="L471" s="2"/>
      <c r="M471" s="2">
        <v>15</v>
      </c>
      <c r="N471" s="2"/>
      <c r="O471" s="2">
        <v>15</v>
      </c>
      <c r="P471" s="2"/>
      <c r="Q471" s="2">
        <v>16</v>
      </c>
      <c r="R471" s="2"/>
      <c r="S471" s="2">
        <v>19</v>
      </c>
      <c r="T471" s="2"/>
      <c r="U471" s="2">
        <v>19</v>
      </c>
      <c r="V471" s="2"/>
      <c r="W471" s="2">
        <v>19</v>
      </c>
      <c r="X471" s="2"/>
      <c r="Y471" s="2" t="s">
        <v>43</v>
      </c>
      <c r="Z471" s="2"/>
      <c r="AA471" s="2" t="s">
        <v>43</v>
      </c>
      <c r="AB471" s="2"/>
      <c r="AC471" s="2"/>
      <c r="AD471" s="2"/>
      <c r="AE471" s="2"/>
      <c r="AF471" s="2"/>
      <c r="AG471" s="2"/>
      <c r="AH471" s="2"/>
    </row>
    <row r="472" spans="1:34">
      <c r="A472" t="s">
        <v>777</v>
      </c>
      <c r="B472" t="s">
        <v>778</v>
      </c>
      <c r="C472" s="2">
        <v>18</v>
      </c>
      <c r="D472" s="2"/>
      <c r="E472" s="2">
        <v>20</v>
      </c>
      <c r="F472" s="2"/>
      <c r="G472" s="2">
        <v>20</v>
      </c>
      <c r="H472" s="2"/>
      <c r="I472" s="2">
        <v>18</v>
      </c>
      <c r="J472" s="2"/>
      <c r="K472" s="2">
        <v>18</v>
      </c>
      <c r="L472" s="2"/>
      <c r="M472" s="2">
        <v>18</v>
      </c>
      <c r="N472" s="2"/>
      <c r="O472" s="2">
        <v>15</v>
      </c>
      <c r="P472" s="2"/>
      <c r="Q472" s="2">
        <v>14</v>
      </c>
      <c r="R472" s="2"/>
      <c r="S472" s="2">
        <v>15</v>
      </c>
      <c r="T472" s="2"/>
      <c r="U472" s="2">
        <v>17</v>
      </c>
      <c r="V472" s="2"/>
      <c r="W472" s="2">
        <v>17</v>
      </c>
      <c r="X472" s="2"/>
      <c r="Y472" s="2">
        <v>17</v>
      </c>
      <c r="Z472" s="2"/>
      <c r="AA472" s="2">
        <v>17</v>
      </c>
      <c r="AB472" s="2"/>
      <c r="AC472" s="2">
        <v>18</v>
      </c>
      <c r="AD472" s="2"/>
      <c r="AE472" s="2">
        <v>16</v>
      </c>
      <c r="AF472" s="2"/>
      <c r="AG472" s="2">
        <v>17</v>
      </c>
      <c r="AH472" s="2"/>
    </row>
    <row r="473" spans="1:34">
      <c r="A473" t="s">
        <v>779</v>
      </c>
      <c r="B473" t="s">
        <v>780</v>
      </c>
      <c r="C473" s="2">
        <v>5</v>
      </c>
      <c r="D473" s="2"/>
      <c r="E473" s="2">
        <v>6</v>
      </c>
      <c r="F473" s="2"/>
      <c r="G473" s="2">
        <v>6</v>
      </c>
      <c r="H473" s="2"/>
      <c r="I473" s="2">
        <v>6</v>
      </c>
      <c r="J473" s="2"/>
      <c r="K473" s="2">
        <v>7</v>
      </c>
      <c r="L473" s="2"/>
      <c r="M473" s="2">
        <v>7</v>
      </c>
      <c r="N473" s="2"/>
      <c r="O473" s="2">
        <v>9</v>
      </c>
      <c r="P473" s="2"/>
      <c r="Q473" s="2">
        <v>8</v>
      </c>
      <c r="R473" s="2"/>
      <c r="S473" s="2">
        <v>8</v>
      </c>
      <c r="T473" s="2"/>
      <c r="U473" s="2">
        <v>8</v>
      </c>
      <c r="V473" s="2"/>
      <c r="W473" s="2">
        <v>8</v>
      </c>
      <c r="X473" s="2"/>
      <c r="Y473" s="2">
        <v>8</v>
      </c>
      <c r="Z473" s="2"/>
      <c r="AA473" s="2">
        <v>9</v>
      </c>
      <c r="AB473" s="2"/>
      <c r="AC473" s="2">
        <v>9</v>
      </c>
      <c r="AD473" s="2"/>
      <c r="AE473" s="2">
        <v>9</v>
      </c>
      <c r="AF473" s="2"/>
      <c r="AG473" s="2">
        <v>9</v>
      </c>
      <c r="AH473" s="2"/>
    </row>
    <row r="474" spans="1:34">
      <c r="A474" t="s">
        <v>781</v>
      </c>
      <c r="B474" t="s">
        <v>782</v>
      </c>
      <c r="C474" s="2" t="s">
        <v>43</v>
      </c>
      <c r="D474" s="2"/>
      <c r="E474" s="2" t="s">
        <v>43</v>
      </c>
      <c r="F474" s="2"/>
      <c r="G474" s="2" t="s">
        <v>43</v>
      </c>
      <c r="H474" s="2"/>
      <c r="I474" s="2" t="s">
        <v>43</v>
      </c>
      <c r="J474" s="2"/>
      <c r="K474" s="2" t="s">
        <v>43</v>
      </c>
      <c r="L474" s="2"/>
      <c r="M474" s="2" t="s">
        <v>43</v>
      </c>
      <c r="N474" s="2"/>
      <c r="O474" s="2" t="s">
        <v>43</v>
      </c>
      <c r="P474" s="2"/>
      <c r="Q474" s="2" t="s">
        <v>43</v>
      </c>
      <c r="R474" s="2"/>
      <c r="S474" s="2" t="s">
        <v>43</v>
      </c>
      <c r="T474" s="2"/>
      <c r="U474" s="2" t="s">
        <v>43</v>
      </c>
      <c r="V474" s="2"/>
      <c r="W474" s="2" t="s">
        <v>43</v>
      </c>
      <c r="X474" s="2"/>
      <c r="Y474" s="2">
        <v>52</v>
      </c>
      <c r="Z474" s="2"/>
      <c r="AA474" s="2">
        <v>53</v>
      </c>
      <c r="AB474" s="2"/>
      <c r="AC474" s="2">
        <v>51</v>
      </c>
      <c r="AD474" s="2"/>
      <c r="AE474" s="2">
        <v>53</v>
      </c>
      <c r="AF474" s="2"/>
      <c r="AG474" s="2">
        <v>55</v>
      </c>
      <c r="AH474" s="2"/>
    </row>
    <row r="475" spans="1:34">
      <c r="A475" t="s">
        <v>783</v>
      </c>
      <c r="B475" t="s">
        <v>784</v>
      </c>
      <c r="C475" s="2" t="s">
        <v>43</v>
      </c>
      <c r="D475" s="2"/>
      <c r="E475" s="2" t="s">
        <v>43</v>
      </c>
      <c r="F475" s="2"/>
      <c r="G475" s="2" t="s">
        <v>43</v>
      </c>
      <c r="H475" s="2"/>
      <c r="I475" s="2" t="s">
        <v>43</v>
      </c>
      <c r="J475" s="2"/>
      <c r="K475" s="2" t="s">
        <v>43</v>
      </c>
      <c r="L475" s="2"/>
      <c r="M475" s="2" t="s">
        <v>43</v>
      </c>
      <c r="N475" s="2"/>
      <c r="O475" s="2" t="s">
        <v>43</v>
      </c>
      <c r="P475" s="2"/>
      <c r="Q475" s="2" t="s">
        <v>43</v>
      </c>
      <c r="R475" s="2"/>
      <c r="S475" s="2" t="s">
        <v>43</v>
      </c>
      <c r="T475" s="2"/>
      <c r="U475" s="2" t="s">
        <v>43</v>
      </c>
      <c r="V475" s="2"/>
      <c r="W475" s="2" t="s">
        <v>43</v>
      </c>
      <c r="X475" s="2"/>
      <c r="Y475" s="2">
        <v>41</v>
      </c>
      <c r="Z475" s="2"/>
      <c r="AA475" s="2">
        <v>27</v>
      </c>
      <c r="AB475" s="2"/>
      <c r="AC475" s="2">
        <v>26</v>
      </c>
      <c r="AD475" s="2"/>
      <c r="AE475" s="2">
        <v>26</v>
      </c>
      <c r="AF475" s="2"/>
      <c r="AG475" s="2">
        <v>27</v>
      </c>
      <c r="AH475" s="2"/>
    </row>
    <row r="476" spans="1:34">
      <c r="A476" t="s">
        <v>785</v>
      </c>
      <c r="B476" t="s">
        <v>786</v>
      </c>
      <c r="C476" s="2" t="s">
        <v>43</v>
      </c>
      <c r="D476" s="2"/>
      <c r="E476" s="2" t="s">
        <v>43</v>
      </c>
      <c r="F476" s="2"/>
      <c r="G476" s="2" t="s">
        <v>43</v>
      </c>
      <c r="H476" s="2"/>
      <c r="I476" s="2" t="s">
        <v>43</v>
      </c>
      <c r="J476" s="2"/>
      <c r="K476" s="2" t="s">
        <v>43</v>
      </c>
      <c r="L476" s="2"/>
      <c r="M476" s="2" t="s">
        <v>43</v>
      </c>
      <c r="N476" s="2"/>
      <c r="O476" s="2" t="s">
        <v>43</v>
      </c>
      <c r="P476" s="2"/>
      <c r="Q476" s="2" t="s">
        <v>43</v>
      </c>
      <c r="R476" s="2"/>
      <c r="S476" s="2" t="s">
        <v>43</v>
      </c>
      <c r="T476" s="2"/>
      <c r="U476" s="2" t="s">
        <v>43</v>
      </c>
      <c r="V476" s="2"/>
      <c r="W476" s="2" t="s">
        <v>43</v>
      </c>
      <c r="X476" s="2"/>
      <c r="Y476" s="2">
        <v>18</v>
      </c>
      <c r="Z476" s="2"/>
      <c r="AA476" s="2">
        <v>32</v>
      </c>
      <c r="AB476" s="2"/>
      <c r="AC476" s="2">
        <v>32</v>
      </c>
      <c r="AD476" s="2"/>
      <c r="AE476" s="2">
        <v>35</v>
      </c>
      <c r="AF476" s="2"/>
      <c r="AG476" s="2">
        <v>38</v>
      </c>
      <c r="AH476" s="2"/>
    </row>
    <row r="477" spans="1:34">
      <c r="A477" t="s">
        <v>787</v>
      </c>
      <c r="B477" t="s">
        <v>788</v>
      </c>
      <c r="C477" s="2" t="s">
        <v>43</v>
      </c>
      <c r="D477" s="2"/>
      <c r="E477" s="2" t="s">
        <v>43</v>
      </c>
      <c r="F477" s="2"/>
      <c r="G477" s="2" t="s">
        <v>43</v>
      </c>
      <c r="H477" s="2"/>
      <c r="I477" s="2" t="s">
        <v>43</v>
      </c>
      <c r="J477" s="2"/>
      <c r="K477" s="2" t="s">
        <v>43</v>
      </c>
      <c r="L477" s="2"/>
      <c r="M477" s="2" t="s">
        <v>43</v>
      </c>
      <c r="N477" s="2"/>
      <c r="O477" s="2" t="s">
        <v>43</v>
      </c>
      <c r="P477" s="2"/>
      <c r="Q477" s="2" t="s">
        <v>43</v>
      </c>
      <c r="R477" s="2"/>
      <c r="S477" s="2" t="s">
        <v>43</v>
      </c>
      <c r="T477" s="2"/>
      <c r="U477" s="2" t="s">
        <v>43</v>
      </c>
      <c r="V477" s="2"/>
      <c r="W477" s="2" t="s">
        <v>43</v>
      </c>
      <c r="X477" s="2"/>
      <c r="Y477" s="2">
        <v>0</v>
      </c>
      <c r="Z477" s="2"/>
      <c r="AA477" s="2">
        <v>0</v>
      </c>
      <c r="AB477" s="2"/>
      <c r="AC477" s="2" t="s">
        <v>43</v>
      </c>
      <c r="AD477" s="2"/>
      <c r="AE477" s="2" t="s">
        <v>43</v>
      </c>
      <c r="AF477" s="2"/>
      <c r="AG477" s="2" t="s">
        <v>43</v>
      </c>
      <c r="AH477" s="2"/>
    </row>
    <row r="478" spans="1:34">
      <c r="A478" t="s">
        <v>1036</v>
      </c>
      <c r="B478" t="s">
        <v>1037</v>
      </c>
      <c r="C478" s="2">
        <v>3627</v>
      </c>
      <c r="D478" s="2"/>
      <c r="E478" s="2">
        <v>3274</v>
      </c>
      <c r="F478" s="2"/>
      <c r="G478" s="2">
        <v>3041</v>
      </c>
      <c r="H478" s="2"/>
      <c r="I478" s="2">
        <v>2947</v>
      </c>
      <c r="J478" s="2"/>
      <c r="K478" s="2">
        <v>2859</v>
      </c>
      <c r="L478" s="2"/>
      <c r="M478" s="2">
        <v>2909</v>
      </c>
      <c r="N478" s="2"/>
      <c r="O478" s="2">
        <v>2994</v>
      </c>
      <c r="P478" s="2"/>
      <c r="Q478" s="2">
        <v>3107</v>
      </c>
      <c r="R478" s="2"/>
      <c r="S478" s="2">
        <v>3497</v>
      </c>
      <c r="T478" s="2" t="s">
        <v>334</v>
      </c>
      <c r="U478" s="2">
        <v>3602</v>
      </c>
      <c r="V478" s="2"/>
      <c r="W478" s="2">
        <v>3701</v>
      </c>
      <c r="X478" s="2"/>
      <c r="Y478" s="2" t="s">
        <v>43</v>
      </c>
      <c r="Z478" s="2"/>
      <c r="AA478" s="2" t="s">
        <v>43</v>
      </c>
      <c r="AB478" s="2"/>
      <c r="AC478" s="2"/>
      <c r="AD478" s="2"/>
      <c r="AE478" s="2"/>
      <c r="AF478" s="2"/>
      <c r="AG478" s="2"/>
      <c r="AH478" s="2"/>
    </row>
    <row r="479" spans="1:34">
      <c r="A479" t="s">
        <v>1038</v>
      </c>
      <c r="B479" t="s">
        <v>1039</v>
      </c>
      <c r="C479" s="2">
        <v>114</v>
      </c>
      <c r="D479" s="2"/>
      <c r="E479" s="2">
        <v>100</v>
      </c>
      <c r="F479" s="2"/>
      <c r="G479" s="2">
        <v>89</v>
      </c>
      <c r="H479" s="2"/>
      <c r="I479" s="2">
        <v>93</v>
      </c>
      <c r="J479" s="2"/>
      <c r="K479" s="2">
        <v>91</v>
      </c>
      <c r="L479" s="2"/>
      <c r="M479" s="2">
        <v>97</v>
      </c>
      <c r="N479" s="2"/>
      <c r="O479" s="2">
        <v>95</v>
      </c>
      <c r="P479" s="2"/>
      <c r="Q479" s="2">
        <v>91</v>
      </c>
      <c r="R479" s="2"/>
      <c r="S479" s="2">
        <v>103</v>
      </c>
      <c r="T479" s="2" t="s">
        <v>334</v>
      </c>
      <c r="U479" s="2">
        <v>109</v>
      </c>
      <c r="V479" s="2"/>
      <c r="W479" s="2">
        <v>122</v>
      </c>
      <c r="X479" s="2"/>
      <c r="Y479" s="2" t="s">
        <v>43</v>
      </c>
      <c r="Z479" s="2"/>
      <c r="AA479" s="2" t="s">
        <v>43</v>
      </c>
      <c r="AB479" s="2"/>
      <c r="AC479" s="2"/>
      <c r="AD479" s="2"/>
      <c r="AE479" s="2"/>
      <c r="AF479" s="2"/>
      <c r="AG479" s="2"/>
      <c r="AH479" s="2"/>
    </row>
    <row r="480" spans="1:34">
      <c r="A480" t="s">
        <v>1040</v>
      </c>
      <c r="B480" t="s">
        <v>1041</v>
      </c>
      <c r="C480" s="2">
        <v>48</v>
      </c>
      <c r="D480" s="2"/>
      <c r="E480" s="2">
        <v>42</v>
      </c>
      <c r="F480" s="2"/>
      <c r="G480" s="2">
        <v>36</v>
      </c>
      <c r="H480" s="2"/>
      <c r="I480" s="2">
        <v>38</v>
      </c>
      <c r="J480" s="2"/>
      <c r="K480" s="2">
        <v>35</v>
      </c>
      <c r="L480" s="2"/>
      <c r="M480" s="2">
        <v>38</v>
      </c>
      <c r="N480" s="2"/>
      <c r="O480" s="2">
        <v>37</v>
      </c>
      <c r="P480" s="2"/>
      <c r="Q480" s="2">
        <v>38</v>
      </c>
      <c r="R480" s="2"/>
      <c r="S480" s="2">
        <v>43</v>
      </c>
      <c r="T480" s="2" t="s">
        <v>334</v>
      </c>
      <c r="U480" s="2">
        <v>44</v>
      </c>
      <c r="V480" s="2"/>
      <c r="W480" s="2">
        <v>50</v>
      </c>
      <c r="X480" s="2"/>
      <c r="Y480" s="2" t="s">
        <v>43</v>
      </c>
      <c r="Z480" s="2"/>
      <c r="AA480" s="2" t="s">
        <v>43</v>
      </c>
      <c r="AB480" s="2"/>
      <c r="AC480" s="2"/>
      <c r="AD480" s="2"/>
      <c r="AE480" s="2"/>
      <c r="AF480" s="2"/>
      <c r="AG480" s="2"/>
      <c r="AH480" s="2"/>
    </row>
    <row r="481" spans="1:34">
      <c r="A481" t="s">
        <v>1042</v>
      </c>
      <c r="B481" t="s">
        <v>1043</v>
      </c>
      <c r="C481" s="2">
        <v>66</v>
      </c>
      <c r="D481" s="2"/>
      <c r="E481" s="2">
        <v>58</v>
      </c>
      <c r="F481" s="2"/>
      <c r="G481" s="2">
        <v>53</v>
      </c>
      <c r="H481" s="2"/>
      <c r="I481" s="2">
        <v>55</v>
      </c>
      <c r="J481" s="2"/>
      <c r="K481" s="2">
        <v>56</v>
      </c>
      <c r="L481" s="2"/>
      <c r="M481" s="2">
        <v>59</v>
      </c>
      <c r="N481" s="2"/>
      <c r="O481" s="2">
        <v>58</v>
      </c>
      <c r="P481" s="2"/>
      <c r="Q481" s="2">
        <v>53</v>
      </c>
      <c r="R481" s="2"/>
      <c r="S481" s="2">
        <v>60</v>
      </c>
      <c r="T481" s="2" t="s">
        <v>334</v>
      </c>
      <c r="U481" s="2">
        <v>65</v>
      </c>
      <c r="V481" s="2"/>
      <c r="W481" s="2">
        <v>72</v>
      </c>
      <c r="X481" s="2"/>
      <c r="Y481" s="2" t="s">
        <v>43</v>
      </c>
      <c r="Z481" s="2"/>
      <c r="AA481" s="2" t="s">
        <v>43</v>
      </c>
      <c r="AB481" s="2"/>
      <c r="AC481" s="2"/>
      <c r="AD481" s="2"/>
      <c r="AE481" s="2"/>
      <c r="AF481" s="2"/>
      <c r="AG481" s="2"/>
      <c r="AH481" s="2"/>
    </row>
    <row r="482" spans="1:34">
      <c r="A482" t="s">
        <v>1044</v>
      </c>
      <c r="B482" t="s">
        <v>1045</v>
      </c>
      <c r="C482" s="2">
        <v>373</v>
      </c>
      <c r="D482" s="2"/>
      <c r="E482" s="2">
        <v>335</v>
      </c>
      <c r="F482" s="2"/>
      <c r="G482" s="2">
        <v>321</v>
      </c>
      <c r="H482" s="2"/>
      <c r="I482" s="2">
        <v>325</v>
      </c>
      <c r="J482" s="2"/>
      <c r="K482" s="2">
        <v>325</v>
      </c>
      <c r="L482" s="2"/>
      <c r="M482" s="2">
        <v>325</v>
      </c>
      <c r="N482" s="2"/>
      <c r="O482" s="2">
        <v>340</v>
      </c>
      <c r="P482" s="2"/>
      <c r="Q482" s="2">
        <v>344</v>
      </c>
      <c r="R482" s="2"/>
      <c r="S482" s="2">
        <v>355</v>
      </c>
      <c r="T482" s="2" t="s">
        <v>334</v>
      </c>
      <c r="U482" s="2">
        <v>391</v>
      </c>
      <c r="V482" s="2"/>
      <c r="W482" s="2">
        <v>390</v>
      </c>
      <c r="X482" s="2"/>
      <c r="Y482" s="2" t="s">
        <v>43</v>
      </c>
      <c r="Z482" s="2"/>
      <c r="AA482" s="2" t="s">
        <v>43</v>
      </c>
      <c r="AB482" s="2"/>
      <c r="AC482" s="2"/>
      <c r="AD482" s="2"/>
      <c r="AE482" s="2"/>
      <c r="AF482" s="2"/>
      <c r="AG482" s="2"/>
      <c r="AH482" s="2"/>
    </row>
    <row r="483" spans="1:34">
      <c r="A483" t="s">
        <v>1046</v>
      </c>
      <c r="B483" t="s">
        <v>1047</v>
      </c>
      <c r="C483" s="2">
        <v>22</v>
      </c>
      <c r="D483" s="2"/>
      <c r="E483" s="2">
        <v>19</v>
      </c>
      <c r="F483" s="2"/>
      <c r="G483" s="2">
        <v>19</v>
      </c>
      <c r="H483" s="2"/>
      <c r="I483" s="2">
        <v>16</v>
      </c>
      <c r="J483" s="2"/>
      <c r="K483" s="2">
        <v>16</v>
      </c>
      <c r="L483" s="2"/>
      <c r="M483" s="2">
        <v>19</v>
      </c>
      <c r="N483" s="2"/>
      <c r="O483" s="2">
        <v>20</v>
      </c>
      <c r="P483" s="2"/>
      <c r="Q483" s="2">
        <v>20</v>
      </c>
      <c r="R483" s="2"/>
      <c r="S483" s="2">
        <v>22</v>
      </c>
      <c r="T483" s="2" t="s">
        <v>334</v>
      </c>
      <c r="U483" s="2">
        <v>24</v>
      </c>
      <c r="V483" s="2"/>
      <c r="W483" s="2">
        <v>25</v>
      </c>
      <c r="X483" s="2"/>
      <c r="Y483" s="2" t="s">
        <v>43</v>
      </c>
      <c r="Z483" s="2"/>
      <c r="AA483" s="2" t="s">
        <v>43</v>
      </c>
      <c r="AB483" s="2"/>
      <c r="AC483" s="2"/>
      <c r="AD483" s="2"/>
      <c r="AE483" s="2"/>
      <c r="AF483" s="2"/>
      <c r="AG483" s="2"/>
      <c r="AH483" s="2"/>
    </row>
    <row r="484" spans="1:34">
      <c r="A484" t="s">
        <v>1048</v>
      </c>
      <c r="B484" t="s">
        <v>1049</v>
      </c>
      <c r="C484" s="2">
        <v>67</v>
      </c>
      <c r="D484" s="2"/>
      <c r="E484" s="2">
        <v>61</v>
      </c>
      <c r="F484" s="2"/>
      <c r="G484" s="2">
        <v>61</v>
      </c>
      <c r="H484" s="2"/>
      <c r="I484" s="2" t="s">
        <v>43</v>
      </c>
      <c r="J484" s="2"/>
      <c r="K484" s="2" t="s">
        <v>43</v>
      </c>
      <c r="L484" s="2"/>
      <c r="M484" s="2" t="s">
        <v>43</v>
      </c>
      <c r="N484" s="2"/>
      <c r="O484" s="2" t="s">
        <v>43</v>
      </c>
      <c r="P484" s="2"/>
      <c r="Q484" s="2" t="s">
        <v>43</v>
      </c>
      <c r="R484" s="2"/>
      <c r="S484" s="2" t="s">
        <v>43</v>
      </c>
      <c r="T484" s="2"/>
      <c r="U484" s="2" t="s">
        <v>43</v>
      </c>
      <c r="V484" s="2"/>
      <c r="W484" s="2" t="s">
        <v>43</v>
      </c>
      <c r="X484" s="2"/>
      <c r="Y484" s="2" t="s">
        <v>43</v>
      </c>
      <c r="Z484" s="2"/>
      <c r="AA484" s="2" t="s">
        <v>43</v>
      </c>
      <c r="AB484" s="2"/>
      <c r="AC484" s="2"/>
      <c r="AD484" s="2"/>
      <c r="AE484" s="2"/>
      <c r="AF484" s="2"/>
      <c r="AG484" s="2"/>
      <c r="AH484" s="2"/>
    </row>
    <row r="485" spans="1:34">
      <c r="A485" t="s">
        <v>1050</v>
      </c>
      <c r="B485" t="s">
        <v>1051</v>
      </c>
      <c r="C485" s="2">
        <v>120</v>
      </c>
      <c r="D485" s="2"/>
      <c r="E485" s="2">
        <v>104</v>
      </c>
      <c r="F485" s="2"/>
      <c r="G485" s="2">
        <v>96</v>
      </c>
      <c r="H485" s="2"/>
      <c r="I485" s="2">
        <v>103</v>
      </c>
      <c r="J485" s="2"/>
      <c r="K485" s="2">
        <v>94</v>
      </c>
      <c r="L485" s="2"/>
      <c r="M485" s="2">
        <v>88</v>
      </c>
      <c r="N485" s="2"/>
      <c r="O485" s="2">
        <v>97</v>
      </c>
      <c r="P485" s="2"/>
      <c r="Q485" s="2">
        <v>111</v>
      </c>
      <c r="R485" s="2"/>
      <c r="S485" s="2">
        <v>108</v>
      </c>
      <c r="T485" s="2" t="s">
        <v>334</v>
      </c>
      <c r="U485" s="2">
        <v>115</v>
      </c>
      <c r="V485" s="2"/>
      <c r="W485" s="2">
        <v>123</v>
      </c>
      <c r="X485" s="2"/>
      <c r="Y485" s="2" t="s">
        <v>43</v>
      </c>
      <c r="Z485" s="2"/>
      <c r="AA485" s="2" t="s">
        <v>43</v>
      </c>
      <c r="AB485" s="2"/>
      <c r="AC485" s="2"/>
      <c r="AD485" s="2"/>
      <c r="AE485" s="2"/>
      <c r="AF485" s="2"/>
      <c r="AG485" s="2"/>
      <c r="AH485" s="2"/>
    </row>
    <row r="486" spans="1:34">
      <c r="A486" t="s">
        <v>1052</v>
      </c>
      <c r="B486" t="s">
        <v>1053</v>
      </c>
      <c r="C486" s="2">
        <v>123</v>
      </c>
      <c r="D486" s="2"/>
      <c r="E486" s="2">
        <v>118</v>
      </c>
      <c r="F486" s="2"/>
      <c r="G486" s="2">
        <v>110</v>
      </c>
      <c r="H486" s="2"/>
      <c r="I486" s="2">
        <v>110</v>
      </c>
      <c r="J486" s="2"/>
      <c r="K486" s="2">
        <v>112</v>
      </c>
      <c r="L486" s="2"/>
      <c r="M486" s="2">
        <v>113</v>
      </c>
      <c r="N486" s="2"/>
      <c r="O486" s="2">
        <v>107</v>
      </c>
      <c r="P486" s="2"/>
      <c r="Q486" s="2">
        <v>106</v>
      </c>
      <c r="R486" s="2"/>
      <c r="S486" s="2">
        <v>106</v>
      </c>
      <c r="T486" s="2" t="s">
        <v>334</v>
      </c>
      <c r="U486" s="2">
        <v>120</v>
      </c>
      <c r="V486" s="2"/>
      <c r="W486" s="2">
        <v>118</v>
      </c>
      <c r="X486" s="2"/>
      <c r="Y486" s="2" t="s">
        <v>43</v>
      </c>
      <c r="Z486" s="2"/>
      <c r="AA486" s="2" t="s">
        <v>43</v>
      </c>
      <c r="AB486" s="2"/>
      <c r="AC486" s="2"/>
      <c r="AD486" s="2"/>
      <c r="AE486" s="2"/>
      <c r="AF486" s="2"/>
      <c r="AG486" s="2"/>
      <c r="AH486" s="2"/>
    </row>
    <row r="487" spans="1:34">
      <c r="A487" t="s">
        <v>1054</v>
      </c>
      <c r="B487" t="s">
        <v>1055</v>
      </c>
      <c r="C487" s="2">
        <v>41</v>
      </c>
      <c r="D487" s="2"/>
      <c r="E487" s="2">
        <v>33</v>
      </c>
      <c r="F487" s="2"/>
      <c r="G487" s="2">
        <v>35</v>
      </c>
      <c r="H487" s="2"/>
      <c r="I487" s="2" t="s">
        <v>43</v>
      </c>
      <c r="J487" s="2"/>
      <c r="K487" s="2" t="s">
        <v>43</v>
      </c>
      <c r="L487" s="2"/>
      <c r="M487" s="2" t="s">
        <v>43</v>
      </c>
      <c r="N487" s="2"/>
      <c r="O487" s="2" t="s">
        <v>43</v>
      </c>
      <c r="P487" s="2"/>
      <c r="Q487" s="2" t="s">
        <v>43</v>
      </c>
      <c r="R487" s="2"/>
      <c r="S487" s="2" t="s">
        <v>43</v>
      </c>
      <c r="T487" s="2"/>
      <c r="U487" s="2" t="s">
        <v>43</v>
      </c>
      <c r="V487" s="2"/>
      <c r="W487" s="2" t="s">
        <v>43</v>
      </c>
      <c r="X487" s="2"/>
      <c r="Y487" s="2" t="s">
        <v>43</v>
      </c>
      <c r="Z487" s="2"/>
      <c r="AA487" s="2" t="s">
        <v>43</v>
      </c>
      <c r="AB487" s="2"/>
      <c r="AC487" s="2"/>
      <c r="AD487" s="2"/>
      <c r="AE487" s="2"/>
      <c r="AF487" s="2"/>
      <c r="AG487" s="2"/>
      <c r="AH487" s="2"/>
    </row>
    <row r="488" spans="1:34">
      <c r="A488" t="s">
        <v>1056</v>
      </c>
      <c r="B488" t="s">
        <v>1057</v>
      </c>
      <c r="C488" s="2" t="s">
        <v>43</v>
      </c>
      <c r="D488" s="2"/>
      <c r="E488" s="2" t="s">
        <v>43</v>
      </c>
      <c r="F488" s="2"/>
      <c r="G488" s="2" t="s">
        <v>43</v>
      </c>
      <c r="H488" s="2"/>
      <c r="I488" s="2">
        <v>61</v>
      </c>
      <c r="J488" s="2"/>
      <c r="K488" s="2">
        <v>64</v>
      </c>
      <c r="L488" s="2"/>
      <c r="M488" s="2">
        <v>65</v>
      </c>
      <c r="N488" s="2"/>
      <c r="O488" s="2">
        <v>73</v>
      </c>
      <c r="P488" s="2"/>
      <c r="Q488" s="2">
        <v>66</v>
      </c>
      <c r="R488" s="2"/>
      <c r="S488" s="2">
        <v>73</v>
      </c>
      <c r="T488" s="2" t="s">
        <v>334</v>
      </c>
      <c r="U488" s="2">
        <v>78</v>
      </c>
      <c r="V488" s="2"/>
      <c r="W488" s="2">
        <v>73</v>
      </c>
      <c r="X488" s="2"/>
      <c r="Y488" s="2" t="s">
        <v>43</v>
      </c>
      <c r="Z488" s="2"/>
      <c r="AA488" s="2" t="s">
        <v>43</v>
      </c>
      <c r="AB488" s="2"/>
      <c r="AC488" s="2"/>
      <c r="AD488" s="2"/>
      <c r="AE488" s="2"/>
      <c r="AF488" s="2"/>
      <c r="AG488" s="2"/>
      <c r="AH488" s="2"/>
    </row>
    <row r="489" spans="1:34">
      <c r="A489" t="s">
        <v>1058</v>
      </c>
      <c r="B489" t="s">
        <v>1059</v>
      </c>
      <c r="C489" s="2" t="s">
        <v>43</v>
      </c>
      <c r="D489" s="2"/>
      <c r="E489" s="2" t="s">
        <v>43</v>
      </c>
      <c r="F489" s="2"/>
      <c r="G489" s="2" t="s">
        <v>43</v>
      </c>
      <c r="H489" s="2"/>
      <c r="I489" s="2">
        <v>35</v>
      </c>
      <c r="J489" s="2"/>
      <c r="K489" s="2">
        <v>39</v>
      </c>
      <c r="L489" s="2"/>
      <c r="M489" s="2">
        <v>40</v>
      </c>
      <c r="N489" s="2"/>
      <c r="O489" s="2">
        <v>43</v>
      </c>
      <c r="P489" s="2"/>
      <c r="Q489" s="2">
        <v>41</v>
      </c>
      <c r="R489" s="2"/>
      <c r="S489" s="2">
        <v>46</v>
      </c>
      <c r="T489" s="2" t="s">
        <v>334</v>
      </c>
      <c r="U489" s="2">
        <v>54</v>
      </c>
      <c r="V489" s="2"/>
      <c r="W489" s="2">
        <v>51</v>
      </c>
      <c r="X489" s="2"/>
      <c r="Y489" s="2" t="s">
        <v>43</v>
      </c>
      <c r="Z489" s="2"/>
      <c r="AA489" s="2" t="s">
        <v>43</v>
      </c>
      <c r="AB489" s="2"/>
      <c r="AC489" s="2"/>
      <c r="AD489" s="2"/>
      <c r="AE489" s="2"/>
      <c r="AF489" s="2"/>
      <c r="AG489" s="2"/>
      <c r="AH489" s="2"/>
    </row>
    <row r="490" spans="1:34">
      <c r="A490" t="s">
        <v>1060</v>
      </c>
      <c r="B490" t="s">
        <v>1061</v>
      </c>
      <c r="C490" s="2">
        <v>344</v>
      </c>
      <c r="D490" s="2"/>
      <c r="E490" s="2">
        <v>298</v>
      </c>
      <c r="F490" s="2"/>
      <c r="G490" s="2">
        <v>279</v>
      </c>
      <c r="H490" s="2"/>
      <c r="I490" s="2">
        <v>262</v>
      </c>
      <c r="J490" s="2"/>
      <c r="K490" s="2">
        <v>247</v>
      </c>
      <c r="L490" s="2"/>
      <c r="M490" s="2">
        <v>242</v>
      </c>
      <c r="N490" s="2"/>
      <c r="O490" s="2">
        <v>274</v>
      </c>
      <c r="P490" s="2"/>
      <c r="Q490" s="2">
        <v>261</v>
      </c>
      <c r="R490" s="2"/>
      <c r="S490" s="2">
        <v>371</v>
      </c>
      <c r="T490" s="2" t="s">
        <v>334</v>
      </c>
      <c r="U490" s="2">
        <v>350</v>
      </c>
      <c r="V490" s="2"/>
      <c r="W490" s="2">
        <v>305</v>
      </c>
      <c r="X490" s="2"/>
      <c r="Y490" s="2" t="s">
        <v>43</v>
      </c>
      <c r="Z490" s="2"/>
      <c r="AA490" s="2" t="s">
        <v>43</v>
      </c>
      <c r="AB490" s="2"/>
      <c r="AC490" s="2"/>
      <c r="AD490" s="2"/>
      <c r="AE490" s="2"/>
      <c r="AF490" s="2"/>
      <c r="AG490" s="2"/>
      <c r="AH490" s="2"/>
    </row>
    <row r="491" spans="1:34">
      <c r="A491" t="s">
        <v>1062</v>
      </c>
      <c r="B491" t="s">
        <v>1063</v>
      </c>
      <c r="C491" s="2">
        <v>92</v>
      </c>
      <c r="D491" s="2"/>
      <c r="E491" s="2">
        <v>79</v>
      </c>
      <c r="F491" s="2"/>
      <c r="G491" s="2">
        <v>73</v>
      </c>
      <c r="H491" s="2"/>
      <c r="I491" s="2">
        <v>68</v>
      </c>
      <c r="J491" s="2"/>
      <c r="K491" s="2">
        <v>62</v>
      </c>
      <c r="L491" s="2"/>
      <c r="M491" s="2">
        <v>65</v>
      </c>
      <c r="N491" s="2"/>
      <c r="O491" s="2">
        <v>69</v>
      </c>
      <c r="P491" s="2"/>
      <c r="Q491" s="2">
        <v>63</v>
      </c>
      <c r="R491" s="2"/>
      <c r="S491" s="2">
        <v>66</v>
      </c>
      <c r="T491" s="2" t="s">
        <v>334</v>
      </c>
      <c r="U491" s="2">
        <v>68</v>
      </c>
      <c r="V491" s="2"/>
      <c r="W491" s="2">
        <v>65</v>
      </c>
      <c r="X491" s="2"/>
      <c r="Y491" s="2" t="s">
        <v>43</v>
      </c>
      <c r="Z491" s="2"/>
      <c r="AA491" s="2" t="s">
        <v>43</v>
      </c>
      <c r="AB491" s="2"/>
      <c r="AC491" s="2"/>
      <c r="AD491" s="2"/>
      <c r="AE491" s="2"/>
      <c r="AF491" s="2"/>
      <c r="AG491" s="2"/>
      <c r="AH491" s="2"/>
    </row>
    <row r="492" spans="1:34">
      <c r="A492" t="s">
        <v>1064</v>
      </c>
      <c r="B492" t="s">
        <v>1065</v>
      </c>
      <c r="C492" s="2">
        <v>46</v>
      </c>
      <c r="D492" s="2"/>
      <c r="E492" s="2">
        <v>39</v>
      </c>
      <c r="F492" s="2"/>
      <c r="G492" s="2">
        <v>37</v>
      </c>
      <c r="H492" s="2"/>
      <c r="I492" s="2">
        <v>42</v>
      </c>
      <c r="J492" s="2"/>
      <c r="K492" s="2">
        <v>41</v>
      </c>
      <c r="L492" s="2"/>
      <c r="M492" s="2">
        <v>31</v>
      </c>
      <c r="N492" s="2"/>
      <c r="O492" s="2">
        <v>30</v>
      </c>
      <c r="P492" s="2"/>
      <c r="Q492" s="2">
        <v>33</v>
      </c>
      <c r="R492" s="2"/>
      <c r="S492" s="2">
        <v>43</v>
      </c>
      <c r="T492" s="2" t="s">
        <v>334</v>
      </c>
      <c r="U492" s="2">
        <v>50</v>
      </c>
      <c r="V492" s="2"/>
      <c r="W492" s="2">
        <v>50</v>
      </c>
      <c r="X492" s="2"/>
      <c r="Y492" s="2" t="s">
        <v>43</v>
      </c>
      <c r="Z492" s="2"/>
      <c r="AA492" s="2" t="s">
        <v>43</v>
      </c>
      <c r="AB492" s="2"/>
      <c r="AC492" s="2"/>
      <c r="AD492" s="2"/>
      <c r="AE492" s="2"/>
      <c r="AF492" s="2"/>
      <c r="AG492" s="2"/>
      <c r="AH492" s="2"/>
    </row>
    <row r="493" spans="1:34">
      <c r="A493" t="s">
        <v>1066</v>
      </c>
      <c r="B493" t="s">
        <v>1067</v>
      </c>
      <c r="C493" s="2">
        <v>73</v>
      </c>
      <c r="D493" s="2"/>
      <c r="E493" s="2">
        <v>65</v>
      </c>
      <c r="F493" s="2"/>
      <c r="G493" s="2">
        <v>56</v>
      </c>
      <c r="H493" s="2"/>
      <c r="I493" s="2">
        <v>49</v>
      </c>
      <c r="J493" s="2"/>
      <c r="K493" s="2">
        <v>44</v>
      </c>
      <c r="L493" s="2"/>
      <c r="M493" s="2">
        <v>45</v>
      </c>
      <c r="N493" s="2"/>
      <c r="O493" s="2">
        <v>46</v>
      </c>
      <c r="P493" s="2"/>
      <c r="Q493" s="2">
        <v>55</v>
      </c>
      <c r="R493" s="2"/>
      <c r="S493" s="2">
        <v>143</v>
      </c>
      <c r="T493" s="2" t="s">
        <v>334</v>
      </c>
      <c r="U493" s="2">
        <v>113</v>
      </c>
      <c r="V493" s="2"/>
      <c r="W493" s="2">
        <v>71</v>
      </c>
      <c r="X493" s="2"/>
      <c r="Y493" s="2" t="s">
        <v>43</v>
      </c>
      <c r="Z493" s="2"/>
      <c r="AA493" s="2" t="s">
        <v>43</v>
      </c>
      <c r="AB493" s="2"/>
      <c r="AC493" s="2"/>
      <c r="AD493" s="2"/>
      <c r="AE493" s="2"/>
      <c r="AF493" s="2"/>
      <c r="AG493" s="2"/>
      <c r="AH493" s="2"/>
    </row>
    <row r="494" spans="1:34">
      <c r="A494" t="s">
        <v>1068</v>
      </c>
      <c r="B494" t="s">
        <v>1069</v>
      </c>
      <c r="C494" s="2">
        <v>133</v>
      </c>
      <c r="D494" s="2"/>
      <c r="E494" s="2">
        <v>115</v>
      </c>
      <c r="F494" s="2"/>
      <c r="G494" s="2">
        <v>113</v>
      </c>
      <c r="H494" s="2"/>
      <c r="I494" s="2">
        <v>103</v>
      </c>
      <c r="J494" s="2"/>
      <c r="K494" s="2">
        <v>100</v>
      </c>
      <c r="L494" s="2"/>
      <c r="M494" s="2">
        <v>101</v>
      </c>
      <c r="N494" s="2"/>
      <c r="O494" s="2">
        <v>129</v>
      </c>
      <c r="P494" s="2"/>
      <c r="Q494" s="2">
        <v>110</v>
      </c>
      <c r="R494" s="2"/>
      <c r="S494" s="2">
        <v>119</v>
      </c>
      <c r="T494" s="2" t="s">
        <v>334</v>
      </c>
      <c r="U494" s="2">
        <v>119</v>
      </c>
      <c r="V494" s="2"/>
      <c r="W494" s="2">
        <v>119</v>
      </c>
      <c r="X494" s="2"/>
      <c r="Y494" s="2" t="s">
        <v>43</v>
      </c>
      <c r="Z494" s="2"/>
      <c r="AA494" s="2" t="s">
        <v>43</v>
      </c>
      <c r="AB494" s="2"/>
      <c r="AC494" s="2"/>
      <c r="AD494" s="2"/>
      <c r="AE494" s="2"/>
      <c r="AF494" s="2"/>
      <c r="AG494" s="2"/>
      <c r="AH494" s="2"/>
    </row>
    <row r="495" spans="1:34">
      <c r="A495" t="s">
        <v>1070</v>
      </c>
      <c r="B495" t="s">
        <v>1071</v>
      </c>
      <c r="C495" s="2">
        <v>392</v>
      </c>
      <c r="D495" s="2"/>
      <c r="E495" s="2">
        <v>357</v>
      </c>
      <c r="F495" s="2"/>
      <c r="G495" s="2">
        <v>343</v>
      </c>
      <c r="H495" s="2"/>
      <c r="I495" s="2">
        <v>332</v>
      </c>
      <c r="J495" s="2"/>
      <c r="K495" s="2">
        <v>322</v>
      </c>
      <c r="L495" s="2"/>
      <c r="M495" s="2">
        <v>326</v>
      </c>
      <c r="N495" s="2"/>
      <c r="O495" s="2">
        <v>329</v>
      </c>
      <c r="P495" s="2"/>
      <c r="Q495" s="2">
        <v>341</v>
      </c>
      <c r="R495" s="2"/>
      <c r="S495" s="2">
        <v>372</v>
      </c>
      <c r="T495" s="2" t="s">
        <v>334</v>
      </c>
      <c r="U495" s="2">
        <v>386</v>
      </c>
      <c r="V495" s="2"/>
      <c r="W495" s="2">
        <v>392</v>
      </c>
      <c r="X495" s="2"/>
      <c r="Y495" s="2" t="s">
        <v>43</v>
      </c>
      <c r="Z495" s="2"/>
      <c r="AA495" s="2" t="s">
        <v>43</v>
      </c>
      <c r="AB495" s="2"/>
      <c r="AC495" s="2"/>
      <c r="AD495" s="2"/>
      <c r="AE495" s="2"/>
      <c r="AF495" s="2"/>
      <c r="AG495" s="2"/>
      <c r="AH495" s="2"/>
    </row>
    <row r="496" spans="1:34">
      <c r="A496" t="s">
        <v>1072</v>
      </c>
      <c r="B496" t="s">
        <v>1073</v>
      </c>
      <c r="C496" s="2">
        <v>140</v>
      </c>
      <c r="D496" s="2"/>
      <c r="E496" s="2">
        <v>127</v>
      </c>
      <c r="F496" s="2"/>
      <c r="G496" s="2">
        <v>127</v>
      </c>
      <c r="H496" s="2"/>
      <c r="I496" s="2">
        <v>125</v>
      </c>
      <c r="J496" s="2"/>
      <c r="K496" s="2">
        <v>111</v>
      </c>
      <c r="L496" s="2"/>
      <c r="M496" s="2">
        <v>118</v>
      </c>
      <c r="N496" s="2"/>
      <c r="O496" s="2">
        <v>123</v>
      </c>
      <c r="P496" s="2"/>
      <c r="Q496" s="2">
        <v>121</v>
      </c>
      <c r="R496" s="2"/>
      <c r="S496" s="2">
        <v>132</v>
      </c>
      <c r="T496" s="2" t="s">
        <v>334</v>
      </c>
      <c r="U496" s="2">
        <v>141</v>
      </c>
      <c r="V496" s="2"/>
      <c r="W496" s="2">
        <v>140</v>
      </c>
      <c r="X496" s="2"/>
      <c r="Y496" s="2" t="s">
        <v>43</v>
      </c>
      <c r="Z496" s="2"/>
      <c r="AA496" s="2" t="s">
        <v>43</v>
      </c>
      <c r="AB496" s="2"/>
      <c r="AC496" s="2"/>
      <c r="AD496" s="2"/>
      <c r="AE496" s="2"/>
      <c r="AF496" s="2"/>
      <c r="AG496" s="2"/>
      <c r="AH496" s="2"/>
    </row>
    <row r="497" spans="1:34">
      <c r="A497" t="s">
        <v>1074</v>
      </c>
      <c r="B497" t="s">
        <v>1075</v>
      </c>
      <c r="C497" s="2">
        <v>200</v>
      </c>
      <c r="D497" s="2"/>
      <c r="E497" s="2">
        <v>182</v>
      </c>
      <c r="F497" s="2"/>
      <c r="G497" s="2">
        <v>167</v>
      </c>
      <c r="H497" s="2"/>
      <c r="I497" s="2">
        <v>161</v>
      </c>
      <c r="J497" s="2"/>
      <c r="K497" s="2">
        <v>167</v>
      </c>
      <c r="L497" s="2"/>
      <c r="M497" s="2">
        <v>163</v>
      </c>
      <c r="N497" s="2"/>
      <c r="O497" s="2">
        <v>163</v>
      </c>
      <c r="P497" s="2"/>
      <c r="Q497" s="2">
        <v>174</v>
      </c>
      <c r="R497" s="2"/>
      <c r="S497" s="2">
        <v>190</v>
      </c>
      <c r="T497" s="2" t="s">
        <v>334</v>
      </c>
      <c r="U497" s="2">
        <v>195</v>
      </c>
      <c r="V497" s="2"/>
      <c r="W497" s="2">
        <v>202</v>
      </c>
      <c r="X497" s="2"/>
      <c r="Y497" s="2" t="s">
        <v>43</v>
      </c>
      <c r="Z497" s="2"/>
      <c r="AA497" s="2" t="s">
        <v>43</v>
      </c>
      <c r="AB497" s="2"/>
      <c r="AC497" s="2"/>
      <c r="AD497" s="2"/>
      <c r="AE497" s="2"/>
      <c r="AF497" s="2"/>
      <c r="AG497" s="2"/>
      <c r="AH497" s="2"/>
    </row>
    <row r="498" spans="1:34">
      <c r="A498" t="s">
        <v>1076</v>
      </c>
      <c r="B498" t="s">
        <v>1077</v>
      </c>
      <c r="C498" s="2">
        <v>52</v>
      </c>
      <c r="D498" s="2"/>
      <c r="E498" s="2">
        <v>48</v>
      </c>
      <c r="F498" s="2"/>
      <c r="G498" s="2">
        <v>49</v>
      </c>
      <c r="H498" s="2"/>
      <c r="I498" s="2">
        <v>46</v>
      </c>
      <c r="J498" s="2"/>
      <c r="K498" s="2">
        <v>44</v>
      </c>
      <c r="L498" s="2"/>
      <c r="M498" s="2">
        <v>45</v>
      </c>
      <c r="N498" s="2"/>
      <c r="O498" s="2">
        <v>43</v>
      </c>
      <c r="P498" s="2"/>
      <c r="Q498" s="2">
        <v>46</v>
      </c>
      <c r="R498" s="2"/>
      <c r="S498" s="2">
        <v>50</v>
      </c>
      <c r="T498" s="2" t="s">
        <v>334</v>
      </c>
      <c r="U498" s="2">
        <v>50</v>
      </c>
      <c r="V498" s="2"/>
      <c r="W498" s="2">
        <v>50</v>
      </c>
      <c r="X498" s="2"/>
      <c r="Y498" s="2" t="s">
        <v>43</v>
      </c>
      <c r="Z498" s="2"/>
      <c r="AA498" s="2" t="s">
        <v>43</v>
      </c>
      <c r="AB498" s="2"/>
      <c r="AC498" s="2"/>
      <c r="AD498" s="2"/>
      <c r="AE498" s="2"/>
      <c r="AF498" s="2"/>
      <c r="AG498" s="2"/>
      <c r="AH498" s="2"/>
    </row>
    <row r="499" spans="1:34">
      <c r="A499" t="s">
        <v>1078</v>
      </c>
      <c r="B499" t="s">
        <v>1079</v>
      </c>
      <c r="C499" s="2">
        <v>580</v>
      </c>
      <c r="D499" s="2"/>
      <c r="E499" s="2">
        <v>508</v>
      </c>
      <c r="F499" s="2"/>
      <c r="G499" s="2">
        <v>517</v>
      </c>
      <c r="H499" s="2"/>
      <c r="I499" s="2">
        <v>487</v>
      </c>
      <c r="J499" s="2"/>
      <c r="K499" s="2">
        <v>495</v>
      </c>
      <c r="L499" s="2"/>
      <c r="M499" s="2">
        <v>497</v>
      </c>
      <c r="N499" s="2"/>
      <c r="O499" s="2">
        <v>525</v>
      </c>
      <c r="P499" s="2"/>
      <c r="Q499" s="2">
        <v>539</v>
      </c>
      <c r="R499" s="2"/>
      <c r="S499" s="2">
        <v>582</v>
      </c>
      <c r="T499" s="2" t="s">
        <v>334</v>
      </c>
      <c r="U499" s="2">
        <v>589</v>
      </c>
      <c r="V499" s="2"/>
      <c r="W499" s="2">
        <v>583</v>
      </c>
      <c r="X499" s="2"/>
      <c r="Y499" s="2" t="s">
        <v>43</v>
      </c>
      <c r="Z499" s="2"/>
      <c r="AA499" s="2" t="s">
        <v>43</v>
      </c>
      <c r="AB499" s="2"/>
      <c r="AC499" s="2"/>
      <c r="AD499" s="2"/>
      <c r="AE499" s="2"/>
      <c r="AF499" s="2"/>
      <c r="AG499" s="2"/>
      <c r="AH499" s="2"/>
    </row>
    <row r="500" spans="1:34">
      <c r="A500" t="s">
        <v>1080</v>
      </c>
      <c r="B500" t="s">
        <v>1081</v>
      </c>
      <c r="C500" s="2">
        <v>163</v>
      </c>
      <c r="D500" s="2"/>
      <c r="E500" s="2">
        <v>151</v>
      </c>
      <c r="F500" s="2"/>
      <c r="G500" s="2">
        <v>153</v>
      </c>
      <c r="H500" s="2"/>
      <c r="I500" s="2">
        <v>145</v>
      </c>
      <c r="J500" s="2"/>
      <c r="K500" s="2">
        <v>143</v>
      </c>
      <c r="L500" s="2"/>
      <c r="M500" s="2">
        <v>156</v>
      </c>
      <c r="N500" s="2"/>
      <c r="O500" s="2">
        <v>176</v>
      </c>
      <c r="P500" s="2"/>
      <c r="Q500" s="2">
        <v>191</v>
      </c>
      <c r="R500" s="2"/>
      <c r="S500" s="2">
        <v>199</v>
      </c>
      <c r="T500" s="2" t="s">
        <v>334</v>
      </c>
      <c r="U500" s="2">
        <v>196</v>
      </c>
      <c r="V500" s="2"/>
      <c r="W500" s="2">
        <v>186</v>
      </c>
      <c r="X500" s="2"/>
      <c r="Y500" s="2" t="s">
        <v>43</v>
      </c>
      <c r="Z500" s="2"/>
      <c r="AA500" s="2" t="s">
        <v>43</v>
      </c>
      <c r="AB500" s="2"/>
      <c r="AC500" s="2"/>
      <c r="AD500" s="2"/>
      <c r="AE500" s="2"/>
      <c r="AF500" s="2"/>
      <c r="AG500" s="2"/>
      <c r="AH500" s="2"/>
    </row>
    <row r="501" spans="1:34">
      <c r="A501" t="s">
        <v>1082</v>
      </c>
      <c r="B501" t="s">
        <v>1083</v>
      </c>
      <c r="C501" s="2">
        <v>151</v>
      </c>
      <c r="D501" s="2"/>
      <c r="E501" s="2">
        <v>127</v>
      </c>
      <c r="F501" s="2"/>
      <c r="G501" s="2">
        <v>132</v>
      </c>
      <c r="H501" s="2"/>
      <c r="I501" s="2">
        <v>124</v>
      </c>
      <c r="J501" s="2"/>
      <c r="K501" s="2">
        <v>124</v>
      </c>
      <c r="L501" s="2"/>
      <c r="M501" s="2">
        <v>120</v>
      </c>
      <c r="N501" s="2"/>
      <c r="O501" s="2">
        <v>129</v>
      </c>
      <c r="P501" s="2"/>
      <c r="Q501" s="2">
        <v>125</v>
      </c>
      <c r="R501" s="2"/>
      <c r="S501" s="2">
        <v>127</v>
      </c>
      <c r="T501" s="2" t="s">
        <v>334</v>
      </c>
      <c r="U501" s="2">
        <v>127</v>
      </c>
      <c r="V501" s="2"/>
      <c r="W501" s="2">
        <v>131</v>
      </c>
      <c r="X501" s="2"/>
      <c r="Y501" s="2" t="s">
        <v>43</v>
      </c>
      <c r="Z501" s="2"/>
      <c r="AA501" s="2" t="s">
        <v>43</v>
      </c>
      <c r="AB501" s="2"/>
      <c r="AC501" s="2"/>
      <c r="AD501" s="2"/>
      <c r="AE501" s="2"/>
      <c r="AF501" s="2"/>
      <c r="AG501" s="2"/>
      <c r="AH501" s="2"/>
    </row>
    <row r="502" spans="1:34">
      <c r="A502" t="s">
        <v>1084</v>
      </c>
      <c r="B502" t="s">
        <v>1085</v>
      </c>
      <c r="C502" s="2">
        <v>266</v>
      </c>
      <c r="D502" s="2"/>
      <c r="E502" s="2">
        <v>230</v>
      </c>
      <c r="F502" s="2"/>
      <c r="G502" s="2">
        <v>232</v>
      </c>
      <c r="H502" s="2"/>
      <c r="I502" s="2">
        <v>218</v>
      </c>
      <c r="J502" s="2"/>
      <c r="K502" s="2">
        <v>228</v>
      </c>
      <c r="L502" s="2"/>
      <c r="M502" s="2">
        <v>221</v>
      </c>
      <c r="N502" s="2"/>
      <c r="O502" s="2">
        <v>220</v>
      </c>
      <c r="P502" s="2"/>
      <c r="Q502" s="2">
        <v>223</v>
      </c>
      <c r="R502" s="2"/>
      <c r="S502" s="2">
        <v>256</v>
      </c>
      <c r="T502" s="2" t="s">
        <v>334</v>
      </c>
      <c r="U502" s="2">
        <v>266</v>
      </c>
      <c r="V502" s="2"/>
      <c r="W502" s="2">
        <v>266</v>
      </c>
      <c r="X502" s="2"/>
      <c r="Y502" s="2" t="s">
        <v>43</v>
      </c>
      <c r="Z502" s="2"/>
      <c r="AA502" s="2" t="s">
        <v>43</v>
      </c>
      <c r="AB502" s="2"/>
      <c r="AC502" s="2"/>
      <c r="AD502" s="2"/>
      <c r="AE502" s="2"/>
      <c r="AF502" s="2"/>
      <c r="AG502" s="2"/>
      <c r="AH502" s="2"/>
    </row>
    <row r="503" spans="1:34">
      <c r="A503" t="s">
        <v>1086</v>
      </c>
      <c r="B503" t="s">
        <v>1087</v>
      </c>
      <c r="C503" s="2">
        <v>416</v>
      </c>
      <c r="D503" s="2"/>
      <c r="E503" s="2">
        <v>368</v>
      </c>
      <c r="F503" s="2"/>
      <c r="G503" s="2">
        <v>337</v>
      </c>
      <c r="H503" s="2"/>
      <c r="I503" s="2">
        <v>337</v>
      </c>
      <c r="J503" s="2"/>
      <c r="K503" s="2">
        <v>305</v>
      </c>
      <c r="L503" s="2"/>
      <c r="M503" s="2">
        <v>294</v>
      </c>
      <c r="N503" s="2"/>
      <c r="O503" s="2">
        <v>304</v>
      </c>
      <c r="P503" s="2"/>
      <c r="Q503" s="2">
        <v>330</v>
      </c>
      <c r="R503" s="2"/>
      <c r="S503" s="2">
        <v>389</v>
      </c>
      <c r="T503" s="2" t="s">
        <v>334</v>
      </c>
      <c r="U503" s="2">
        <v>375</v>
      </c>
      <c r="V503" s="2"/>
      <c r="W503" s="2">
        <v>436</v>
      </c>
      <c r="X503" s="2"/>
      <c r="Y503" s="2" t="s">
        <v>43</v>
      </c>
      <c r="Z503" s="2"/>
      <c r="AA503" s="2" t="s">
        <v>43</v>
      </c>
      <c r="AB503" s="2"/>
      <c r="AC503" s="2"/>
      <c r="AD503" s="2"/>
      <c r="AE503" s="2"/>
      <c r="AF503" s="2"/>
      <c r="AG503" s="2"/>
      <c r="AH503" s="2"/>
    </row>
    <row r="504" spans="1:34">
      <c r="A504" t="s">
        <v>1088</v>
      </c>
      <c r="B504" t="s">
        <v>1089</v>
      </c>
      <c r="C504" s="2">
        <v>199</v>
      </c>
      <c r="D504" s="2"/>
      <c r="E504" s="2">
        <v>180</v>
      </c>
      <c r="F504" s="2"/>
      <c r="G504" s="2">
        <v>164</v>
      </c>
      <c r="H504" s="2"/>
      <c r="I504" s="2">
        <v>163</v>
      </c>
      <c r="J504" s="2"/>
      <c r="K504" s="2">
        <v>142</v>
      </c>
      <c r="L504" s="2"/>
      <c r="M504" s="2">
        <v>135</v>
      </c>
      <c r="N504" s="2"/>
      <c r="O504" s="2">
        <v>142</v>
      </c>
      <c r="P504" s="2"/>
      <c r="Q504" s="2">
        <v>161</v>
      </c>
      <c r="R504" s="2"/>
      <c r="S504" s="2">
        <v>175</v>
      </c>
      <c r="T504" s="2" t="s">
        <v>334</v>
      </c>
      <c r="U504" s="2">
        <v>184</v>
      </c>
      <c r="V504" s="2"/>
      <c r="W504" s="2">
        <v>253</v>
      </c>
      <c r="X504" s="2"/>
      <c r="Y504" s="2" t="s">
        <v>43</v>
      </c>
      <c r="Z504" s="2"/>
      <c r="AA504" s="2" t="s">
        <v>43</v>
      </c>
      <c r="AB504" s="2"/>
      <c r="AC504" s="2"/>
      <c r="AD504" s="2"/>
      <c r="AE504" s="2"/>
      <c r="AF504" s="2"/>
      <c r="AG504" s="2"/>
      <c r="AH504" s="2"/>
    </row>
    <row r="505" spans="1:34">
      <c r="A505" t="s">
        <v>1090</v>
      </c>
      <c r="B505" t="s">
        <v>1091</v>
      </c>
      <c r="C505" s="2">
        <v>109</v>
      </c>
      <c r="D505" s="2"/>
      <c r="E505" s="2">
        <v>86</v>
      </c>
      <c r="F505" s="2"/>
      <c r="G505" s="2">
        <v>80</v>
      </c>
      <c r="H505" s="2"/>
      <c r="I505" s="2">
        <v>77</v>
      </c>
      <c r="J505" s="2"/>
      <c r="K505" s="2">
        <v>74</v>
      </c>
      <c r="L505" s="2"/>
      <c r="M505" s="2">
        <v>74</v>
      </c>
      <c r="N505" s="2"/>
      <c r="O505" s="2">
        <v>72</v>
      </c>
      <c r="P505" s="2"/>
      <c r="Q505" s="2">
        <v>81</v>
      </c>
      <c r="R505" s="2"/>
      <c r="S505" s="2">
        <v>121</v>
      </c>
      <c r="T505" s="2" t="s">
        <v>334</v>
      </c>
      <c r="U505" s="2">
        <v>96</v>
      </c>
      <c r="V505" s="2"/>
      <c r="W505" s="2">
        <v>84</v>
      </c>
      <c r="X505" s="2"/>
      <c r="Y505" s="2" t="s">
        <v>43</v>
      </c>
      <c r="Z505" s="2"/>
      <c r="AA505" s="2" t="s">
        <v>43</v>
      </c>
      <c r="AB505" s="2"/>
      <c r="AC505" s="2"/>
      <c r="AD505" s="2"/>
      <c r="AE505" s="2"/>
      <c r="AF505" s="2"/>
      <c r="AG505" s="2"/>
      <c r="AH505" s="2"/>
    </row>
    <row r="506" spans="1:34">
      <c r="A506" t="s">
        <v>1092</v>
      </c>
      <c r="B506" t="s">
        <v>1093</v>
      </c>
      <c r="C506" s="2">
        <v>108</v>
      </c>
      <c r="D506" s="2"/>
      <c r="E506" s="2">
        <v>102</v>
      </c>
      <c r="F506" s="2"/>
      <c r="G506" s="2">
        <v>93</v>
      </c>
      <c r="H506" s="2"/>
      <c r="I506" s="2">
        <v>97</v>
      </c>
      <c r="J506" s="2"/>
      <c r="K506" s="2">
        <v>89</v>
      </c>
      <c r="L506" s="2"/>
      <c r="M506" s="2">
        <v>85</v>
      </c>
      <c r="N506" s="2"/>
      <c r="O506" s="2">
        <v>90</v>
      </c>
      <c r="P506" s="2"/>
      <c r="Q506" s="2">
        <v>88</v>
      </c>
      <c r="R506" s="2"/>
      <c r="S506" s="2">
        <v>93</v>
      </c>
      <c r="T506" s="2" t="s">
        <v>334</v>
      </c>
      <c r="U506" s="2">
        <v>95</v>
      </c>
      <c r="V506" s="2"/>
      <c r="W506" s="2">
        <v>99</v>
      </c>
      <c r="X506" s="2"/>
      <c r="Y506" s="2" t="s">
        <v>43</v>
      </c>
      <c r="Z506" s="2"/>
      <c r="AA506" s="2" t="s">
        <v>43</v>
      </c>
      <c r="AB506" s="2"/>
      <c r="AC506" s="2"/>
      <c r="AD506" s="2"/>
      <c r="AE506" s="2"/>
      <c r="AF506" s="2"/>
      <c r="AG506" s="2"/>
      <c r="AH506" s="2"/>
    </row>
    <row r="507" spans="1:34">
      <c r="A507" t="s">
        <v>1094</v>
      </c>
      <c r="B507" t="s">
        <v>1095</v>
      </c>
      <c r="C507" s="2">
        <v>179</v>
      </c>
      <c r="D507" s="2"/>
      <c r="E507" s="2">
        <v>164</v>
      </c>
      <c r="F507" s="2"/>
      <c r="G507" s="2">
        <v>128</v>
      </c>
      <c r="H507" s="2"/>
      <c r="I507" s="2">
        <v>123</v>
      </c>
      <c r="J507" s="2"/>
      <c r="K507" s="2">
        <v>131</v>
      </c>
      <c r="L507" s="2"/>
      <c r="M507" s="2">
        <v>141</v>
      </c>
      <c r="N507" s="2"/>
      <c r="O507" s="2">
        <v>149</v>
      </c>
      <c r="P507" s="2"/>
      <c r="Q507" s="2">
        <v>164</v>
      </c>
      <c r="R507" s="2"/>
      <c r="S507" s="2">
        <v>178</v>
      </c>
      <c r="T507" s="2" t="s">
        <v>334</v>
      </c>
      <c r="U507" s="2">
        <v>223</v>
      </c>
      <c r="V507" s="2"/>
      <c r="W507" s="2">
        <v>224</v>
      </c>
      <c r="X507" s="2"/>
      <c r="Y507" s="2" t="s">
        <v>43</v>
      </c>
      <c r="Z507" s="2"/>
      <c r="AA507" s="2" t="s">
        <v>43</v>
      </c>
      <c r="AB507" s="2"/>
      <c r="AC507" s="2"/>
      <c r="AD507" s="2"/>
      <c r="AE507" s="2"/>
      <c r="AF507" s="2"/>
      <c r="AG507" s="2"/>
      <c r="AH507" s="2"/>
    </row>
    <row r="508" spans="1:34">
      <c r="A508" t="s">
        <v>1096</v>
      </c>
      <c r="B508" t="s">
        <v>1097</v>
      </c>
      <c r="C508" s="2">
        <v>58</v>
      </c>
      <c r="D508" s="2"/>
      <c r="E508" s="2">
        <v>52</v>
      </c>
      <c r="F508" s="2"/>
      <c r="G508" s="2">
        <v>36</v>
      </c>
      <c r="H508" s="2"/>
      <c r="I508" s="2">
        <v>34</v>
      </c>
      <c r="J508" s="2"/>
      <c r="K508" s="2">
        <v>40</v>
      </c>
      <c r="L508" s="2"/>
      <c r="M508" s="2" t="s">
        <v>43</v>
      </c>
      <c r="N508" s="2"/>
      <c r="O508" s="2" t="s">
        <v>43</v>
      </c>
      <c r="P508" s="2"/>
      <c r="Q508" s="2" t="s">
        <v>43</v>
      </c>
      <c r="R508" s="2"/>
      <c r="S508" s="2" t="s">
        <v>43</v>
      </c>
      <c r="T508" s="2"/>
      <c r="U508" s="2" t="s">
        <v>43</v>
      </c>
      <c r="V508" s="2"/>
      <c r="W508" s="2" t="s">
        <v>43</v>
      </c>
      <c r="X508" s="2"/>
      <c r="Y508" s="2" t="s">
        <v>43</v>
      </c>
      <c r="Z508" s="2"/>
      <c r="AA508" s="2" t="s">
        <v>43</v>
      </c>
      <c r="AB508" s="2"/>
      <c r="AC508" s="2"/>
      <c r="AD508" s="2"/>
      <c r="AE508" s="2"/>
      <c r="AF508" s="2"/>
      <c r="AG508" s="2"/>
      <c r="AH508" s="2"/>
    </row>
    <row r="509" spans="1:34">
      <c r="A509" t="s">
        <v>1098</v>
      </c>
      <c r="B509" t="s">
        <v>1099</v>
      </c>
      <c r="C509" s="2">
        <v>121</v>
      </c>
      <c r="D509" s="2"/>
      <c r="E509" s="2">
        <v>112</v>
      </c>
      <c r="F509" s="2"/>
      <c r="G509" s="2">
        <v>92</v>
      </c>
      <c r="H509" s="2"/>
      <c r="I509" s="2">
        <v>89</v>
      </c>
      <c r="J509" s="2"/>
      <c r="K509" s="2">
        <v>91</v>
      </c>
      <c r="L509" s="2"/>
      <c r="M509" s="2" t="s">
        <v>43</v>
      </c>
      <c r="N509" s="2"/>
      <c r="O509" s="2" t="s">
        <v>43</v>
      </c>
      <c r="P509" s="2"/>
      <c r="Q509" s="2" t="s">
        <v>43</v>
      </c>
      <c r="R509" s="2"/>
      <c r="S509" s="2" t="s">
        <v>43</v>
      </c>
      <c r="T509" s="2"/>
      <c r="U509" s="2" t="s">
        <v>43</v>
      </c>
      <c r="V509" s="2"/>
      <c r="W509" s="2" t="s">
        <v>43</v>
      </c>
      <c r="X509" s="2"/>
      <c r="Y509" s="2" t="s">
        <v>43</v>
      </c>
      <c r="Z509" s="2"/>
      <c r="AA509" s="2" t="s">
        <v>43</v>
      </c>
      <c r="AB509" s="2"/>
      <c r="AC509" s="2"/>
      <c r="AD509" s="2"/>
      <c r="AE509" s="2"/>
      <c r="AF509" s="2"/>
      <c r="AG509" s="2"/>
      <c r="AH509" s="2"/>
    </row>
    <row r="510" spans="1:34">
      <c r="A510" t="s">
        <v>1100</v>
      </c>
      <c r="B510" t="s">
        <v>1101</v>
      </c>
      <c r="C510" s="2" t="s">
        <v>43</v>
      </c>
      <c r="D510" s="2"/>
      <c r="E510" s="2" t="s">
        <v>43</v>
      </c>
      <c r="F510" s="2"/>
      <c r="G510" s="2" t="s">
        <v>43</v>
      </c>
      <c r="H510" s="2"/>
      <c r="I510" s="2" t="s">
        <v>43</v>
      </c>
      <c r="J510" s="2"/>
      <c r="K510" s="2" t="s">
        <v>43</v>
      </c>
      <c r="L510" s="2"/>
      <c r="M510" s="2">
        <v>18</v>
      </c>
      <c r="N510" s="2"/>
      <c r="O510" s="2">
        <v>18</v>
      </c>
      <c r="P510" s="2"/>
      <c r="Q510" s="2">
        <v>27</v>
      </c>
      <c r="R510" s="2"/>
      <c r="S510" s="2">
        <v>35</v>
      </c>
      <c r="T510" s="2" t="s">
        <v>334</v>
      </c>
      <c r="U510" s="2">
        <v>79</v>
      </c>
      <c r="V510" s="2"/>
      <c r="W510" s="2">
        <v>72</v>
      </c>
      <c r="X510" s="2"/>
      <c r="Y510" s="2" t="s">
        <v>43</v>
      </c>
      <c r="Z510" s="2"/>
      <c r="AA510" s="2" t="s">
        <v>43</v>
      </c>
      <c r="AB510" s="2"/>
      <c r="AC510" s="2"/>
      <c r="AD510" s="2"/>
      <c r="AE510" s="2"/>
      <c r="AF510" s="2"/>
      <c r="AG510" s="2"/>
      <c r="AH510" s="2"/>
    </row>
    <row r="511" spans="1:34">
      <c r="A511" t="s">
        <v>1102</v>
      </c>
      <c r="B511" t="s">
        <v>1103</v>
      </c>
      <c r="C511" s="2" t="s">
        <v>43</v>
      </c>
      <c r="D511" s="2"/>
      <c r="E511" s="2" t="s">
        <v>43</v>
      </c>
      <c r="F511" s="2"/>
      <c r="G511" s="2" t="s">
        <v>43</v>
      </c>
      <c r="H511" s="2"/>
      <c r="I511" s="2" t="s">
        <v>43</v>
      </c>
      <c r="J511" s="2"/>
      <c r="K511" s="2" t="s">
        <v>43</v>
      </c>
      <c r="L511" s="2"/>
      <c r="M511" s="2">
        <v>23</v>
      </c>
      <c r="N511" s="2"/>
      <c r="O511" s="2">
        <v>23</v>
      </c>
      <c r="P511" s="2"/>
      <c r="Q511" s="2">
        <v>33</v>
      </c>
      <c r="R511" s="2"/>
      <c r="S511" s="2">
        <v>34</v>
      </c>
      <c r="T511" s="2" t="s">
        <v>334</v>
      </c>
      <c r="U511" s="2">
        <v>33</v>
      </c>
      <c r="V511" s="2"/>
      <c r="W511" s="2">
        <v>39</v>
      </c>
      <c r="X511" s="2"/>
      <c r="Y511" s="2" t="s">
        <v>43</v>
      </c>
      <c r="Z511" s="2"/>
      <c r="AA511" s="2" t="s">
        <v>43</v>
      </c>
      <c r="AB511" s="2"/>
      <c r="AC511" s="2"/>
      <c r="AD511" s="2"/>
      <c r="AE511" s="2"/>
      <c r="AF511" s="2"/>
      <c r="AG511" s="2"/>
      <c r="AH511" s="2"/>
    </row>
    <row r="512" spans="1:34">
      <c r="A512" t="s">
        <v>1104</v>
      </c>
      <c r="B512" t="s">
        <v>1105</v>
      </c>
      <c r="C512" s="2" t="s">
        <v>43</v>
      </c>
      <c r="D512" s="2"/>
      <c r="E512" s="2" t="s">
        <v>43</v>
      </c>
      <c r="F512" s="2"/>
      <c r="G512" s="2" t="s">
        <v>43</v>
      </c>
      <c r="H512" s="2"/>
      <c r="I512" s="2" t="s">
        <v>43</v>
      </c>
      <c r="J512" s="2"/>
      <c r="K512" s="2" t="s">
        <v>43</v>
      </c>
      <c r="L512" s="2"/>
      <c r="M512" s="2">
        <v>46</v>
      </c>
      <c r="N512" s="2"/>
      <c r="O512" s="2">
        <v>48</v>
      </c>
      <c r="P512" s="2"/>
      <c r="Q512" s="2">
        <v>41</v>
      </c>
      <c r="R512" s="2"/>
      <c r="S512" s="2">
        <v>36</v>
      </c>
      <c r="T512" s="2" t="s">
        <v>334</v>
      </c>
      <c r="U512" s="2">
        <v>36</v>
      </c>
      <c r="V512" s="2"/>
      <c r="W512" s="2">
        <v>41</v>
      </c>
      <c r="X512" s="2"/>
      <c r="Y512" s="2" t="s">
        <v>43</v>
      </c>
      <c r="Z512" s="2"/>
      <c r="AA512" s="2" t="s">
        <v>43</v>
      </c>
      <c r="AB512" s="2"/>
      <c r="AC512" s="2"/>
      <c r="AD512" s="2"/>
      <c r="AE512" s="2"/>
      <c r="AF512" s="2"/>
      <c r="AG512" s="2"/>
      <c r="AH512" s="2"/>
    </row>
    <row r="513" spans="1:34">
      <c r="A513" t="s">
        <v>1106</v>
      </c>
      <c r="B513" t="s">
        <v>1107</v>
      </c>
      <c r="C513" s="2" t="s">
        <v>43</v>
      </c>
      <c r="D513" s="2"/>
      <c r="E513" s="2" t="s">
        <v>43</v>
      </c>
      <c r="F513" s="2"/>
      <c r="G513" s="2" t="s">
        <v>43</v>
      </c>
      <c r="H513" s="2"/>
      <c r="I513" s="2" t="s">
        <v>43</v>
      </c>
      <c r="J513" s="2"/>
      <c r="K513" s="2" t="s">
        <v>43</v>
      </c>
      <c r="L513" s="2"/>
      <c r="M513" s="2">
        <v>13</v>
      </c>
      <c r="N513" s="2"/>
      <c r="O513" s="2">
        <v>14</v>
      </c>
      <c r="P513" s="2"/>
      <c r="Q513" s="2">
        <v>20</v>
      </c>
      <c r="R513" s="2"/>
      <c r="S513" s="2">
        <v>21</v>
      </c>
      <c r="T513" s="2" t="s">
        <v>334</v>
      </c>
      <c r="U513" s="2">
        <v>21</v>
      </c>
      <c r="V513" s="2"/>
      <c r="W513" s="2">
        <v>19</v>
      </c>
      <c r="X513" s="2"/>
      <c r="Y513" s="2" t="s">
        <v>43</v>
      </c>
      <c r="Z513" s="2"/>
      <c r="AA513" s="2" t="s">
        <v>43</v>
      </c>
      <c r="AB513" s="2"/>
      <c r="AC513" s="2"/>
      <c r="AD513" s="2"/>
      <c r="AE513" s="2"/>
      <c r="AF513" s="2"/>
      <c r="AG513" s="2"/>
      <c r="AH513" s="2"/>
    </row>
    <row r="514" spans="1:34">
      <c r="A514" t="s">
        <v>1108</v>
      </c>
      <c r="B514" t="s">
        <v>1109</v>
      </c>
      <c r="C514" s="2" t="s">
        <v>43</v>
      </c>
      <c r="D514" s="2"/>
      <c r="E514" s="2" t="s">
        <v>43</v>
      </c>
      <c r="F514" s="2"/>
      <c r="G514" s="2" t="s">
        <v>43</v>
      </c>
      <c r="H514" s="2"/>
      <c r="I514" s="2" t="s">
        <v>43</v>
      </c>
      <c r="J514" s="2"/>
      <c r="K514" s="2" t="s">
        <v>43</v>
      </c>
      <c r="L514" s="2"/>
      <c r="M514" s="2">
        <v>41</v>
      </c>
      <c r="N514" s="2"/>
      <c r="O514" s="2">
        <v>46</v>
      </c>
      <c r="P514" s="2"/>
      <c r="Q514" s="2">
        <v>43</v>
      </c>
      <c r="R514" s="2"/>
      <c r="S514" s="2">
        <v>52</v>
      </c>
      <c r="T514" s="2" t="s">
        <v>334</v>
      </c>
      <c r="U514" s="2">
        <v>54</v>
      </c>
      <c r="V514" s="2"/>
      <c r="W514" s="2">
        <v>53</v>
      </c>
      <c r="X514" s="2"/>
      <c r="Y514" s="2" t="s">
        <v>43</v>
      </c>
      <c r="Z514" s="2"/>
      <c r="AA514" s="2" t="s">
        <v>43</v>
      </c>
      <c r="AB514" s="2"/>
      <c r="AC514" s="2"/>
      <c r="AD514" s="2"/>
      <c r="AE514" s="2"/>
      <c r="AF514" s="2"/>
      <c r="AG514" s="2"/>
      <c r="AH514" s="2"/>
    </row>
    <row r="515" spans="1:34">
      <c r="A515" t="s">
        <v>1110</v>
      </c>
      <c r="B515" t="s">
        <v>1111</v>
      </c>
      <c r="C515" s="2">
        <v>431</v>
      </c>
      <c r="D515" s="2"/>
      <c r="E515" s="2">
        <v>405</v>
      </c>
      <c r="F515" s="2"/>
      <c r="G515" s="2">
        <v>376</v>
      </c>
      <c r="H515" s="2"/>
      <c r="I515" s="2">
        <v>366</v>
      </c>
      <c r="J515" s="2"/>
      <c r="K515" s="2">
        <v>348</v>
      </c>
      <c r="L515" s="2"/>
      <c r="M515" s="2">
        <v>364</v>
      </c>
      <c r="N515" s="2"/>
      <c r="O515" s="2">
        <v>367</v>
      </c>
      <c r="P515" s="2"/>
      <c r="Q515" s="2">
        <v>399</v>
      </c>
      <c r="R515" s="2"/>
      <c r="S515" s="2">
        <v>444</v>
      </c>
      <c r="T515" s="2" t="s">
        <v>334</v>
      </c>
      <c r="U515" s="2">
        <v>461</v>
      </c>
      <c r="V515" s="2"/>
      <c r="W515" s="2">
        <v>482</v>
      </c>
      <c r="X515" s="2"/>
      <c r="Y515" s="2" t="s">
        <v>43</v>
      </c>
      <c r="Z515" s="2"/>
      <c r="AA515" s="2" t="s">
        <v>43</v>
      </c>
      <c r="AB515" s="2"/>
      <c r="AC515" s="2"/>
      <c r="AD515" s="2"/>
      <c r="AE515" s="2"/>
      <c r="AF515" s="2"/>
      <c r="AG515" s="2"/>
      <c r="AH515" s="2"/>
    </row>
    <row r="516" spans="1:34">
      <c r="A516" t="s">
        <v>1112</v>
      </c>
      <c r="B516" t="s">
        <v>1113</v>
      </c>
      <c r="C516" s="2">
        <v>127</v>
      </c>
      <c r="D516" s="2"/>
      <c r="E516" s="2">
        <v>122</v>
      </c>
      <c r="F516" s="2"/>
      <c r="G516" s="2">
        <v>111</v>
      </c>
      <c r="H516" s="2"/>
      <c r="I516" s="2">
        <v>106</v>
      </c>
      <c r="J516" s="2"/>
      <c r="K516" s="2">
        <v>99</v>
      </c>
      <c r="L516" s="2"/>
      <c r="M516" s="2">
        <v>104</v>
      </c>
      <c r="N516" s="2"/>
      <c r="O516" s="2">
        <v>109</v>
      </c>
      <c r="P516" s="2"/>
      <c r="Q516" s="2">
        <v>124</v>
      </c>
      <c r="R516" s="2"/>
      <c r="S516" s="2">
        <v>129</v>
      </c>
      <c r="T516" s="2" t="s">
        <v>334</v>
      </c>
      <c r="U516" s="2">
        <v>135</v>
      </c>
      <c r="V516" s="2"/>
      <c r="W516" s="2">
        <v>143</v>
      </c>
      <c r="X516" s="2"/>
      <c r="Y516" s="2" t="s">
        <v>43</v>
      </c>
      <c r="Z516" s="2"/>
      <c r="AA516" s="2" t="s">
        <v>43</v>
      </c>
      <c r="AB516" s="2"/>
      <c r="AC516" s="2"/>
      <c r="AD516" s="2"/>
      <c r="AE516" s="2"/>
      <c r="AF516" s="2"/>
      <c r="AG516" s="2"/>
      <c r="AH516" s="2"/>
    </row>
    <row r="517" spans="1:34">
      <c r="A517" t="s">
        <v>1114</v>
      </c>
      <c r="B517" t="s">
        <v>1115</v>
      </c>
      <c r="C517" s="2">
        <v>132</v>
      </c>
      <c r="D517" s="2"/>
      <c r="E517" s="2">
        <v>120</v>
      </c>
      <c r="F517" s="2"/>
      <c r="G517" s="2">
        <v>110</v>
      </c>
      <c r="H517" s="2"/>
      <c r="I517" s="2">
        <v>107</v>
      </c>
      <c r="J517" s="2"/>
      <c r="K517" s="2">
        <v>95</v>
      </c>
      <c r="L517" s="2"/>
      <c r="M517" s="2">
        <v>104</v>
      </c>
      <c r="N517" s="2"/>
      <c r="O517" s="2">
        <v>107</v>
      </c>
      <c r="P517" s="2"/>
      <c r="Q517" s="2">
        <v>117</v>
      </c>
      <c r="R517" s="2"/>
      <c r="S517" s="2">
        <v>141</v>
      </c>
      <c r="T517" s="2" t="s">
        <v>334</v>
      </c>
      <c r="U517" s="2">
        <v>148</v>
      </c>
      <c r="V517" s="2"/>
      <c r="W517" s="2">
        <v>154</v>
      </c>
      <c r="X517" s="2"/>
      <c r="Y517" s="2" t="s">
        <v>43</v>
      </c>
      <c r="Z517" s="2"/>
      <c r="AA517" s="2" t="s">
        <v>43</v>
      </c>
      <c r="AB517" s="2"/>
      <c r="AC517" s="2"/>
      <c r="AD517" s="2"/>
      <c r="AE517" s="2"/>
      <c r="AF517" s="2"/>
      <c r="AG517" s="2"/>
      <c r="AH517" s="2"/>
    </row>
    <row r="518" spans="1:34">
      <c r="A518" t="s">
        <v>1116</v>
      </c>
      <c r="B518" t="s">
        <v>1117</v>
      </c>
      <c r="C518" s="2">
        <v>82</v>
      </c>
      <c r="D518" s="2"/>
      <c r="E518" s="2">
        <v>82</v>
      </c>
      <c r="F518" s="2"/>
      <c r="G518" s="2">
        <v>72</v>
      </c>
      <c r="H518" s="2"/>
      <c r="I518" s="2">
        <v>75</v>
      </c>
      <c r="J518" s="2"/>
      <c r="K518" s="2">
        <v>76</v>
      </c>
      <c r="L518" s="2"/>
      <c r="M518" s="2">
        <v>81</v>
      </c>
      <c r="N518" s="2"/>
      <c r="O518" s="2">
        <v>77</v>
      </c>
      <c r="P518" s="2"/>
      <c r="Q518" s="2">
        <v>80</v>
      </c>
      <c r="R518" s="2"/>
      <c r="S518" s="2">
        <v>95</v>
      </c>
      <c r="T518" s="2" t="s">
        <v>334</v>
      </c>
      <c r="U518" s="2">
        <v>100</v>
      </c>
      <c r="V518" s="2"/>
      <c r="W518" s="2">
        <v>101</v>
      </c>
      <c r="X518" s="2"/>
      <c r="Y518" s="2" t="s">
        <v>43</v>
      </c>
      <c r="Z518" s="2"/>
      <c r="AA518" s="2" t="s">
        <v>43</v>
      </c>
      <c r="AB518" s="2"/>
      <c r="AC518" s="2"/>
      <c r="AD518" s="2"/>
      <c r="AE518" s="2"/>
      <c r="AF518" s="2"/>
      <c r="AG518" s="2"/>
      <c r="AH518" s="2"/>
    </row>
    <row r="519" spans="1:34">
      <c r="A519" t="s">
        <v>1118</v>
      </c>
      <c r="B519" t="s">
        <v>1119</v>
      </c>
      <c r="C519" s="2">
        <v>90</v>
      </c>
      <c r="D519" s="2"/>
      <c r="E519" s="2">
        <v>81</v>
      </c>
      <c r="F519" s="2"/>
      <c r="G519" s="2">
        <v>83</v>
      </c>
      <c r="H519" s="2"/>
      <c r="I519" s="2">
        <v>78</v>
      </c>
      <c r="J519" s="2"/>
      <c r="K519" s="2">
        <v>78</v>
      </c>
      <c r="L519" s="2"/>
      <c r="M519" s="2">
        <v>75</v>
      </c>
      <c r="N519" s="2"/>
      <c r="O519" s="2">
        <v>74</v>
      </c>
      <c r="P519" s="2"/>
      <c r="Q519" s="2">
        <v>78</v>
      </c>
      <c r="R519" s="2"/>
      <c r="S519" s="2">
        <v>79</v>
      </c>
      <c r="T519" s="2" t="s">
        <v>334</v>
      </c>
      <c r="U519" s="2">
        <v>78</v>
      </c>
      <c r="V519" s="2"/>
      <c r="W519" s="2">
        <v>84</v>
      </c>
      <c r="X519" s="2"/>
      <c r="Y519" s="2" t="s">
        <v>43</v>
      </c>
      <c r="Z519" s="2"/>
      <c r="AA519" s="2" t="s">
        <v>43</v>
      </c>
      <c r="AB519" s="2"/>
      <c r="AC519" s="2"/>
      <c r="AD519" s="2"/>
      <c r="AE519" s="2"/>
      <c r="AF519" s="2"/>
      <c r="AG519" s="2"/>
      <c r="AH519" s="2"/>
    </row>
    <row r="520" spans="1:34">
      <c r="A520" t="s">
        <v>1120</v>
      </c>
      <c r="B520" t="s">
        <v>1121</v>
      </c>
      <c r="C520" s="2">
        <v>333</v>
      </c>
      <c r="D520" s="2"/>
      <c r="E520" s="2">
        <v>312</v>
      </c>
      <c r="F520" s="2"/>
      <c r="G520" s="2">
        <v>271</v>
      </c>
      <c r="H520" s="2"/>
      <c r="I520" s="2">
        <v>263</v>
      </c>
      <c r="J520" s="2"/>
      <c r="K520" s="2">
        <v>252</v>
      </c>
      <c r="L520" s="2"/>
      <c r="M520" s="2">
        <v>275</v>
      </c>
      <c r="N520" s="2"/>
      <c r="O520" s="2">
        <v>277</v>
      </c>
      <c r="P520" s="2"/>
      <c r="Q520" s="2">
        <v>294</v>
      </c>
      <c r="R520" s="2"/>
      <c r="S520" s="2">
        <v>315</v>
      </c>
      <c r="T520" s="2" t="s">
        <v>334</v>
      </c>
      <c r="U520" s="2">
        <v>316</v>
      </c>
      <c r="V520" s="2"/>
      <c r="W520" s="2">
        <v>336</v>
      </c>
      <c r="X520" s="2"/>
      <c r="Y520" s="2" t="s">
        <v>43</v>
      </c>
      <c r="Z520" s="2"/>
      <c r="AA520" s="2" t="s">
        <v>43</v>
      </c>
      <c r="AB520" s="2"/>
      <c r="AC520" s="2"/>
      <c r="AD520" s="2"/>
      <c r="AE520" s="2"/>
      <c r="AF520" s="2"/>
      <c r="AG520" s="2"/>
      <c r="AH520" s="2"/>
    </row>
    <row r="521" spans="1:34">
      <c r="A521" t="s">
        <v>1122</v>
      </c>
      <c r="B521" t="s">
        <v>1123</v>
      </c>
      <c r="C521" s="2">
        <v>159</v>
      </c>
      <c r="D521" s="2"/>
      <c r="E521" s="2">
        <v>141</v>
      </c>
      <c r="F521" s="2"/>
      <c r="G521" s="2">
        <v>129</v>
      </c>
      <c r="H521" s="2"/>
      <c r="I521" s="2">
        <v>124</v>
      </c>
      <c r="J521" s="2"/>
      <c r="K521" s="2">
        <v>125</v>
      </c>
      <c r="L521" s="2"/>
      <c r="M521" s="2">
        <v>137</v>
      </c>
      <c r="N521" s="2"/>
      <c r="O521" s="2">
        <v>135</v>
      </c>
      <c r="P521" s="2"/>
      <c r="Q521" s="2">
        <v>148</v>
      </c>
      <c r="R521" s="2"/>
      <c r="S521" s="2">
        <v>155</v>
      </c>
      <c r="T521" s="2" t="s">
        <v>334</v>
      </c>
      <c r="U521" s="2">
        <v>158</v>
      </c>
      <c r="V521" s="2"/>
      <c r="W521" s="2">
        <v>168</v>
      </c>
      <c r="X521" s="2"/>
      <c r="Y521" s="2" t="s">
        <v>43</v>
      </c>
      <c r="Z521" s="2"/>
      <c r="AA521" s="2" t="s">
        <v>43</v>
      </c>
      <c r="AB521" s="2"/>
      <c r="AC521" s="2"/>
      <c r="AD521" s="2"/>
      <c r="AE521" s="2"/>
      <c r="AF521" s="2"/>
      <c r="AG521" s="2"/>
      <c r="AH521" s="2"/>
    </row>
    <row r="522" spans="1:34">
      <c r="A522" t="s">
        <v>1124</v>
      </c>
      <c r="B522" t="s">
        <v>1125</v>
      </c>
      <c r="C522" s="2">
        <v>95</v>
      </c>
      <c r="D522" s="2"/>
      <c r="E522" s="2">
        <v>96</v>
      </c>
      <c r="F522" s="2"/>
      <c r="G522" s="2">
        <v>81</v>
      </c>
      <c r="H522" s="2"/>
      <c r="I522" s="2">
        <v>81</v>
      </c>
      <c r="J522" s="2"/>
      <c r="K522" s="2">
        <v>64</v>
      </c>
      <c r="L522" s="2"/>
      <c r="M522" s="2">
        <v>70</v>
      </c>
      <c r="N522" s="2"/>
      <c r="O522" s="2">
        <v>70</v>
      </c>
      <c r="P522" s="2"/>
      <c r="Q522" s="2">
        <v>69</v>
      </c>
      <c r="R522" s="2"/>
      <c r="S522" s="2">
        <v>81</v>
      </c>
      <c r="T522" s="2" t="s">
        <v>334</v>
      </c>
      <c r="U522" s="2">
        <v>81</v>
      </c>
      <c r="V522" s="2"/>
      <c r="W522" s="2">
        <v>89</v>
      </c>
      <c r="X522" s="2"/>
      <c r="Y522" s="2" t="s">
        <v>43</v>
      </c>
      <c r="Z522" s="2"/>
      <c r="AA522" s="2" t="s">
        <v>43</v>
      </c>
      <c r="AB522" s="2"/>
      <c r="AC522" s="2"/>
      <c r="AD522" s="2"/>
      <c r="AE522" s="2"/>
      <c r="AF522" s="2"/>
      <c r="AG522" s="2"/>
      <c r="AH522" s="2"/>
    </row>
    <row r="523" spans="1:34">
      <c r="A523" t="s">
        <v>1126</v>
      </c>
      <c r="B523" t="s">
        <v>1127</v>
      </c>
      <c r="C523" s="2">
        <v>24</v>
      </c>
      <c r="D523" s="2"/>
      <c r="E523" s="2">
        <v>22</v>
      </c>
      <c r="F523" s="2"/>
      <c r="G523" s="2">
        <v>13</v>
      </c>
      <c r="H523" s="2"/>
      <c r="I523" s="2">
        <v>14</v>
      </c>
      <c r="J523" s="2"/>
      <c r="K523" s="2">
        <v>18</v>
      </c>
      <c r="L523" s="2"/>
      <c r="M523" s="2">
        <v>22</v>
      </c>
      <c r="N523" s="2"/>
      <c r="O523" s="2">
        <v>23</v>
      </c>
      <c r="P523" s="2"/>
      <c r="Q523" s="2">
        <v>21</v>
      </c>
      <c r="R523" s="2"/>
      <c r="S523" s="2">
        <v>25</v>
      </c>
      <c r="T523" s="2" t="s">
        <v>334</v>
      </c>
      <c r="U523" s="2">
        <v>25</v>
      </c>
      <c r="V523" s="2"/>
      <c r="W523" s="2">
        <v>22</v>
      </c>
      <c r="X523" s="2"/>
      <c r="Y523" s="2" t="s">
        <v>43</v>
      </c>
      <c r="Z523" s="2"/>
      <c r="AA523" s="2" t="s">
        <v>43</v>
      </c>
      <c r="AB523" s="2"/>
      <c r="AC523" s="2"/>
      <c r="AD523" s="2"/>
      <c r="AE523" s="2"/>
      <c r="AF523" s="2"/>
      <c r="AG523" s="2"/>
      <c r="AH523" s="2"/>
    </row>
    <row r="524" spans="1:34">
      <c r="A524" t="s">
        <v>1128</v>
      </c>
      <c r="B524" t="s">
        <v>1129</v>
      </c>
      <c r="C524" s="2">
        <v>55</v>
      </c>
      <c r="D524" s="2"/>
      <c r="E524" s="2">
        <v>53</v>
      </c>
      <c r="F524" s="2"/>
      <c r="G524" s="2">
        <v>48</v>
      </c>
      <c r="H524" s="2"/>
      <c r="I524" s="2">
        <v>44</v>
      </c>
      <c r="J524" s="2"/>
      <c r="K524" s="2">
        <v>45</v>
      </c>
      <c r="L524" s="2"/>
      <c r="M524" s="2">
        <v>46</v>
      </c>
      <c r="N524" s="2"/>
      <c r="O524" s="2">
        <v>49</v>
      </c>
      <c r="P524" s="2"/>
      <c r="Q524" s="2">
        <v>56</v>
      </c>
      <c r="R524" s="2"/>
      <c r="S524" s="2">
        <v>54</v>
      </c>
      <c r="T524" s="2" t="s">
        <v>334</v>
      </c>
      <c r="U524" s="2">
        <v>52</v>
      </c>
      <c r="V524" s="2"/>
      <c r="W524" s="2">
        <v>57</v>
      </c>
      <c r="X524" s="2"/>
      <c r="Y524" s="2" t="s">
        <v>43</v>
      </c>
      <c r="Z524" s="2"/>
      <c r="AA524" s="2" t="s">
        <v>43</v>
      </c>
      <c r="AB524" s="2"/>
      <c r="AC524" s="2"/>
      <c r="AD524" s="2"/>
      <c r="AE524" s="2"/>
      <c r="AF524" s="2"/>
      <c r="AG524" s="2"/>
      <c r="AH524" s="2"/>
    </row>
    <row r="525" spans="1:34">
      <c r="A525" t="s">
        <v>1130</v>
      </c>
      <c r="B525" t="s">
        <v>1131</v>
      </c>
      <c r="C525" s="2">
        <v>194</v>
      </c>
      <c r="D525" s="2"/>
      <c r="E525" s="2">
        <v>167</v>
      </c>
      <c r="F525" s="2"/>
      <c r="G525" s="2">
        <v>138</v>
      </c>
      <c r="H525" s="2"/>
      <c r="I525" s="2">
        <v>129</v>
      </c>
      <c r="J525" s="2"/>
      <c r="K525" s="2">
        <v>125</v>
      </c>
      <c r="L525" s="2"/>
      <c r="M525" s="2">
        <v>131</v>
      </c>
      <c r="N525" s="2"/>
      <c r="O525" s="2">
        <v>136</v>
      </c>
      <c r="P525" s="2"/>
      <c r="Q525" s="2">
        <v>142</v>
      </c>
      <c r="R525" s="2"/>
      <c r="S525" s="2">
        <v>161</v>
      </c>
      <c r="T525" s="2" t="s">
        <v>334</v>
      </c>
      <c r="U525" s="2">
        <v>161</v>
      </c>
      <c r="V525" s="2"/>
      <c r="W525" s="2">
        <v>174</v>
      </c>
      <c r="X525" s="2"/>
      <c r="Y525" s="2" t="s">
        <v>43</v>
      </c>
      <c r="Z525" s="2"/>
      <c r="AA525" s="2" t="s">
        <v>43</v>
      </c>
      <c r="AB525" s="2"/>
      <c r="AC525" s="2"/>
      <c r="AD525" s="2"/>
      <c r="AE525" s="2"/>
      <c r="AF525" s="2"/>
      <c r="AG525" s="2"/>
      <c r="AH525" s="2"/>
    </row>
    <row r="526" spans="1:34">
      <c r="A526" t="s">
        <v>1132</v>
      </c>
      <c r="B526" t="s">
        <v>1133</v>
      </c>
      <c r="C526" s="2">
        <v>128</v>
      </c>
      <c r="D526" s="2"/>
      <c r="E526" s="2">
        <v>112</v>
      </c>
      <c r="F526" s="2"/>
      <c r="G526" s="2">
        <v>94</v>
      </c>
      <c r="H526" s="2"/>
      <c r="I526" s="2">
        <v>85</v>
      </c>
      <c r="J526" s="2"/>
      <c r="K526" s="2">
        <v>81</v>
      </c>
      <c r="L526" s="2"/>
      <c r="M526" s="2">
        <v>80</v>
      </c>
      <c r="N526" s="2"/>
      <c r="O526" s="2">
        <v>88</v>
      </c>
      <c r="P526" s="2"/>
      <c r="Q526" s="2">
        <v>93</v>
      </c>
      <c r="R526" s="2"/>
      <c r="S526" s="2">
        <v>103</v>
      </c>
      <c r="T526" s="2" t="s">
        <v>334</v>
      </c>
      <c r="U526" s="2">
        <v>108</v>
      </c>
      <c r="V526" s="2"/>
      <c r="W526" s="2">
        <v>117</v>
      </c>
      <c r="X526" s="2"/>
      <c r="Y526" s="2" t="s">
        <v>43</v>
      </c>
      <c r="Z526" s="2"/>
      <c r="AA526" s="2" t="s">
        <v>43</v>
      </c>
      <c r="AB526" s="2"/>
      <c r="AC526" s="2"/>
      <c r="AD526" s="2"/>
      <c r="AE526" s="2"/>
      <c r="AF526" s="2"/>
      <c r="AG526" s="2"/>
      <c r="AH526" s="2"/>
    </row>
    <row r="527" spans="1:34">
      <c r="A527" t="s">
        <v>1134</v>
      </c>
      <c r="B527" t="s">
        <v>1135</v>
      </c>
      <c r="C527" s="2">
        <v>66</v>
      </c>
      <c r="D527" s="2"/>
      <c r="E527" s="2">
        <v>55</v>
      </c>
      <c r="F527" s="2"/>
      <c r="G527" s="2">
        <v>44</v>
      </c>
      <c r="H527" s="2"/>
      <c r="I527" s="2">
        <v>44</v>
      </c>
      <c r="J527" s="2"/>
      <c r="K527" s="2">
        <v>44</v>
      </c>
      <c r="L527" s="2"/>
      <c r="M527" s="2">
        <v>51</v>
      </c>
      <c r="N527" s="2"/>
      <c r="O527" s="2">
        <v>48</v>
      </c>
      <c r="P527" s="2"/>
      <c r="Q527" s="2">
        <v>49</v>
      </c>
      <c r="R527" s="2"/>
      <c r="S527" s="2">
        <v>58</v>
      </c>
      <c r="T527" s="2" t="s">
        <v>334</v>
      </c>
      <c r="U527" s="2">
        <v>53</v>
      </c>
      <c r="V527" s="2"/>
      <c r="W527" s="2">
        <v>57</v>
      </c>
      <c r="X527" s="2"/>
      <c r="Y527" s="2" t="s">
        <v>43</v>
      </c>
      <c r="Z527" s="2"/>
      <c r="AA527" s="2" t="s">
        <v>43</v>
      </c>
      <c r="AB527" s="2"/>
      <c r="AC527" s="2"/>
      <c r="AD527" s="2"/>
      <c r="AE527" s="2"/>
      <c r="AF527" s="2"/>
      <c r="AG527" s="2"/>
      <c r="AH527" s="2"/>
    </row>
    <row r="528" spans="1:34">
      <c r="A528" t="s">
        <v>1136</v>
      </c>
      <c r="B528" t="s">
        <v>1137</v>
      </c>
      <c r="C528" s="2">
        <v>139</v>
      </c>
      <c r="D528" s="2"/>
      <c r="E528" s="2">
        <v>124</v>
      </c>
      <c r="F528" s="2"/>
      <c r="G528" s="2">
        <v>120</v>
      </c>
      <c r="H528" s="2"/>
      <c r="I528" s="2">
        <v>116</v>
      </c>
      <c r="J528" s="2"/>
      <c r="K528" s="2">
        <v>108</v>
      </c>
      <c r="L528" s="2"/>
      <c r="M528" s="2">
        <v>105</v>
      </c>
      <c r="N528" s="2"/>
      <c r="O528" s="2">
        <v>101</v>
      </c>
      <c r="P528" s="2"/>
      <c r="Q528" s="2">
        <v>106</v>
      </c>
      <c r="R528" s="2"/>
      <c r="S528" s="2">
        <v>122</v>
      </c>
      <c r="T528" s="2" t="s">
        <v>334</v>
      </c>
      <c r="U528" s="2">
        <v>136</v>
      </c>
      <c r="V528" s="2"/>
      <c r="W528" s="2">
        <v>145</v>
      </c>
      <c r="X528" s="2"/>
      <c r="Y528" s="2" t="s">
        <v>43</v>
      </c>
      <c r="Z528" s="2"/>
      <c r="AA528" s="2" t="s">
        <v>43</v>
      </c>
      <c r="AB528" s="2"/>
      <c r="AC528" s="2"/>
      <c r="AD528" s="2"/>
      <c r="AE528" s="2"/>
      <c r="AF528" s="2"/>
      <c r="AG528" s="2"/>
      <c r="AH528" s="2"/>
    </row>
    <row r="529" spans="1:34">
      <c r="A529" t="s">
        <v>1138</v>
      </c>
      <c r="B529" t="s">
        <v>1139</v>
      </c>
      <c r="C529" s="2" t="s">
        <v>43</v>
      </c>
      <c r="D529" s="2" t="s">
        <v>44</v>
      </c>
      <c r="E529" s="2">
        <v>51</v>
      </c>
      <c r="F529" s="2"/>
      <c r="G529" s="2">
        <v>58</v>
      </c>
      <c r="H529" s="2"/>
      <c r="I529" s="2">
        <v>55</v>
      </c>
      <c r="J529" s="2"/>
      <c r="K529" s="2">
        <v>48</v>
      </c>
      <c r="L529" s="2"/>
      <c r="M529" s="2">
        <v>43</v>
      </c>
      <c r="N529" s="2"/>
      <c r="O529" s="2">
        <v>43</v>
      </c>
      <c r="P529" s="2"/>
      <c r="Q529" s="2">
        <v>38</v>
      </c>
      <c r="R529" s="2"/>
      <c r="S529" s="2" t="s">
        <v>43</v>
      </c>
      <c r="T529" s="2"/>
      <c r="U529" s="2" t="s">
        <v>43</v>
      </c>
      <c r="V529" s="2"/>
      <c r="W529" s="2" t="s">
        <v>43</v>
      </c>
      <c r="X529" s="2"/>
      <c r="Y529" s="2" t="s">
        <v>43</v>
      </c>
      <c r="Z529" s="2"/>
      <c r="AA529" s="2" t="s">
        <v>43</v>
      </c>
      <c r="AB529" s="2"/>
      <c r="AC529" s="2"/>
      <c r="AD529" s="2"/>
      <c r="AE529" s="2"/>
      <c r="AF529" s="2"/>
      <c r="AG529" s="2"/>
      <c r="AH529" s="2"/>
    </row>
    <row r="530" spans="1:34">
      <c r="A530" t="s">
        <v>1140</v>
      </c>
      <c r="B530" t="s">
        <v>1141</v>
      </c>
      <c r="C530" s="2">
        <v>61</v>
      </c>
      <c r="D530" s="2"/>
      <c r="E530" s="2">
        <v>48</v>
      </c>
      <c r="F530" s="2"/>
      <c r="G530" s="2">
        <v>40</v>
      </c>
      <c r="H530" s="2"/>
      <c r="I530" s="2">
        <v>43</v>
      </c>
      <c r="J530" s="2"/>
      <c r="K530" s="2">
        <v>44</v>
      </c>
      <c r="L530" s="2"/>
      <c r="M530" s="2">
        <v>45</v>
      </c>
      <c r="N530" s="2"/>
      <c r="O530" s="2">
        <v>43</v>
      </c>
      <c r="P530" s="2"/>
      <c r="Q530" s="2">
        <v>52</v>
      </c>
      <c r="R530" s="2"/>
      <c r="S530" s="2" t="s">
        <v>43</v>
      </c>
      <c r="T530" s="2"/>
      <c r="U530" s="2" t="s">
        <v>43</v>
      </c>
      <c r="V530" s="2"/>
      <c r="W530" s="2" t="s">
        <v>43</v>
      </c>
      <c r="X530" s="2"/>
      <c r="Y530" s="2" t="s">
        <v>43</v>
      </c>
      <c r="Z530" s="2"/>
      <c r="AA530" s="2" t="s">
        <v>43</v>
      </c>
      <c r="AB530" s="2"/>
      <c r="AC530" s="2"/>
      <c r="AD530" s="2"/>
      <c r="AE530" s="2"/>
      <c r="AF530" s="2"/>
      <c r="AG530" s="2"/>
      <c r="AH530" s="2"/>
    </row>
    <row r="531" spans="1:34">
      <c r="A531" t="s">
        <v>1142</v>
      </c>
      <c r="B531" t="s">
        <v>1143</v>
      </c>
      <c r="C531" s="2" t="s">
        <v>43</v>
      </c>
      <c r="D531" s="2" t="s">
        <v>44</v>
      </c>
      <c r="E531" s="2">
        <v>17</v>
      </c>
      <c r="F531" s="2"/>
      <c r="G531" s="2">
        <v>13</v>
      </c>
      <c r="H531" s="2"/>
      <c r="I531" s="2">
        <v>11</v>
      </c>
      <c r="J531" s="2"/>
      <c r="K531" s="2">
        <v>9</v>
      </c>
      <c r="L531" s="2"/>
      <c r="M531" s="2">
        <v>10</v>
      </c>
      <c r="N531" s="2"/>
      <c r="O531" s="2">
        <v>8</v>
      </c>
      <c r="P531" s="2"/>
      <c r="Q531" s="2">
        <v>8</v>
      </c>
      <c r="R531" s="2"/>
      <c r="S531" s="2">
        <v>10</v>
      </c>
      <c r="T531" s="2" t="s">
        <v>334</v>
      </c>
      <c r="U531" s="2">
        <v>7</v>
      </c>
      <c r="V531" s="2"/>
      <c r="W531" s="2">
        <v>9</v>
      </c>
      <c r="X531" s="2"/>
      <c r="Y531" s="2" t="s">
        <v>43</v>
      </c>
      <c r="Z531" s="2"/>
      <c r="AA531" s="2" t="s">
        <v>43</v>
      </c>
      <c r="AB531" s="2"/>
      <c r="AC531" s="2"/>
      <c r="AD531" s="2"/>
      <c r="AE531" s="2"/>
      <c r="AF531" s="2"/>
      <c r="AG531" s="2"/>
      <c r="AH531" s="2"/>
    </row>
    <row r="532" spans="1:34">
      <c r="A532" t="s">
        <v>1144</v>
      </c>
      <c r="B532" t="s">
        <v>1145</v>
      </c>
      <c r="C532" s="2">
        <v>10</v>
      </c>
      <c r="D532" s="2"/>
      <c r="E532" s="2">
        <v>8</v>
      </c>
      <c r="F532" s="2"/>
      <c r="G532" s="2">
        <v>9</v>
      </c>
      <c r="H532" s="2"/>
      <c r="I532" s="2">
        <v>7</v>
      </c>
      <c r="J532" s="2"/>
      <c r="K532" s="2">
        <v>7</v>
      </c>
      <c r="L532" s="2"/>
      <c r="M532" s="2">
        <v>7</v>
      </c>
      <c r="N532" s="2"/>
      <c r="O532" s="2">
        <v>7</v>
      </c>
      <c r="P532" s="2"/>
      <c r="Q532" s="2">
        <v>8</v>
      </c>
      <c r="R532" s="2"/>
      <c r="S532" s="2">
        <v>8</v>
      </c>
      <c r="T532" s="2" t="s">
        <v>334</v>
      </c>
      <c r="U532" s="2">
        <v>7</v>
      </c>
      <c r="V532" s="2"/>
      <c r="W532" s="2">
        <v>6</v>
      </c>
      <c r="X532" s="2"/>
      <c r="Y532" s="2" t="s">
        <v>43</v>
      </c>
      <c r="Z532" s="2"/>
      <c r="AA532" s="2" t="s">
        <v>43</v>
      </c>
      <c r="AB532" s="2"/>
      <c r="AC532" s="2"/>
      <c r="AD532" s="2"/>
      <c r="AE532" s="2"/>
      <c r="AF532" s="2"/>
      <c r="AG532" s="2"/>
      <c r="AH532" s="2"/>
    </row>
    <row r="533" spans="1:34">
      <c r="A533" t="s">
        <v>1146</v>
      </c>
      <c r="B533" t="s">
        <v>1147</v>
      </c>
      <c r="C533" s="2" t="s">
        <v>43</v>
      </c>
      <c r="D533" s="2"/>
      <c r="E533" s="2" t="s">
        <v>43</v>
      </c>
      <c r="F533" s="2"/>
      <c r="G533" s="2" t="s">
        <v>43</v>
      </c>
      <c r="H533" s="2"/>
      <c r="I533" s="2" t="s">
        <v>43</v>
      </c>
      <c r="J533" s="2"/>
      <c r="K533" s="2" t="s">
        <v>43</v>
      </c>
      <c r="L533" s="2"/>
      <c r="M533" s="2" t="s">
        <v>43</v>
      </c>
      <c r="N533" s="2"/>
      <c r="O533" s="2" t="s">
        <v>43</v>
      </c>
      <c r="P533" s="2"/>
      <c r="Q533" s="2" t="s">
        <v>43</v>
      </c>
      <c r="R533" s="2"/>
      <c r="S533" s="2">
        <v>48</v>
      </c>
      <c r="T533" s="2" t="s">
        <v>334</v>
      </c>
      <c r="U533" s="2">
        <v>57</v>
      </c>
      <c r="V533" s="2"/>
      <c r="W533" s="2">
        <v>62</v>
      </c>
      <c r="X533" s="2"/>
      <c r="Y533" s="2" t="s">
        <v>43</v>
      </c>
      <c r="Z533" s="2"/>
      <c r="AA533" s="2" t="s">
        <v>43</v>
      </c>
      <c r="AB533" s="2"/>
      <c r="AC533" s="2"/>
      <c r="AD533" s="2"/>
      <c r="AE533" s="2"/>
      <c r="AF533" s="2"/>
      <c r="AG533" s="2"/>
      <c r="AH533" s="2"/>
    </row>
    <row r="534" spans="1:34">
      <c r="A534" t="s">
        <v>1148</v>
      </c>
      <c r="B534" t="s">
        <v>1149</v>
      </c>
      <c r="C534" s="2" t="s">
        <v>43</v>
      </c>
      <c r="D534" s="2"/>
      <c r="E534" s="2" t="s">
        <v>43</v>
      </c>
      <c r="F534" s="2"/>
      <c r="G534" s="2" t="s">
        <v>43</v>
      </c>
      <c r="H534" s="2"/>
      <c r="I534" s="2" t="s">
        <v>43</v>
      </c>
      <c r="J534" s="2"/>
      <c r="K534" s="2" t="s">
        <v>43</v>
      </c>
      <c r="L534" s="2"/>
      <c r="M534" s="2" t="s">
        <v>43</v>
      </c>
      <c r="N534" s="2"/>
      <c r="O534" s="2" t="s">
        <v>43</v>
      </c>
      <c r="P534" s="2"/>
      <c r="Q534" s="2" t="s">
        <v>43</v>
      </c>
      <c r="R534" s="2"/>
      <c r="S534" s="2">
        <v>29</v>
      </c>
      <c r="T534" s="2" t="s">
        <v>334</v>
      </c>
      <c r="U534" s="2">
        <v>38</v>
      </c>
      <c r="V534" s="2"/>
      <c r="W534" s="2">
        <v>40</v>
      </c>
      <c r="X534" s="2"/>
      <c r="Y534" s="2" t="s">
        <v>43</v>
      </c>
      <c r="Z534" s="2"/>
      <c r="AA534" s="2" t="s">
        <v>43</v>
      </c>
      <c r="AB534" s="2"/>
      <c r="AC534" s="2"/>
      <c r="AD534" s="2"/>
      <c r="AE534" s="2"/>
      <c r="AF534" s="2"/>
      <c r="AG534" s="2"/>
      <c r="AH534" s="2"/>
    </row>
    <row r="535" spans="1:34">
      <c r="A535" t="s">
        <v>1150</v>
      </c>
      <c r="B535" t="s">
        <v>1151</v>
      </c>
      <c r="C535" s="2" t="s">
        <v>43</v>
      </c>
      <c r="D535" s="2"/>
      <c r="E535" s="2" t="s">
        <v>43</v>
      </c>
      <c r="F535" s="2"/>
      <c r="G535" s="2" t="s">
        <v>43</v>
      </c>
      <c r="H535" s="2"/>
      <c r="I535" s="2" t="s">
        <v>43</v>
      </c>
      <c r="J535" s="2"/>
      <c r="K535" s="2" t="s">
        <v>43</v>
      </c>
      <c r="L535" s="2"/>
      <c r="M535" s="2" t="s">
        <v>43</v>
      </c>
      <c r="N535" s="2"/>
      <c r="O535" s="2" t="s">
        <v>43</v>
      </c>
      <c r="P535" s="2"/>
      <c r="Q535" s="2" t="s">
        <v>43</v>
      </c>
      <c r="R535" s="2"/>
      <c r="S535" s="2">
        <v>27</v>
      </c>
      <c r="T535" s="2" t="s">
        <v>334</v>
      </c>
      <c r="U535" s="2">
        <v>27</v>
      </c>
      <c r="V535" s="2"/>
      <c r="W535" s="2">
        <v>28</v>
      </c>
      <c r="X535" s="2"/>
      <c r="Y535" s="2" t="s">
        <v>43</v>
      </c>
      <c r="Z535" s="2"/>
      <c r="AA535" s="2" t="s">
        <v>43</v>
      </c>
      <c r="AB535" s="2"/>
      <c r="AC535" s="2"/>
      <c r="AD535" s="2"/>
      <c r="AE535" s="2"/>
      <c r="AF535" s="2"/>
      <c r="AG535" s="2"/>
      <c r="AH535" s="2"/>
    </row>
    <row r="536" spans="1:34">
      <c r="A536" t="s">
        <v>1152</v>
      </c>
      <c r="B536" t="s">
        <v>1153</v>
      </c>
      <c r="C536" s="2">
        <v>132</v>
      </c>
      <c r="D536" s="2"/>
      <c r="E536" s="2">
        <v>136</v>
      </c>
      <c r="F536" s="2"/>
      <c r="G536" s="2">
        <v>122</v>
      </c>
      <c r="H536" s="2"/>
      <c r="I536" s="2">
        <v>114</v>
      </c>
      <c r="J536" s="2"/>
      <c r="K536" s="2">
        <v>110</v>
      </c>
      <c r="L536" s="2"/>
      <c r="M536" s="2">
        <v>112</v>
      </c>
      <c r="N536" s="2"/>
      <c r="O536" s="2">
        <v>97</v>
      </c>
      <c r="P536" s="2"/>
      <c r="Q536" s="2">
        <v>96</v>
      </c>
      <c r="R536" s="2"/>
      <c r="S536" s="2">
        <v>105</v>
      </c>
      <c r="T536" s="2" t="s">
        <v>334</v>
      </c>
      <c r="U536" s="2">
        <v>105</v>
      </c>
      <c r="V536" s="2"/>
      <c r="W536" s="2">
        <v>112</v>
      </c>
      <c r="X536" s="2"/>
      <c r="Y536" s="2" t="s">
        <v>43</v>
      </c>
      <c r="Z536" s="2"/>
      <c r="AA536" s="2" t="s">
        <v>43</v>
      </c>
      <c r="AB536" s="2"/>
      <c r="AC536" s="2"/>
      <c r="AD536" s="2"/>
      <c r="AE536" s="2"/>
      <c r="AF536" s="2"/>
      <c r="AG536" s="2"/>
      <c r="AH536" s="2"/>
    </row>
    <row r="537" spans="1:34">
      <c r="A537" t="s">
        <v>1154</v>
      </c>
      <c r="B537" t="s">
        <v>1153</v>
      </c>
      <c r="C537" s="2">
        <v>132</v>
      </c>
      <c r="D537" s="2"/>
      <c r="E537" s="2">
        <v>136</v>
      </c>
      <c r="F537" s="2"/>
      <c r="G537" s="2">
        <v>122</v>
      </c>
      <c r="H537" s="2"/>
      <c r="I537" s="2">
        <v>114</v>
      </c>
      <c r="J537" s="2"/>
      <c r="K537" s="2">
        <v>110</v>
      </c>
      <c r="L537" s="2"/>
      <c r="M537" s="2">
        <v>112</v>
      </c>
      <c r="N537" s="2"/>
      <c r="O537" s="2">
        <v>97</v>
      </c>
      <c r="P537" s="2"/>
      <c r="Q537" s="2">
        <v>96</v>
      </c>
      <c r="R537" s="2"/>
      <c r="S537" s="2">
        <v>105</v>
      </c>
      <c r="T537" s="2" t="s">
        <v>334</v>
      </c>
      <c r="U537" s="2">
        <v>105</v>
      </c>
      <c r="V537" s="2"/>
      <c r="W537" s="2">
        <v>112</v>
      </c>
      <c r="X537" s="2"/>
      <c r="Y537" s="2" t="s">
        <v>43</v>
      </c>
      <c r="Z537" s="2"/>
      <c r="AA537" s="2" t="s">
        <v>43</v>
      </c>
      <c r="AB537" s="2"/>
      <c r="AC537" s="2"/>
      <c r="AD537" s="2"/>
      <c r="AE537" s="2"/>
      <c r="AF537" s="2"/>
      <c r="AG537" s="2"/>
      <c r="AH537" s="2"/>
    </row>
    <row r="538" spans="1:34">
      <c r="A538" t="s">
        <v>808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>
      <c r="A539" t="s">
        <v>43</v>
      </c>
      <c r="B539" t="s">
        <v>809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>
      <c r="A540" t="s">
        <v>810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t="s">
        <v>334</v>
      </c>
      <c r="B541" t="s">
        <v>811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>
      <c r="A542" t="s">
        <v>847</v>
      </c>
      <c r="B542" t="s">
        <v>1155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>
      <c r="A543" t="s">
        <v>846</v>
      </c>
      <c r="B543" t="s">
        <v>1156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>
      <c r="A544" t="s">
        <v>812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>
      <c r="A545" t="s">
        <v>44</v>
      </c>
      <c r="B545" t="s">
        <v>813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t="s">
        <v>886</v>
      </c>
      <c r="B546" t="s">
        <v>1157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>
      <c r="A547" t="s">
        <v>887</v>
      </c>
      <c r="B547" t="s">
        <v>1158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>
      <c r="A548" t="s">
        <v>888</v>
      </c>
      <c r="B548" t="s">
        <v>1159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>
      <c r="A549" t="s">
        <v>67</v>
      </c>
      <c r="B549" t="s">
        <v>68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 t="s">
        <v>43</v>
      </c>
      <c r="AD549" s="2" t="s">
        <v>44</v>
      </c>
      <c r="AE549" s="2">
        <v>6</v>
      </c>
      <c r="AF549" s="2"/>
      <c r="AG549" s="2">
        <v>8</v>
      </c>
      <c r="AH549" s="2"/>
    </row>
    <row r="550" spans="1:34">
      <c r="A550" t="s">
        <v>69</v>
      </c>
      <c r="B550" t="s">
        <v>70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 t="s">
        <v>43</v>
      </c>
      <c r="AD550" s="2" t="s">
        <v>44</v>
      </c>
      <c r="AE550" s="2">
        <v>6</v>
      </c>
      <c r="AF550" s="2"/>
      <c r="AG550" s="2">
        <v>8</v>
      </c>
      <c r="AH550" s="2"/>
    </row>
    <row r="551" spans="1:34">
      <c r="A551" t="s">
        <v>125</v>
      </c>
      <c r="B551" t="s">
        <v>68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>
        <v>0</v>
      </c>
      <c r="AD551" s="2"/>
      <c r="AE551" s="2">
        <v>0</v>
      </c>
      <c r="AF551" s="2"/>
      <c r="AG551" s="2">
        <v>0</v>
      </c>
      <c r="AH551" s="2"/>
    </row>
    <row r="552" spans="1:34">
      <c r="A552" t="s">
        <v>126</v>
      </c>
      <c r="B552" t="s">
        <v>70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>
        <v>0</v>
      </c>
      <c r="AD552" s="2"/>
      <c r="AE552" s="2">
        <v>0</v>
      </c>
      <c r="AF552" s="2"/>
      <c r="AG552" s="2">
        <v>0</v>
      </c>
      <c r="AH552" s="2"/>
    </row>
    <row r="553" spans="1:34">
      <c r="A553" t="s">
        <v>233</v>
      </c>
      <c r="B553" t="s">
        <v>68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>
        <v>0</v>
      </c>
      <c r="AD553" s="2"/>
      <c r="AE553" s="2">
        <v>0</v>
      </c>
      <c r="AF553" s="2"/>
      <c r="AG553" s="2">
        <v>0</v>
      </c>
      <c r="AH553" s="2"/>
    </row>
    <row r="554" spans="1:34">
      <c r="A554" t="s">
        <v>234</v>
      </c>
      <c r="B554" t="s">
        <v>70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>
        <v>0</v>
      </c>
      <c r="AD554" s="2"/>
      <c r="AE554" s="2">
        <v>0</v>
      </c>
      <c r="AF554" s="2"/>
      <c r="AG554" s="2">
        <v>0</v>
      </c>
      <c r="AH554" s="2"/>
    </row>
    <row r="555" spans="1:34">
      <c r="A555" t="s">
        <v>558</v>
      </c>
      <c r="B555" t="s">
        <v>559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 t="s">
        <v>43</v>
      </c>
      <c r="AD555" s="2"/>
      <c r="AE555" s="2">
        <v>66</v>
      </c>
      <c r="AF555" s="2"/>
      <c r="AG555" s="2">
        <v>72</v>
      </c>
      <c r="AH555" s="2"/>
    </row>
    <row r="556" spans="1:34">
      <c r="A556" t="s">
        <v>560</v>
      </c>
      <c r="B556" t="s">
        <v>561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 t="s">
        <v>43</v>
      </c>
      <c r="AD556" s="2"/>
      <c r="AE556" s="2">
        <v>136</v>
      </c>
      <c r="AF556" s="2"/>
      <c r="AG556" s="2">
        <v>136</v>
      </c>
      <c r="AH556" s="2"/>
    </row>
    <row r="557" spans="1:34">
      <c r="A557" t="s">
        <v>568</v>
      </c>
      <c r="B557" t="s">
        <v>68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>
        <v>21</v>
      </c>
      <c r="AD557" s="2"/>
      <c r="AE557" s="2">
        <v>18</v>
      </c>
      <c r="AF557" s="2"/>
      <c r="AG557" s="2">
        <v>13</v>
      </c>
      <c r="AH557" s="2"/>
    </row>
    <row r="558" spans="1:34">
      <c r="A558" t="s">
        <v>569</v>
      </c>
      <c r="B558" t="s">
        <v>70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>
        <v>21</v>
      </c>
      <c r="AD558" s="2"/>
      <c r="AE558" s="2">
        <v>18</v>
      </c>
      <c r="AF558" s="2"/>
      <c r="AG558" s="2">
        <v>13</v>
      </c>
      <c r="AH558" s="2"/>
    </row>
    <row r="559" spans="1:34">
      <c r="A559" t="s">
        <v>596</v>
      </c>
      <c r="B559" t="s">
        <v>68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>
        <v>0</v>
      </c>
      <c r="AD559" s="2" t="s">
        <v>334</v>
      </c>
      <c r="AE559" s="2">
        <v>0</v>
      </c>
      <c r="AF559" s="2"/>
      <c r="AG559" s="2">
        <v>0</v>
      </c>
      <c r="AH559" s="2"/>
    </row>
    <row r="560" spans="1:34">
      <c r="A560" t="s">
        <v>597</v>
      </c>
      <c r="B560" t="s">
        <v>70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>
        <v>0</v>
      </c>
      <c r="AD560" s="2" t="s">
        <v>334</v>
      </c>
      <c r="AE560" s="2">
        <v>0</v>
      </c>
      <c r="AF560" s="2"/>
      <c r="AG560" s="2">
        <v>0</v>
      </c>
      <c r="AH560" s="2"/>
    </row>
    <row r="561" spans="1:34">
      <c r="A561" t="s">
        <v>662</v>
      </c>
      <c r="B561" t="s">
        <v>663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 t="s">
        <v>43</v>
      </c>
      <c r="AD561" s="2"/>
      <c r="AE561" s="2">
        <v>146</v>
      </c>
      <c r="AF561" s="2"/>
      <c r="AG561" s="2">
        <v>154</v>
      </c>
      <c r="AH561" s="2"/>
    </row>
    <row r="562" spans="1:34">
      <c r="A562" t="s">
        <v>664</v>
      </c>
      <c r="B562" t="s">
        <v>665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 t="s">
        <v>43</v>
      </c>
      <c r="AD562" s="2"/>
      <c r="AE562" s="2">
        <v>73</v>
      </c>
      <c r="AF562" s="2"/>
      <c r="AG562" s="2">
        <v>74</v>
      </c>
      <c r="AH562" s="2"/>
    </row>
    <row r="563" spans="1:34">
      <c r="A563" t="s">
        <v>666</v>
      </c>
      <c r="B563" t="s">
        <v>667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 t="s">
        <v>43</v>
      </c>
      <c r="AD563" s="2"/>
      <c r="AE563" s="2">
        <v>38</v>
      </c>
      <c r="AF563" s="2"/>
      <c r="AG563" s="2">
        <v>35</v>
      </c>
      <c r="AH563" s="2"/>
    </row>
    <row r="564" spans="1:34">
      <c r="A564" t="s">
        <v>668</v>
      </c>
      <c r="B564" t="s">
        <v>669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 t="s">
        <v>43</v>
      </c>
      <c r="AD564" s="2"/>
      <c r="AE564" s="2">
        <v>19</v>
      </c>
      <c r="AF564" s="2"/>
      <c r="AG564" s="2">
        <v>18</v>
      </c>
      <c r="AH564" s="2"/>
    </row>
    <row r="565" spans="1:34">
      <c r="A565" t="s">
        <v>670</v>
      </c>
      <c r="B565" t="s">
        <v>671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 t="s">
        <v>43</v>
      </c>
      <c r="AD565" s="2"/>
      <c r="AE565" s="2">
        <v>97</v>
      </c>
      <c r="AF565" s="2"/>
      <c r="AG565" s="2">
        <v>96</v>
      </c>
      <c r="AH565" s="2"/>
    </row>
    <row r="566" spans="1:34">
      <c r="A566" t="s">
        <v>678</v>
      </c>
      <c r="B566" t="s">
        <v>68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>
        <v>0</v>
      </c>
      <c r="AD566" s="2" t="s">
        <v>334</v>
      </c>
      <c r="AE566" s="2">
        <v>0</v>
      </c>
      <c r="AF566" s="2"/>
      <c r="AG566" s="2">
        <v>0</v>
      </c>
      <c r="AH566" s="2"/>
    </row>
    <row r="567" spans="1:34">
      <c r="A567" t="s">
        <v>679</v>
      </c>
      <c r="B567" t="s">
        <v>70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>
        <v>0</v>
      </c>
      <c r="AD567" s="2" t="s">
        <v>334</v>
      </c>
      <c r="AE567" s="2">
        <v>0</v>
      </c>
      <c r="AF567" s="2"/>
      <c r="AG567" s="2">
        <v>0</v>
      </c>
      <c r="AH567" s="2"/>
    </row>
    <row r="568" spans="1:34">
      <c r="A568" t="s">
        <v>705</v>
      </c>
      <c r="B568" t="s">
        <v>68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>
        <v>0</v>
      </c>
      <c r="AD568" s="2"/>
      <c r="AE568" s="2">
        <v>0</v>
      </c>
      <c r="AF568" s="2"/>
      <c r="AG568" s="2">
        <v>0</v>
      </c>
      <c r="AH568" s="2"/>
    </row>
    <row r="569" spans="1:34">
      <c r="A569" t="s">
        <v>706</v>
      </c>
      <c r="B569" t="s">
        <v>70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>
        <v>0</v>
      </c>
      <c r="AD569" s="2"/>
      <c r="AE569" s="2">
        <v>0</v>
      </c>
      <c r="AF569" s="2"/>
      <c r="AG569" s="2">
        <v>0</v>
      </c>
      <c r="AH569" s="2"/>
    </row>
    <row r="570" spans="1:34">
      <c r="A570" t="s">
        <v>789</v>
      </c>
      <c r="B570" t="s">
        <v>790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>
        <v>52</v>
      </c>
      <c r="AD570" s="2"/>
      <c r="AE570" s="2">
        <v>48</v>
      </c>
      <c r="AF570" s="2"/>
      <c r="AG570" s="2">
        <v>60</v>
      </c>
      <c r="AH570" s="2"/>
    </row>
    <row r="571" spans="1:34">
      <c r="A571" t="s">
        <v>791</v>
      </c>
      <c r="B571" t="s">
        <v>792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>
        <v>52</v>
      </c>
      <c r="AD571" s="2"/>
      <c r="AE571" s="2">
        <v>48</v>
      </c>
      <c r="AF571" s="2"/>
      <c r="AG571" s="2">
        <v>60</v>
      </c>
      <c r="AH571" s="2"/>
    </row>
    <row r="572" spans="1:34">
      <c r="A572" t="s">
        <v>793</v>
      </c>
      <c r="B572" t="s">
        <v>792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>
        <v>52</v>
      </c>
      <c r="AD572" s="2"/>
      <c r="AE572" s="2">
        <v>48</v>
      </c>
      <c r="AF572" s="2"/>
      <c r="AG572" s="2">
        <v>60</v>
      </c>
      <c r="AH572" s="2"/>
    </row>
    <row r="573" spans="1:34">
      <c r="A573" t="s">
        <v>794</v>
      </c>
      <c r="B573" t="s">
        <v>795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 t="s">
        <v>43</v>
      </c>
      <c r="AD573" s="2"/>
      <c r="AE573" s="2" t="s">
        <v>43</v>
      </c>
      <c r="AF573" s="2"/>
      <c r="AG573" s="2">
        <v>340</v>
      </c>
      <c r="AH573" s="2"/>
    </row>
    <row r="574" spans="1:34">
      <c r="A574" t="s">
        <v>796</v>
      </c>
      <c r="B574" t="s">
        <v>797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 t="s">
        <v>43</v>
      </c>
      <c r="AD574" s="2"/>
      <c r="AE574" s="2" t="s">
        <v>43</v>
      </c>
      <c r="AF574" s="2"/>
      <c r="AG574" s="2">
        <v>145</v>
      </c>
      <c r="AH574" s="2"/>
    </row>
    <row r="575" spans="1:34">
      <c r="A575" t="s">
        <v>798</v>
      </c>
      <c r="B575" t="s">
        <v>799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 t="s">
        <v>43</v>
      </c>
      <c r="AD575" s="2"/>
      <c r="AE575" s="2" t="s">
        <v>43</v>
      </c>
      <c r="AF575" s="2"/>
      <c r="AG575" s="2">
        <v>68</v>
      </c>
      <c r="AH575" s="2"/>
    </row>
    <row r="576" spans="1:34">
      <c r="A576" t="s">
        <v>800</v>
      </c>
      <c r="B576" t="s">
        <v>801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 t="s">
        <v>43</v>
      </c>
      <c r="AD576" s="2"/>
      <c r="AE576" s="2" t="s">
        <v>43</v>
      </c>
      <c r="AF576" s="2"/>
      <c r="AG576" s="2">
        <v>77</v>
      </c>
      <c r="AH576" s="2"/>
    </row>
    <row r="577" spans="1:34">
      <c r="A577" t="s">
        <v>802</v>
      </c>
      <c r="B577" t="s">
        <v>803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 t="s">
        <v>43</v>
      </c>
      <c r="AD577" s="2"/>
      <c r="AE577" s="2" t="s">
        <v>43</v>
      </c>
      <c r="AF577" s="2"/>
      <c r="AG577" s="2">
        <v>195</v>
      </c>
      <c r="AH577" s="2"/>
    </row>
    <row r="578" spans="1:34">
      <c r="A578" t="s">
        <v>804</v>
      </c>
      <c r="B578" t="s">
        <v>805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 t="s">
        <v>43</v>
      </c>
      <c r="AD578" s="2"/>
      <c r="AE578" s="2" t="s">
        <v>43</v>
      </c>
      <c r="AF578" s="2"/>
      <c r="AG578" s="2">
        <v>141</v>
      </c>
      <c r="AH578" s="2"/>
    </row>
    <row r="579" spans="1:34">
      <c r="A579" t="s">
        <v>806</v>
      </c>
      <c r="B579" t="s">
        <v>807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 t="s">
        <v>43</v>
      </c>
      <c r="AD579" s="2"/>
      <c r="AE579" s="2" t="s">
        <v>43</v>
      </c>
      <c r="AF579" s="2"/>
      <c r="AG579" s="2">
        <v>54</v>
      </c>
      <c r="AH57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79"/>
  <sheetViews>
    <sheetView workbookViewId="0"/>
  </sheetViews>
  <sheetFormatPr baseColWidth="10" defaultColWidth="8.83203125" defaultRowHeight="14"/>
  <cols>
    <col min="1" max="1" width="12" customWidth="1"/>
    <col min="2" max="2" width="40" customWidth="1"/>
  </cols>
  <sheetData>
    <row r="1" spans="1:34" ht="15">
      <c r="A1" s="1" t="s">
        <v>16</v>
      </c>
      <c r="B1" s="1" t="s">
        <v>17</v>
      </c>
      <c r="C1" s="1" t="s">
        <v>814</v>
      </c>
      <c r="D1" s="1" t="s">
        <v>815</v>
      </c>
      <c r="E1" s="1" t="s">
        <v>816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  <c r="K1" s="1" t="s">
        <v>822</v>
      </c>
      <c r="L1" s="1" t="s">
        <v>823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834</v>
      </c>
      <c r="X1" s="1" t="s">
        <v>835</v>
      </c>
      <c r="Y1" s="1" t="s">
        <v>836</v>
      </c>
      <c r="Z1" s="1" t="s">
        <v>837</v>
      </c>
      <c r="AA1" s="1" t="s">
        <v>838</v>
      </c>
      <c r="AB1" s="1" t="s">
        <v>839</v>
      </c>
      <c r="AC1" s="1" t="s">
        <v>840</v>
      </c>
      <c r="AD1" s="1" t="s">
        <v>841</v>
      </c>
      <c r="AE1" s="1" t="s">
        <v>842</v>
      </c>
      <c r="AF1" s="1" t="s">
        <v>843</v>
      </c>
      <c r="AG1" s="1" t="s">
        <v>844</v>
      </c>
      <c r="AH1" s="1" t="s">
        <v>845</v>
      </c>
    </row>
    <row r="2" spans="1:34">
      <c r="A2" t="s">
        <v>36</v>
      </c>
      <c r="B2" t="s">
        <v>37</v>
      </c>
      <c r="C2" s="3">
        <v>1538.9</v>
      </c>
      <c r="D2" s="3"/>
      <c r="E2" s="3">
        <v>1343.1</v>
      </c>
      <c r="F2" s="3"/>
      <c r="G2" s="3">
        <v>1313.6</v>
      </c>
      <c r="H2" s="3"/>
      <c r="I2" s="3">
        <v>1430</v>
      </c>
      <c r="J2" s="3"/>
      <c r="K2" s="3">
        <v>1453</v>
      </c>
      <c r="L2" s="3"/>
      <c r="M2" s="3">
        <v>1511</v>
      </c>
      <c r="N2" s="3"/>
      <c r="O2" s="3">
        <v>1632.1</v>
      </c>
      <c r="P2" s="3"/>
      <c r="Q2" s="3">
        <v>1267.8</v>
      </c>
      <c r="R2" s="3"/>
      <c r="S2" s="3">
        <v>1232.2</v>
      </c>
      <c r="T2" s="3"/>
      <c r="U2" s="3">
        <v>1299.7</v>
      </c>
      <c r="V2" s="3"/>
      <c r="W2" s="3">
        <v>1388.7</v>
      </c>
      <c r="X2" s="3" t="s">
        <v>334</v>
      </c>
      <c r="Y2" s="3">
        <v>1418</v>
      </c>
      <c r="Z2" s="3"/>
      <c r="AA2" s="3">
        <v>1337.4</v>
      </c>
      <c r="AB2" s="3"/>
      <c r="AC2" s="3">
        <v>1341.38</v>
      </c>
      <c r="AD2" s="3"/>
      <c r="AE2" s="3">
        <v>1467.63</v>
      </c>
      <c r="AF2" s="3"/>
      <c r="AG2" s="3">
        <v>1592.89</v>
      </c>
      <c r="AH2" s="3"/>
    </row>
    <row r="3" spans="1:34">
      <c r="A3" t="s">
        <v>38</v>
      </c>
      <c r="B3" t="s">
        <v>39</v>
      </c>
      <c r="C3" s="3" t="s">
        <v>43</v>
      </c>
      <c r="D3" s="3" t="s">
        <v>44</v>
      </c>
      <c r="E3" s="3">
        <v>197.1</v>
      </c>
      <c r="F3" s="3"/>
      <c r="G3" s="3">
        <v>169.7</v>
      </c>
      <c r="H3" s="3"/>
      <c r="I3" s="3">
        <v>183.6</v>
      </c>
      <c r="J3" s="3"/>
      <c r="K3" s="3">
        <v>203.2</v>
      </c>
      <c r="L3" s="3"/>
      <c r="M3" s="3">
        <v>213.5</v>
      </c>
      <c r="N3" s="3"/>
      <c r="O3" s="3">
        <v>190.1</v>
      </c>
      <c r="P3" s="3"/>
      <c r="Q3" s="3">
        <v>190.5</v>
      </c>
      <c r="R3" s="3"/>
      <c r="S3" s="3">
        <v>193.6</v>
      </c>
      <c r="T3" s="3"/>
      <c r="U3" s="3">
        <v>213.7</v>
      </c>
      <c r="V3" s="3"/>
      <c r="W3" s="3">
        <v>171.2</v>
      </c>
      <c r="X3" s="3" t="s">
        <v>334</v>
      </c>
      <c r="Y3" s="3">
        <v>188.7</v>
      </c>
      <c r="Z3" s="3"/>
      <c r="AA3" s="3">
        <v>190.4</v>
      </c>
      <c r="AB3" s="3"/>
      <c r="AC3" s="3">
        <v>194.55</v>
      </c>
      <c r="AD3" s="3"/>
      <c r="AE3" s="3">
        <v>225.84</v>
      </c>
      <c r="AF3" s="3"/>
      <c r="AG3" s="3">
        <v>226.73</v>
      </c>
      <c r="AH3" s="3"/>
    </row>
    <row r="4" spans="1:34">
      <c r="A4" t="s">
        <v>40</v>
      </c>
      <c r="B4" t="s">
        <v>39</v>
      </c>
      <c r="C4" s="3" t="s">
        <v>43</v>
      </c>
      <c r="D4" s="3" t="s">
        <v>44</v>
      </c>
      <c r="E4" s="3">
        <v>197.1</v>
      </c>
      <c r="F4" s="3"/>
      <c r="G4" s="3">
        <v>169.7</v>
      </c>
      <c r="H4" s="3"/>
      <c r="I4" s="3">
        <v>183.6</v>
      </c>
      <c r="J4" s="3"/>
      <c r="K4" s="3">
        <v>203.2</v>
      </c>
      <c r="L4" s="3"/>
      <c r="M4" s="3">
        <v>213.5</v>
      </c>
      <c r="N4" s="3"/>
      <c r="O4" s="3">
        <v>190.1</v>
      </c>
      <c r="P4" s="3"/>
      <c r="Q4" s="3">
        <v>190.5</v>
      </c>
      <c r="R4" s="3"/>
      <c r="S4" s="3">
        <v>193.6</v>
      </c>
      <c r="T4" s="3"/>
      <c r="U4" s="3">
        <v>213.7</v>
      </c>
      <c r="V4" s="3"/>
      <c r="W4" s="3">
        <v>171.2</v>
      </c>
      <c r="X4" s="3" t="s">
        <v>334</v>
      </c>
      <c r="Y4" s="3">
        <v>188.7</v>
      </c>
      <c r="Z4" s="3"/>
      <c r="AA4" s="3">
        <v>190.4</v>
      </c>
      <c r="AB4" s="3"/>
      <c r="AC4" s="3">
        <v>194.55</v>
      </c>
      <c r="AD4" s="3"/>
      <c r="AE4" s="3">
        <v>225.84</v>
      </c>
      <c r="AF4" s="3"/>
      <c r="AG4" s="3">
        <v>226.73</v>
      </c>
      <c r="AH4" s="3"/>
    </row>
    <row r="5" spans="1:34">
      <c r="A5" t="s">
        <v>41</v>
      </c>
      <c r="B5" t="s">
        <v>42</v>
      </c>
      <c r="C5" s="3" t="s">
        <v>43</v>
      </c>
      <c r="D5" s="3" t="s">
        <v>44</v>
      </c>
      <c r="E5" s="3">
        <v>1053.5</v>
      </c>
      <c r="F5" s="3"/>
      <c r="G5" s="3">
        <v>1048</v>
      </c>
      <c r="H5" s="3"/>
      <c r="I5" s="3">
        <v>1146.3</v>
      </c>
      <c r="J5" s="3"/>
      <c r="K5" s="3">
        <v>1167</v>
      </c>
      <c r="L5" s="3"/>
      <c r="M5" s="3">
        <v>1207.8</v>
      </c>
      <c r="N5" s="3"/>
      <c r="O5" s="3">
        <v>1353.1</v>
      </c>
      <c r="P5" s="3"/>
      <c r="Q5" s="3">
        <v>1007.4</v>
      </c>
      <c r="R5" s="3"/>
      <c r="S5" s="3">
        <v>963.7</v>
      </c>
      <c r="T5" s="3"/>
      <c r="U5" s="3">
        <v>1002.8</v>
      </c>
      <c r="V5" s="3"/>
      <c r="W5" s="3">
        <v>1136.9000000000001</v>
      </c>
      <c r="X5" s="3" t="s">
        <v>334</v>
      </c>
      <c r="Y5" s="3">
        <v>1146.5999999999999</v>
      </c>
      <c r="Z5" s="3"/>
      <c r="AA5" s="3">
        <v>1088.0999999999999</v>
      </c>
      <c r="AB5" s="3"/>
      <c r="AC5" s="3" t="s">
        <v>43</v>
      </c>
      <c r="AD5" s="3" t="s">
        <v>44</v>
      </c>
      <c r="AE5" s="3">
        <v>1184.2</v>
      </c>
      <c r="AF5" s="3"/>
      <c r="AG5" s="3">
        <v>1309.1300000000001</v>
      </c>
      <c r="AH5" s="3"/>
    </row>
    <row r="6" spans="1:34">
      <c r="A6" t="s">
        <v>45</v>
      </c>
      <c r="B6" t="s">
        <v>46</v>
      </c>
      <c r="C6" s="3">
        <v>433.9</v>
      </c>
      <c r="D6" s="3"/>
      <c r="E6" s="3" t="s">
        <v>43</v>
      </c>
      <c r="F6" s="3" t="s">
        <v>44</v>
      </c>
      <c r="G6" s="3">
        <v>285.3</v>
      </c>
      <c r="H6" s="3"/>
      <c r="I6" s="3">
        <v>309</v>
      </c>
      <c r="J6" s="3"/>
      <c r="K6" s="3">
        <v>334.8</v>
      </c>
      <c r="L6" s="3"/>
      <c r="M6" s="3">
        <v>352.4</v>
      </c>
      <c r="N6" s="3"/>
      <c r="O6" s="3">
        <v>311.8</v>
      </c>
      <c r="P6" s="3"/>
      <c r="Q6" s="3">
        <v>283.3</v>
      </c>
      <c r="R6" s="3"/>
      <c r="S6" s="3">
        <v>247.2</v>
      </c>
      <c r="T6" s="3"/>
      <c r="U6" s="3">
        <v>250.9</v>
      </c>
      <c r="V6" s="3"/>
      <c r="W6" s="3">
        <v>279.39999999999998</v>
      </c>
      <c r="X6" s="3" t="s">
        <v>334</v>
      </c>
      <c r="Y6" s="3">
        <v>297.39999999999998</v>
      </c>
      <c r="Z6" s="3"/>
      <c r="AA6" s="3">
        <v>241.8</v>
      </c>
      <c r="AB6" s="3"/>
      <c r="AC6" s="3">
        <v>238.41</v>
      </c>
      <c r="AD6" s="3"/>
      <c r="AE6" s="3">
        <v>278.81</v>
      </c>
      <c r="AF6" s="3"/>
      <c r="AG6" s="3">
        <v>300.56</v>
      </c>
      <c r="AH6" s="3"/>
    </row>
    <row r="7" spans="1:34">
      <c r="A7" t="s">
        <v>47</v>
      </c>
      <c r="B7" t="s">
        <v>48</v>
      </c>
      <c r="C7" s="3" t="s">
        <v>43</v>
      </c>
      <c r="D7" s="3" t="s">
        <v>44</v>
      </c>
      <c r="E7" s="3" t="s">
        <v>43</v>
      </c>
      <c r="F7" s="3" t="s">
        <v>44</v>
      </c>
      <c r="G7" s="3" t="s">
        <v>43</v>
      </c>
      <c r="H7" s="3" t="s">
        <v>44</v>
      </c>
      <c r="I7" s="3">
        <v>281.89999999999998</v>
      </c>
      <c r="J7" s="3"/>
      <c r="K7" s="3">
        <v>282.89999999999998</v>
      </c>
      <c r="L7" s="3"/>
      <c r="M7" s="3">
        <v>303.3</v>
      </c>
      <c r="N7" s="3"/>
      <c r="O7" s="3">
        <v>475.3</v>
      </c>
      <c r="P7" s="3"/>
      <c r="Q7" s="3">
        <v>171.5</v>
      </c>
      <c r="R7" s="3"/>
      <c r="S7" s="3">
        <v>159.69999999999999</v>
      </c>
      <c r="T7" s="3"/>
      <c r="U7" s="3">
        <v>179.4</v>
      </c>
      <c r="V7" s="3"/>
      <c r="W7" s="3">
        <v>181.6</v>
      </c>
      <c r="X7" s="3" t="s">
        <v>334</v>
      </c>
      <c r="Y7" s="3">
        <v>178.7</v>
      </c>
      <c r="Z7" s="3"/>
      <c r="AA7" s="3">
        <v>165.7</v>
      </c>
      <c r="AB7" s="3"/>
      <c r="AC7" s="3" t="s">
        <v>43</v>
      </c>
      <c r="AD7" s="3" t="s">
        <v>44</v>
      </c>
      <c r="AE7" s="3">
        <v>148.80000000000001</v>
      </c>
      <c r="AF7" s="3"/>
      <c r="AG7" s="3">
        <v>181.38</v>
      </c>
      <c r="AH7" s="3"/>
    </row>
    <row r="8" spans="1:34">
      <c r="A8" t="s">
        <v>49</v>
      </c>
      <c r="B8" t="s">
        <v>50</v>
      </c>
      <c r="C8" s="3" t="s">
        <v>43</v>
      </c>
      <c r="D8" s="3" t="s">
        <v>44</v>
      </c>
      <c r="E8" s="3">
        <v>272.60000000000002</v>
      </c>
      <c r="F8" s="3"/>
      <c r="G8" s="3">
        <v>360.1</v>
      </c>
      <c r="H8" s="3"/>
      <c r="I8" s="3">
        <v>405.2</v>
      </c>
      <c r="J8" s="3"/>
      <c r="K8" s="3">
        <v>424.5</v>
      </c>
      <c r="L8" s="3"/>
      <c r="M8" s="3">
        <v>429.1</v>
      </c>
      <c r="N8" s="3"/>
      <c r="O8" s="3">
        <v>439.8</v>
      </c>
      <c r="P8" s="3"/>
      <c r="Q8" s="3">
        <v>438.8</v>
      </c>
      <c r="R8" s="3"/>
      <c r="S8" s="3">
        <v>443.7</v>
      </c>
      <c r="T8" s="3"/>
      <c r="U8" s="3">
        <v>464.3</v>
      </c>
      <c r="V8" s="3"/>
      <c r="W8" s="3">
        <v>533</v>
      </c>
      <c r="X8" s="3" t="s">
        <v>334</v>
      </c>
      <c r="Y8" s="3">
        <v>539.4</v>
      </c>
      <c r="Z8" s="3"/>
      <c r="AA8" s="3">
        <v>539.70000000000005</v>
      </c>
      <c r="AB8" s="3"/>
      <c r="AC8" s="3">
        <v>551.97</v>
      </c>
      <c r="AD8" s="3"/>
      <c r="AE8" s="3">
        <v>602.88</v>
      </c>
      <c r="AF8" s="3"/>
      <c r="AG8" s="3">
        <v>696.97</v>
      </c>
      <c r="AH8" s="3"/>
    </row>
    <row r="9" spans="1:34">
      <c r="A9" t="s">
        <v>51</v>
      </c>
      <c r="B9" t="s">
        <v>52</v>
      </c>
      <c r="C9" s="3" t="s">
        <v>43</v>
      </c>
      <c r="D9" s="3" t="s">
        <v>44</v>
      </c>
      <c r="E9" s="3">
        <v>82.2</v>
      </c>
      <c r="F9" s="3"/>
      <c r="G9" s="3" t="s">
        <v>43</v>
      </c>
      <c r="H9" s="3" t="s">
        <v>44</v>
      </c>
      <c r="I9" s="3">
        <v>67.5</v>
      </c>
      <c r="J9" s="3"/>
      <c r="K9" s="3">
        <v>66.2</v>
      </c>
      <c r="L9" s="3"/>
      <c r="M9" s="3">
        <v>66.099999999999994</v>
      </c>
      <c r="N9" s="3"/>
      <c r="O9" s="3">
        <v>73.400000000000006</v>
      </c>
      <c r="P9" s="3"/>
      <c r="Q9" s="3">
        <v>57.7</v>
      </c>
      <c r="R9" s="3"/>
      <c r="S9" s="3">
        <v>62.3</v>
      </c>
      <c r="T9" s="3"/>
      <c r="U9" s="3">
        <v>53.6</v>
      </c>
      <c r="V9" s="3"/>
      <c r="W9" s="3">
        <v>56.5</v>
      </c>
      <c r="X9" s="3" t="s">
        <v>334</v>
      </c>
      <c r="Y9" s="3">
        <v>46.2</v>
      </c>
      <c r="Z9" s="3"/>
      <c r="AA9" s="3">
        <v>58.2</v>
      </c>
      <c r="AB9" s="3"/>
      <c r="AC9" s="3">
        <v>63.81</v>
      </c>
      <c r="AD9" s="3"/>
      <c r="AE9" s="3">
        <v>56.83</v>
      </c>
      <c r="AF9" s="3"/>
      <c r="AG9" s="3">
        <v>41.83</v>
      </c>
      <c r="AH9" s="3"/>
    </row>
    <row r="10" spans="1:34">
      <c r="A10" t="s">
        <v>53</v>
      </c>
      <c r="B10" t="s">
        <v>54</v>
      </c>
      <c r="C10" s="3">
        <v>71.900000000000006</v>
      </c>
      <c r="D10" s="3"/>
      <c r="E10" s="3">
        <v>64.7</v>
      </c>
      <c r="F10" s="3"/>
      <c r="G10" s="3">
        <v>56.4</v>
      </c>
      <c r="H10" s="3"/>
      <c r="I10" s="3">
        <v>82.7</v>
      </c>
      <c r="J10" s="3"/>
      <c r="K10" s="3">
        <v>58.6</v>
      </c>
      <c r="L10" s="3"/>
      <c r="M10" s="3">
        <v>56.9</v>
      </c>
      <c r="N10" s="3"/>
      <c r="O10" s="3">
        <v>52.9</v>
      </c>
      <c r="P10" s="3"/>
      <c r="Q10" s="3">
        <v>56.1</v>
      </c>
      <c r="R10" s="3"/>
      <c r="S10" s="3">
        <v>50.8</v>
      </c>
      <c r="T10" s="3"/>
      <c r="U10" s="3">
        <v>54.6</v>
      </c>
      <c r="V10" s="3"/>
      <c r="W10" s="3">
        <v>86.4</v>
      </c>
      <c r="X10" s="3" t="s">
        <v>334</v>
      </c>
      <c r="Y10" s="3">
        <v>84.9</v>
      </c>
      <c r="Z10" s="3"/>
      <c r="AA10" s="3">
        <v>82.7</v>
      </c>
      <c r="AB10" s="3"/>
      <c r="AC10" s="3">
        <v>94.64</v>
      </c>
      <c r="AD10" s="3"/>
      <c r="AE10" s="3">
        <v>96.87</v>
      </c>
      <c r="AF10" s="3"/>
      <c r="AG10" s="3">
        <v>88.39</v>
      </c>
      <c r="AH10" s="3"/>
    </row>
    <row r="11" spans="1:34">
      <c r="A11" t="s">
        <v>55</v>
      </c>
      <c r="B11" t="s">
        <v>56</v>
      </c>
      <c r="C11" s="3" t="s">
        <v>43</v>
      </c>
      <c r="D11" s="3" t="s">
        <v>44</v>
      </c>
      <c r="E11" s="3">
        <v>92.1</v>
      </c>
      <c r="F11" s="3"/>
      <c r="G11" s="3">
        <v>95.5</v>
      </c>
      <c r="H11" s="3"/>
      <c r="I11" s="3">
        <v>100</v>
      </c>
      <c r="J11" s="3"/>
      <c r="K11" s="3">
        <v>82.7</v>
      </c>
      <c r="L11" s="3"/>
      <c r="M11" s="3">
        <v>89.3</v>
      </c>
      <c r="N11" s="3"/>
      <c r="O11" s="3">
        <v>86.9</v>
      </c>
      <c r="P11" s="3"/>
      <c r="Q11" s="3">
        <v>69.099999999999994</v>
      </c>
      <c r="R11" s="3"/>
      <c r="S11" s="3">
        <v>74.599999999999994</v>
      </c>
      <c r="T11" s="3"/>
      <c r="U11" s="3">
        <v>81.400000000000006</v>
      </c>
      <c r="V11" s="3"/>
      <c r="W11" s="3">
        <v>77.7</v>
      </c>
      <c r="X11" s="3" t="s">
        <v>334</v>
      </c>
      <c r="Y11" s="3">
        <v>81.7</v>
      </c>
      <c r="Z11" s="3"/>
      <c r="AA11" s="3">
        <v>58.7</v>
      </c>
      <c r="AB11" s="3"/>
      <c r="AC11" s="3" t="s">
        <v>43</v>
      </c>
      <c r="AD11" s="3" t="s">
        <v>44</v>
      </c>
      <c r="AE11" s="3">
        <v>57.24</v>
      </c>
      <c r="AF11" s="3"/>
      <c r="AG11" s="3">
        <v>56.2</v>
      </c>
      <c r="AH11" s="3"/>
    </row>
    <row r="12" spans="1:34">
      <c r="A12" t="s">
        <v>57</v>
      </c>
      <c r="B12" t="s">
        <v>58</v>
      </c>
      <c r="C12" s="3" t="s">
        <v>43</v>
      </c>
      <c r="D12" s="3" t="s">
        <v>44</v>
      </c>
      <c r="E12" s="3">
        <v>0.4</v>
      </c>
      <c r="F12" s="3"/>
      <c r="G12" s="3" t="s">
        <v>43</v>
      </c>
      <c r="H12" s="3" t="s">
        <v>44</v>
      </c>
      <c r="I12" s="3">
        <v>3.5</v>
      </c>
      <c r="J12" s="3"/>
      <c r="K12" s="3">
        <v>4.4000000000000004</v>
      </c>
      <c r="L12" s="3"/>
      <c r="M12" s="3">
        <v>4.8</v>
      </c>
      <c r="N12" s="3"/>
      <c r="O12" s="3">
        <v>4.2</v>
      </c>
      <c r="P12" s="3"/>
      <c r="Q12" s="3">
        <v>3.2</v>
      </c>
      <c r="R12" s="3"/>
      <c r="S12" s="3">
        <v>3</v>
      </c>
      <c r="T12" s="3"/>
      <c r="U12" s="3">
        <v>4.2</v>
      </c>
      <c r="V12" s="3"/>
      <c r="W12" s="3" t="s">
        <v>43</v>
      </c>
      <c r="X12" s="3" t="s">
        <v>403</v>
      </c>
      <c r="Y12" s="3" t="s">
        <v>43</v>
      </c>
      <c r="Z12" s="3" t="s">
        <v>44</v>
      </c>
      <c r="AA12" s="3">
        <v>5.8</v>
      </c>
      <c r="AB12" s="3"/>
      <c r="AC12" s="3">
        <v>3.81</v>
      </c>
      <c r="AD12" s="3"/>
      <c r="AE12" s="3">
        <v>4.41</v>
      </c>
      <c r="AF12" s="3"/>
      <c r="AG12" s="3">
        <v>4.8099999999999996</v>
      </c>
      <c r="AH12" s="3"/>
    </row>
    <row r="13" spans="1:34">
      <c r="A13" t="s">
        <v>59</v>
      </c>
      <c r="B13" t="s">
        <v>60</v>
      </c>
      <c r="C13" s="3" t="s">
        <v>43</v>
      </c>
      <c r="D13" s="3" t="s">
        <v>44</v>
      </c>
      <c r="E13" s="3">
        <v>30.7</v>
      </c>
      <c r="F13" s="3"/>
      <c r="G13" s="3" t="s">
        <v>43</v>
      </c>
      <c r="H13" s="3" t="s">
        <v>44</v>
      </c>
      <c r="I13" s="3" t="s">
        <v>43</v>
      </c>
      <c r="J13" s="3" t="s">
        <v>44</v>
      </c>
      <c r="K13" s="3">
        <v>46.1</v>
      </c>
      <c r="L13" s="3"/>
      <c r="M13" s="3" t="s">
        <v>43</v>
      </c>
      <c r="N13" s="3" t="s">
        <v>44</v>
      </c>
      <c r="O13" s="3">
        <v>51.8</v>
      </c>
      <c r="P13" s="3"/>
      <c r="Q13" s="3">
        <v>7.3</v>
      </c>
      <c r="R13" s="3"/>
      <c r="S13" s="3">
        <v>16.3</v>
      </c>
      <c r="T13" s="3"/>
      <c r="U13" s="3">
        <v>18.3</v>
      </c>
      <c r="V13" s="3"/>
      <c r="W13" s="3" t="s">
        <v>43</v>
      </c>
      <c r="X13" s="3" t="s">
        <v>403</v>
      </c>
      <c r="Y13" s="3" t="s">
        <v>43</v>
      </c>
      <c r="Z13" s="3" t="s">
        <v>44</v>
      </c>
      <c r="AA13" s="3">
        <v>20.7</v>
      </c>
      <c r="AB13" s="3"/>
      <c r="AC13" s="3">
        <v>11.84</v>
      </c>
      <c r="AD13" s="3"/>
      <c r="AE13" s="3">
        <v>14.01</v>
      </c>
      <c r="AF13" s="3"/>
      <c r="AG13" s="3" t="s">
        <v>43</v>
      </c>
      <c r="AH13" s="3" t="s">
        <v>44</v>
      </c>
    </row>
    <row r="14" spans="1:34">
      <c r="A14" t="s">
        <v>61</v>
      </c>
      <c r="B14" t="s">
        <v>62</v>
      </c>
      <c r="C14" s="3" t="s">
        <v>43</v>
      </c>
      <c r="D14" s="3" t="s">
        <v>44</v>
      </c>
      <c r="E14" s="3">
        <v>37.4</v>
      </c>
      <c r="F14" s="3"/>
      <c r="G14" s="3" t="s">
        <v>43</v>
      </c>
      <c r="H14" s="3" t="s">
        <v>44</v>
      </c>
      <c r="I14" s="3" t="s">
        <v>43</v>
      </c>
      <c r="J14" s="3" t="s">
        <v>44</v>
      </c>
      <c r="K14" s="3">
        <v>18.8</v>
      </c>
      <c r="L14" s="3"/>
      <c r="M14" s="3">
        <v>20.399999999999999</v>
      </c>
      <c r="N14" s="3"/>
      <c r="O14" s="3">
        <v>18.600000000000001</v>
      </c>
      <c r="P14" s="3"/>
      <c r="Q14" s="3">
        <v>45.5</v>
      </c>
      <c r="R14" s="3"/>
      <c r="S14" s="3">
        <v>43.5</v>
      </c>
      <c r="T14" s="3"/>
      <c r="U14" s="3">
        <v>45.9</v>
      </c>
      <c r="V14" s="3"/>
      <c r="W14" s="3">
        <v>15.5</v>
      </c>
      <c r="X14" s="3" t="s">
        <v>334</v>
      </c>
      <c r="Y14" s="3" t="s">
        <v>43</v>
      </c>
      <c r="Z14" s="3" t="s">
        <v>44</v>
      </c>
      <c r="AA14" s="3">
        <v>18.399999999999999</v>
      </c>
      <c r="AB14" s="3"/>
      <c r="AC14" s="3" t="s">
        <v>43</v>
      </c>
      <c r="AD14" s="3" t="s">
        <v>44</v>
      </c>
      <c r="AE14" s="3">
        <v>24.61</v>
      </c>
      <c r="AF14" s="3"/>
      <c r="AG14" s="3">
        <v>28.51</v>
      </c>
      <c r="AH14" s="3"/>
    </row>
    <row r="15" spans="1:34">
      <c r="A15" t="s">
        <v>63</v>
      </c>
      <c r="B15" t="s">
        <v>64</v>
      </c>
      <c r="C15" s="3" t="s">
        <v>43</v>
      </c>
      <c r="D15" s="3" t="s">
        <v>44</v>
      </c>
      <c r="E15" s="3" t="s">
        <v>43</v>
      </c>
      <c r="F15" s="3" t="s">
        <v>44</v>
      </c>
      <c r="G15" s="3" t="s">
        <v>43</v>
      </c>
      <c r="H15" s="3" t="s">
        <v>44</v>
      </c>
      <c r="I15" s="3" t="s">
        <v>43</v>
      </c>
      <c r="J15" s="3" t="s">
        <v>44</v>
      </c>
      <c r="K15" s="3" t="s">
        <v>43</v>
      </c>
      <c r="L15" s="3" t="s">
        <v>44</v>
      </c>
      <c r="M15" s="3" t="s">
        <v>43</v>
      </c>
      <c r="N15" s="3" t="s">
        <v>44</v>
      </c>
      <c r="O15" s="3" t="s">
        <v>43</v>
      </c>
      <c r="P15" s="3" t="s">
        <v>44</v>
      </c>
      <c r="Q15" s="3">
        <v>11.7</v>
      </c>
      <c r="R15" s="3"/>
      <c r="S15" s="3" t="s">
        <v>43</v>
      </c>
      <c r="T15" s="3" t="s">
        <v>44</v>
      </c>
      <c r="U15" s="3">
        <v>11.9</v>
      </c>
      <c r="V15" s="3"/>
      <c r="W15" s="3" t="s">
        <v>43</v>
      </c>
      <c r="X15" s="3" t="s">
        <v>403</v>
      </c>
      <c r="Y15" s="3">
        <v>12.4</v>
      </c>
      <c r="Z15" s="3"/>
      <c r="AA15" s="3" t="s">
        <v>43</v>
      </c>
      <c r="AB15" s="3" t="s">
        <v>44</v>
      </c>
      <c r="AC15" s="3">
        <v>11</v>
      </c>
      <c r="AD15" s="3"/>
      <c r="AE15" s="3">
        <v>11.46</v>
      </c>
      <c r="AF15" s="3"/>
      <c r="AG15" s="3" t="s">
        <v>43</v>
      </c>
      <c r="AH15" s="3" t="s">
        <v>44</v>
      </c>
    </row>
    <row r="16" spans="1:34">
      <c r="A16" t="s">
        <v>65</v>
      </c>
      <c r="B16" t="s">
        <v>66</v>
      </c>
      <c r="C16" s="3">
        <v>9.9</v>
      </c>
      <c r="D16" s="3"/>
      <c r="E16" s="3" t="s">
        <v>43</v>
      </c>
      <c r="F16" s="3" t="s">
        <v>44</v>
      </c>
      <c r="G16" s="3">
        <v>1.5</v>
      </c>
      <c r="H16" s="3"/>
      <c r="I16" s="3">
        <v>1.3</v>
      </c>
      <c r="J16" s="3"/>
      <c r="K16" s="3" t="s">
        <v>43</v>
      </c>
      <c r="L16" s="3" t="s">
        <v>44</v>
      </c>
      <c r="M16" s="3">
        <v>0.9</v>
      </c>
      <c r="N16" s="3"/>
      <c r="O16" s="3" t="s">
        <v>43</v>
      </c>
      <c r="P16" s="3" t="s">
        <v>44</v>
      </c>
      <c r="Q16" s="3">
        <v>1.4</v>
      </c>
      <c r="R16" s="3"/>
      <c r="S16" s="3" t="s">
        <v>43</v>
      </c>
      <c r="T16" s="3" t="s">
        <v>44</v>
      </c>
      <c r="U16" s="3">
        <v>1.2</v>
      </c>
      <c r="V16" s="3"/>
      <c r="W16" s="3">
        <v>1.1000000000000001</v>
      </c>
      <c r="X16" s="3" t="s">
        <v>334</v>
      </c>
      <c r="Y16" s="3">
        <v>1.3</v>
      </c>
      <c r="Z16" s="3"/>
      <c r="AA16" s="3" t="s">
        <v>43</v>
      </c>
      <c r="AB16" s="3" t="s">
        <v>44</v>
      </c>
      <c r="AC16" s="3">
        <v>2.17</v>
      </c>
      <c r="AD16" s="3"/>
      <c r="AE16" s="3">
        <v>2.76</v>
      </c>
      <c r="AF16" s="3"/>
      <c r="AG16" s="3" t="s">
        <v>43</v>
      </c>
      <c r="AH16" s="3" t="s">
        <v>44</v>
      </c>
    </row>
    <row r="17" spans="1:34">
      <c r="A17" t="s">
        <v>71</v>
      </c>
      <c r="B17" t="s">
        <v>72</v>
      </c>
      <c r="C17" s="3">
        <v>32.9</v>
      </c>
      <c r="D17" s="3"/>
      <c r="E17" s="3">
        <v>37.299999999999997</v>
      </c>
      <c r="F17" s="3"/>
      <c r="G17" s="3">
        <v>41.7</v>
      </c>
      <c r="H17" s="3"/>
      <c r="I17" s="3">
        <v>51.9</v>
      </c>
      <c r="J17" s="3"/>
      <c r="K17" s="3">
        <v>54.8</v>
      </c>
      <c r="L17" s="3"/>
      <c r="M17" s="3">
        <v>54.3</v>
      </c>
      <c r="N17" s="3"/>
      <c r="O17" s="3">
        <v>78.3</v>
      </c>
      <c r="P17" s="3"/>
      <c r="Q17" s="3">
        <v>101.4</v>
      </c>
      <c r="R17" s="3"/>
      <c r="S17" s="3">
        <v>115</v>
      </c>
      <c r="T17" s="3"/>
      <c r="U17" s="3">
        <v>135.80000000000001</v>
      </c>
      <c r="V17" s="3"/>
      <c r="W17" s="3">
        <v>151.19999999999999</v>
      </c>
      <c r="X17" s="3" t="s">
        <v>334</v>
      </c>
      <c r="Y17" s="3">
        <v>163.30000000000001</v>
      </c>
      <c r="Z17" s="3"/>
      <c r="AA17" s="3">
        <v>198.7</v>
      </c>
      <c r="AB17" s="3"/>
      <c r="AC17" s="3">
        <v>230.86</v>
      </c>
      <c r="AD17" s="3"/>
      <c r="AE17" s="3">
        <v>249.56</v>
      </c>
      <c r="AF17" s="3"/>
      <c r="AG17" s="3">
        <v>288.85000000000002</v>
      </c>
      <c r="AH17" s="3"/>
    </row>
    <row r="18" spans="1:34">
      <c r="A18" t="s">
        <v>73</v>
      </c>
      <c r="B18" t="s">
        <v>74</v>
      </c>
      <c r="C18" s="3">
        <v>18.3</v>
      </c>
      <c r="D18" s="3"/>
      <c r="E18" s="3">
        <v>22.8</v>
      </c>
      <c r="F18" s="3"/>
      <c r="G18" s="3">
        <v>26.4</v>
      </c>
      <c r="H18" s="3"/>
      <c r="I18" s="3">
        <v>32.1</v>
      </c>
      <c r="J18" s="3"/>
      <c r="K18" s="3">
        <v>31.5</v>
      </c>
      <c r="L18" s="3"/>
      <c r="M18" s="3">
        <v>33.799999999999997</v>
      </c>
      <c r="N18" s="3"/>
      <c r="O18" s="3">
        <v>50.7</v>
      </c>
      <c r="P18" s="3"/>
      <c r="Q18" s="3">
        <v>69.3</v>
      </c>
      <c r="R18" s="3"/>
      <c r="S18" s="3">
        <v>76.900000000000006</v>
      </c>
      <c r="T18" s="3"/>
      <c r="U18" s="3">
        <v>88.8</v>
      </c>
      <c r="V18" s="3"/>
      <c r="W18" s="3">
        <v>90</v>
      </c>
      <c r="X18" s="3" t="s">
        <v>334</v>
      </c>
      <c r="Y18" s="3">
        <v>83</v>
      </c>
      <c r="Z18" s="3"/>
      <c r="AA18" s="3">
        <v>92</v>
      </c>
      <c r="AB18" s="3"/>
      <c r="AC18" s="3">
        <v>98.78</v>
      </c>
      <c r="AD18" s="3"/>
      <c r="AE18" s="3">
        <v>115.09</v>
      </c>
      <c r="AF18" s="3"/>
      <c r="AG18" s="3">
        <v>137.19</v>
      </c>
      <c r="AH18" s="3"/>
    </row>
    <row r="19" spans="1:34">
      <c r="A19" t="s">
        <v>75</v>
      </c>
      <c r="B19" t="s">
        <v>76</v>
      </c>
      <c r="C19" s="3">
        <v>0.2</v>
      </c>
      <c r="D19" s="3"/>
      <c r="E19" s="3">
        <v>0.1</v>
      </c>
      <c r="F19" s="3"/>
      <c r="G19" s="3">
        <v>0</v>
      </c>
      <c r="H19" s="3"/>
      <c r="I19" s="3">
        <v>0.1</v>
      </c>
      <c r="J19" s="3"/>
      <c r="K19" s="3">
        <v>0.1</v>
      </c>
      <c r="L19" s="3"/>
      <c r="M19" s="3">
        <v>0.2</v>
      </c>
      <c r="N19" s="3"/>
      <c r="O19" s="3" t="s">
        <v>43</v>
      </c>
      <c r="P19" s="3" t="s">
        <v>44</v>
      </c>
      <c r="Q19" s="3">
        <v>2.6</v>
      </c>
      <c r="R19" s="3"/>
      <c r="S19" s="3">
        <v>1.8</v>
      </c>
      <c r="T19" s="3"/>
      <c r="U19" s="3" t="s">
        <v>43</v>
      </c>
      <c r="V19" s="3" t="s">
        <v>44</v>
      </c>
      <c r="W19" s="3" t="s">
        <v>43</v>
      </c>
      <c r="X19" s="3" t="s">
        <v>403</v>
      </c>
      <c r="Y19" s="3">
        <v>14.2</v>
      </c>
      <c r="Z19" s="3"/>
      <c r="AA19" s="3">
        <v>20.5</v>
      </c>
      <c r="AB19" s="3"/>
      <c r="AC19" s="3">
        <v>29.49</v>
      </c>
      <c r="AD19" s="3"/>
      <c r="AE19" s="3">
        <v>36.51</v>
      </c>
      <c r="AF19" s="3"/>
      <c r="AG19" s="3">
        <v>42.06</v>
      </c>
      <c r="AH19" s="3"/>
    </row>
    <row r="20" spans="1:34">
      <c r="A20" t="s">
        <v>77</v>
      </c>
      <c r="B20" t="s">
        <v>78</v>
      </c>
      <c r="C20" s="3">
        <v>2.2000000000000002</v>
      </c>
      <c r="D20" s="3"/>
      <c r="E20" s="3">
        <v>2.5</v>
      </c>
      <c r="F20" s="3"/>
      <c r="G20" s="3">
        <v>3.2</v>
      </c>
      <c r="H20" s="3"/>
      <c r="I20" s="3">
        <v>4.8</v>
      </c>
      <c r="J20" s="3"/>
      <c r="K20" s="3">
        <v>6.2</v>
      </c>
      <c r="L20" s="3"/>
      <c r="M20" s="3">
        <v>6.4</v>
      </c>
      <c r="N20" s="3"/>
      <c r="O20" s="3">
        <v>8.5</v>
      </c>
      <c r="P20" s="3"/>
      <c r="Q20" s="3">
        <v>11.5</v>
      </c>
      <c r="R20" s="3"/>
      <c r="S20" s="3">
        <v>14.8</v>
      </c>
      <c r="T20" s="3"/>
      <c r="U20" s="3">
        <v>15.9</v>
      </c>
      <c r="V20" s="3"/>
      <c r="W20" s="3">
        <v>17.2</v>
      </c>
      <c r="X20" s="3" t="s">
        <v>334</v>
      </c>
      <c r="Y20" s="3">
        <v>19.7</v>
      </c>
      <c r="Z20" s="3"/>
      <c r="AA20" s="3">
        <v>21.6</v>
      </c>
      <c r="AB20" s="3"/>
      <c r="AC20" s="3">
        <v>24.14</v>
      </c>
      <c r="AD20" s="3"/>
      <c r="AE20" s="3">
        <v>28.56</v>
      </c>
      <c r="AF20" s="3"/>
      <c r="AG20" s="3">
        <v>41.43</v>
      </c>
      <c r="AH20" s="3"/>
    </row>
    <row r="21" spans="1:34">
      <c r="A21" t="s">
        <v>79</v>
      </c>
      <c r="B21" t="s">
        <v>80</v>
      </c>
      <c r="C21" s="3">
        <v>1.1000000000000001</v>
      </c>
      <c r="D21" s="3"/>
      <c r="E21" s="3">
        <v>1.1000000000000001</v>
      </c>
      <c r="F21" s="3"/>
      <c r="G21" s="3">
        <v>1</v>
      </c>
      <c r="H21" s="3"/>
      <c r="I21" s="3">
        <v>3.1</v>
      </c>
      <c r="J21" s="3"/>
      <c r="K21" s="3">
        <v>2.9</v>
      </c>
      <c r="L21" s="3"/>
      <c r="M21" s="3">
        <v>3.2</v>
      </c>
      <c r="N21" s="3"/>
      <c r="O21" s="3" t="s">
        <v>43</v>
      </c>
      <c r="P21" s="3" t="s">
        <v>44</v>
      </c>
      <c r="Q21" s="3">
        <v>4.8</v>
      </c>
      <c r="R21" s="3"/>
      <c r="S21" s="3">
        <v>3.6</v>
      </c>
      <c r="T21" s="3"/>
      <c r="U21" s="3" t="s">
        <v>43</v>
      </c>
      <c r="V21" s="3" t="s">
        <v>44</v>
      </c>
      <c r="W21" s="3" t="s">
        <v>43</v>
      </c>
      <c r="X21" s="3" t="s">
        <v>403</v>
      </c>
      <c r="Y21" s="3">
        <v>0.7</v>
      </c>
      <c r="Z21" s="3"/>
      <c r="AA21" s="3">
        <v>0.3</v>
      </c>
      <c r="AB21" s="3"/>
      <c r="AC21" s="3">
        <v>0.27</v>
      </c>
      <c r="AD21" s="3"/>
      <c r="AE21" s="3">
        <v>0.48</v>
      </c>
      <c r="AF21" s="3"/>
      <c r="AG21" s="3">
        <v>0.46</v>
      </c>
      <c r="AH21" s="3"/>
    </row>
    <row r="22" spans="1:34">
      <c r="A22" t="s">
        <v>81</v>
      </c>
      <c r="B22" t="s">
        <v>82</v>
      </c>
      <c r="C22" s="3">
        <v>14.8</v>
      </c>
      <c r="D22" s="3"/>
      <c r="E22" s="3">
        <v>19.100000000000001</v>
      </c>
      <c r="F22" s="3"/>
      <c r="G22" s="3">
        <v>22.1</v>
      </c>
      <c r="H22" s="3"/>
      <c r="I22" s="3">
        <v>24.2</v>
      </c>
      <c r="J22" s="3"/>
      <c r="K22" s="3">
        <v>22.3</v>
      </c>
      <c r="L22" s="3"/>
      <c r="M22" s="3">
        <v>24.1</v>
      </c>
      <c r="N22" s="3"/>
      <c r="O22" s="3">
        <v>35.6</v>
      </c>
      <c r="P22" s="3"/>
      <c r="Q22" s="3">
        <v>50.4</v>
      </c>
      <c r="R22" s="3"/>
      <c r="S22" s="3">
        <v>56.7</v>
      </c>
      <c r="T22" s="3"/>
      <c r="U22" s="3">
        <v>58.6</v>
      </c>
      <c r="V22" s="3"/>
      <c r="W22" s="3">
        <v>58.7</v>
      </c>
      <c r="X22" s="3" t="s">
        <v>334</v>
      </c>
      <c r="Y22" s="3">
        <v>48.3</v>
      </c>
      <c r="Z22" s="3"/>
      <c r="AA22" s="3">
        <v>49.6</v>
      </c>
      <c r="AB22" s="3"/>
      <c r="AC22" s="3">
        <v>44.89</v>
      </c>
      <c r="AD22" s="3"/>
      <c r="AE22" s="3">
        <v>49.53</v>
      </c>
      <c r="AF22" s="3"/>
      <c r="AG22" s="3">
        <v>53.24</v>
      </c>
      <c r="AH22" s="3"/>
    </row>
    <row r="23" spans="1:34">
      <c r="A23" t="s">
        <v>83</v>
      </c>
      <c r="B23" t="s">
        <v>84</v>
      </c>
      <c r="C23" s="3">
        <v>14.6</v>
      </c>
      <c r="D23" s="3"/>
      <c r="E23" s="3">
        <v>14.5</v>
      </c>
      <c r="F23" s="3"/>
      <c r="G23" s="3">
        <v>15.3</v>
      </c>
      <c r="H23" s="3"/>
      <c r="I23" s="3">
        <v>19.7</v>
      </c>
      <c r="J23" s="3"/>
      <c r="K23" s="3">
        <v>23.3</v>
      </c>
      <c r="L23" s="3"/>
      <c r="M23" s="3">
        <v>20.5</v>
      </c>
      <c r="N23" s="3"/>
      <c r="O23" s="3">
        <v>27.6</v>
      </c>
      <c r="P23" s="3"/>
      <c r="Q23" s="3">
        <v>32.1</v>
      </c>
      <c r="R23" s="3"/>
      <c r="S23" s="3">
        <v>38.1</v>
      </c>
      <c r="T23" s="3"/>
      <c r="U23" s="3">
        <v>47</v>
      </c>
      <c r="V23" s="3"/>
      <c r="W23" s="3">
        <v>61.2</v>
      </c>
      <c r="X23" s="3" t="s">
        <v>334</v>
      </c>
      <c r="Y23" s="3">
        <v>80.400000000000006</v>
      </c>
      <c r="Z23" s="3"/>
      <c r="AA23" s="3">
        <v>106.7</v>
      </c>
      <c r="AB23" s="3"/>
      <c r="AC23" s="3">
        <v>132.08000000000001</v>
      </c>
      <c r="AD23" s="3"/>
      <c r="AE23" s="3">
        <v>134.47</v>
      </c>
      <c r="AF23" s="3"/>
      <c r="AG23" s="3">
        <v>151.66</v>
      </c>
      <c r="AH23" s="3"/>
    </row>
    <row r="24" spans="1:34">
      <c r="A24" t="s">
        <v>85</v>
      </c>
      <c r="B24" t="s">
        <v>86</v>
      </c>
      <c r="C24" s="3">
        <v>14</v>
      </c>
      <c r="D24" s="3"/>
      <c r="E24" s="3">
        <v>13.6</v>
      </c>
      <c r="F24" s="3"/>
      <c r="G24" s="3">
        <v>14.2</v>
      </c>
      <c r="H24" s="3"/>
      <c r="I24" s="3">
        <v>18.2</v>
      </c>
      <c r="J24" s="3"/>
      <c r="K24" s="3">
        <v>21.1</v>
      </c>
      <c r="L24" s="3"/>
      <c r="M24" s="3">
        <v>17.7</v>
      </c>
      <c r="N24" s="3"/>
      <c r="O24" s="3">
        <v>23.3</v>
      </c>
      <c r="P24" s="3"/>
      <c r="Q24" s="3">
        <v>26.4</v>
      </c>
      <c r="R24" s="3"/>
      <c r="S24" s="3">
        <v>30.7</v>
      </c>
      <c r="T24" s="3"/>
      <c r="U24" s="3">
        <v>32.700000000000003</v>
      </c>
      <c r="V24" s="3"/>
      <c r="W24" s="3">
        <v>31.9</v>
      </c>
      <c r="X24" s="3" t="s">
        <v>334</v>
      </c>
      <c r="Y24" s="3">
        <v>30.2</v>
      </c>
      <c r="Z24" s="3"/>
      <c r="AA24" s="3">
        <v>51.4</v>
      </c>
      <c r="AB24" s="3"/>
      <c r="AC24" s="3">
        <v>70.97</v>
      </c>
      <c r="AD24" s="3"/>
      <c r="AE24" s="3">
        <v>76.959999999999994</v>
      </c>
      <c r="AF24" s="3"/>
      <c r="AG24" s="3">
        <v>84.16</v>
      </c>
      <c r="AH24" s="3"/>
    </row>
    <row r="25" spans="1:34">
      <c r="A25" t="s">
        <v>87</v>
      </c>
      <c r="B25" t="s">
        <v>88</v>
      </c>
      <c r="C25" s="3">
        <v>0.5</v>
      </c>
      <c r="D25" s="3"/>
      <c r="E25" s="3">
        <v>1</v>
      </c>
      <c r="F25" s="3"/>
      <c r="G25" s="3">
        <v>1</v>
      </c>
      <c r="H25" s="3"/>
      <c r="I25" s="3">
        <v>1.5</v>
      </c>
      <c r="J25" s="3"/>
      <c r="K25" s="3">
        <v>2.2000000000000002</v>
      </c>
      <c r="L25" s="3"/>
      <c r="M25" s="3">
        <v>2.8</v>
      </c>
      <c r="N25" s="3"/>
      <c r="O25" s="3">
        <v>4.3</v>
      </c>
      <c r="P25" s="3"/>
      <c r="Q25" s="3">
        <v>5.7</v>
      </c>
      <c r="R25" s="3"/>
      <c r="S25" s="3">
        <v>7.4</v>
      </c>
      <c r="T25" s="3"/>
      <c r="U25" s="3">
        <v>14.3</v>
      </c>
      <c r="V25" s="3"/>
      <c r="W25" s="3">
        <v>29.3</v>
      </c>
      <c r="X25" s="3" t="s">
        <v>334</v>
      </c>
      <c r="Y25" s="3">
        <v>50.1</v>
      </c>
      <c r="Z25" s="3"/>
      <c r="AA25" s="3">
        <v>55.3</v>
      </c>
      <c r="AB25" s="3"/>
      <c r="AC25" s="3">
        <v>61.11</v>
      </c>
      <c r="AD25" s="3"/>
      <c r="AE25" s="3">
        <v>57.51</v>
      </c>
      <c r="AF25" s="3"/>
      <c r="AG25" s="3">
        <v>67.5</v>
      </c>
      <c r="AH25" s="3"/>
    </row>
    <row r="26" spans="1:34">
      <c r="A26" t="s">
        <v>89</v>
      </c>
      <c r="B26" t="s">
        <v>90</v>
      </c>
      <c r="C26" s="3">
        <v>1883.3</v>
      </c>
      <c r="D26" s="3" t="s">
        <v>846</v>
      </c>
      <c r="E26" s="3">
        <v>1593.5</v>
      </c>
      <c r="F26" s="3"/>
      <c r="G26" s="3">
        <v>1771.1</v>
      </c>
      <c r="H26" s="3"/>
      <c r="I26" s="3">
        <v>2001.2</v>
      </c>
      <c r="J26" s="3"/>
      <c r="K26" s="3">
        <v>1950.9</v>
      </c>
      <c r="L26" s="3"/>
      <c r="M26" s="3">
        <v>1937.7</v>
      </c>
      <c r="N26" s="3"/>
      <c r="O26" s="3">
        <v>1965.6</v>
      </c>
      <c r="P26" s="3"/>
      <c r="Q26" s="3">
        <v>2188.8000000000002</v>
      </c>
      <c r="R26" s="3"/>
      <c r="S26" s="3">
        <v>2420.6</v>
      </c>
      <c r="T26" s="3"/>
      <c r="U26" s="3">
        <v>2790.9</v>
      </c>
      <c r="V26" s="3"/>
      <c r="W26" s="3">
        <v>3193</v>
      </c>
      <c r="X26" s="3"/>
      <c r="Y26" s="3">
        <v>3373.5</v>
      </c>
      <c r="Z26" s="3"/>
      <c r="AA26" s="3">
        <v>3190.2</v>
      </c>
      <c r="AB26" s="3"/>
      <c r="AC26" s="3">
        <v>3379.89</v>
      </c>
      <c r="AD26" s="3"/>
      <c r="AE26" s="3">
        <v>3815.9</v>
      </c>
      <c r="AF26" s="3"/>
      <c r="AG26" s="3">
        <v>4323.0600000000004</v>
      </c>
      <c r="AH26" s="3"/>
    </row>
    <row r="27" spans="1:34">
      <c r="A27" t="s">
        <v>91</v>
      </c>
      <c r="B27" t="s">
        <v>92</v>
      </c>
      <c r="C27" s="3">
        <v>1883.3</v>
      </c>
      <c r="D27" s="3" t="s">
        <v>846</v>
      </c>
      <c r="E27" s="3">
        <v>1593.5</v>
      </c>
      <c r="F27" s="3"/>
      <c r="G27" s="3">
        <v>1771.1</v>
      </c>
      <c r="H27" s="3"/>
      <c r="I27" s="3">
        <v>2001.2</v>
      </c>
      <c r="J27" s="3"/>
      <c r="K27" s="3">
        <v>1950.9</v>
      </c>
      <c r="L27" s="3"/>
      <c r="M27" s="3">
        <v>1937.7</v>
      </c>
      <c r="N27" s="3"/>
      <c r="O27" s="3">
        <v>1965.6</v>
      </c>
      <c r="P27" s="3"/>
      <c r="Q27" s="3">
        <v>2188.8000000000002</v>
      </c>
      <c r="R27" s="3"/>
      <c r="S27" s="3">
        <v>2420.6</v>
      </c>
      <c r="T27" s="3"/>
      <c r="U27" s="3">
        <v>2790.9</v>
      </c>
      <c r="V27" s="3"/>
      <c r="W27" s="3">
        <v>3193</v>
      </c>
      <c r="X27" s="3"/>
      <c r="Y27" s="3">
        <v>3373.5</v>
      </c>
      <c r="Z27" s="3"/>
      <c r="AA27" s="3">
        <v>3190.2</v>
      </c>
      <c r="AB27" s="3"/>
      <c r="AC27" s="3">
        <v>3379.89</v>
      </c>
      <c r="AD27" s="3"/>
      <c r="AE27" s="3">
        <v>3815.9</v>
      </c>
      <c r="AF27" s="3"/>
      <c r="AG27" s="3">
        <v>4323.0600000000004</v>
      </c>
      <c r="AH27" s="3"/>
    </row>
    <row r="28" spans="1:34">
      <c r="A28" t="s">
        <v>93</v>
      </c>
      <c r="B28" t="s">
        <v>94</v>
      </c>
      <c r="C28" s="3">
        <v>31.9</v>
      </c>
      <c r="D28" s="3" t="s">
        <v>846</v>
      </c>
      <c r="E28" s="3">
        <v>29</v>
      </c>
      <c r="F28" s="3"/>
      <c r="G28" s="3">
        <v>20.2</v>
      </c>
      <c r="H28" s="3"/>
      <c r="I28" s="3">
        <v>23.3</v>
      </c>
      <c r="J28" s="3"/>
      <c r="K28" s="3">
        <v>21.5</v>
      </c>
      <c r="L28" s="3"/>
      <c r="M28" s="3">
        <v>24.4</v>
      </c>
      <c r="N28" s="3"/>
      <c r="O28" s="3">
        <v>12.5</v>
      </c>
      <c r="P28" s="3"/>
      <c r="Q28" s="3">
        <v>31.1</v>
      </c>
      <c r="R28" s="3"/>
      <c r="S28" s="3">
        <v>23.2</v>
      </c>
      <c r="T28" s="3"/>
      <c r="U28" s="3">
        <v>48.2</v>
      </c>
      <c r="V28" s="3"/>
      <c r="W28" s="3">
        <v>50.6</v>
      </c>
      <c r="X28" s="3"/>
      <c r="Y28" s="3">
        <v>50.6</v>
      </c>
      <c r="Z28" s="3"/>
      <c r="AA28" s="3">
        <v>49.8</v>
      </c>
      <c r="AB28" s="3"/>
      <c r="AC28" s="3">
        <v>37.619999999999997</v>
      </c>
      <c r="AD28" s="3"/>
      <c r="AE28" s="3">
        <v>58.78</v>
      </c>
      <c r="AF28" s="3"/>
      <c r="AG28" s="3">
        <v>65.34</v>
      </c>
      <c r="AH28" s="3"/>
    </row>
    <row r="29" spans="1:34">
      <c r="A29" t="s">
        <v>95</v>
      </c>
      <c r="B29" t="s">
        <v>96</v>
      </c>
      <c r="C29" s="3">
        <v>573.1</v>
      </c>
      <c r="D29" s="3" t="s">
        <v>846</v>
      </c>
      <c r="E29" s="3">
        <v>531.29999999999995</v>
      </c>
      <c r="F29" s="3"/>
      <c r="G29" s="3">
        <v>576.79999999999995</v>
      </c>
      <c r="H29" s="3"/>
      <c r="I29" s="3">
        <v>700.3</v>
      </c>
      <c r="J29" s="3"/>
      <c r="K29" s="3">
        <v>679.1</v>
      </c>
      <c r="L29" s="3"/>
      <c r="M29" s="3">
        <v>672.9</v>
      </c>
      <c r="N29" s="3"/>
      <c r="O29" s="3">
        <v>686.2</v>
      </c>
      <c r="P29" s="3"/>
      <c r="Q29" s="3">
        <v>741.4</v>
      </c>
      <c r="R29" s="3"/>
      <c r="S29" s="3">
        <v>799.4</v>
      </c>
      <c r="T29" s="3"/>
      <c r="U29" s="3">
        <v>894.1</v>
      </c>
      <c r="V29" s="3"/>
      <c r="W29" s="3">
        <v>1045.4000000000001</v>
      </c>
      <c r="X29" s="3"/>
      <c r="Y29" s="3">
        <v>1129</v>
      </c>
      <c r="Z29" s="3"/>
      <c r="AA29" s="3">
        <v>1092.7</v>
      </c>
      <c r="AB29" s="3"/>
      <c r="AC29" s="3">
        <v>1188.68</v>
      </c>
      <c r="AD29" s="3"/>
      <c r="AE29" s="3">
        <v>1377.52</v>
      </c>
      <c r="AF29" s="3"/>
      <c r="AG29" s="3">
        <v>1543.31</v>
      </c>
      <c r="AH29" s="3"/>
    </row>
    <row r="30" spans="1:34">
      <c r="A30" t="s">
        <v>97</v>
      </c>
      <c r="B30" t="s">
        <v>98</v>
      </c>
      <c r="C30" s="3">
        <v>266.10000000000002</v>
      </c>
      <c r="D30" s="3" t="s">
        <v>846</v>
      </c>
      <c r="E30" s="3">
        <v>205</v>
      </c>
      <c r="F30" s="3"/>
      <c r="G30" s="3">
        <v>211.2</v>
      </c>
      <c r="H30" s="3"/>
      <c r="I30" s="3">
        <v>236</v>
      </c>
      <c r="J30" s="3"/>
      <c r="K30" s="3">
        <v>256.10000000000002</v>
      </c>
      <c r="L30" s="3"/>
      <c r="M30" s="3">
        <v>249.9</v>
      </c>
      <c r="N30" s="3"/>
      <c r="O30" s="3">
        <v>271.89999999999998</v>
      </c>
      <c r="P30" s="3"/>
      <c r="Q30" s="3">
        <v>297.8</v>
      </c>
      <c r="R30" s="3"/>
      <c r="S30" s="3">
        <v>332.7</v>
      </c>
      <c r="T30" s="3"/>
      <c r="U30" s="3">
        <v>409.5</v>
      </c>
      <c r="V30" s="3"/>
      <c r="W30" s="3">
        <v>453.2</v>
      </c>
      <c r="X30" s="3"/>
      <c r="Y30" s="3">
        <v>464</v>
      </c>
      <c r="Z30" s="3"/>
      <c r="AA30" s="3">
        <v>420</v>
      </c>
      <c r="AB30" s="3"/>
      <c r="AC30" s="3">
        <v>471.2</v>
      </c>
      <c r="AD30" s="3"/>
      <c r="AE30" s="3">
        <v>491.5</v>
      </c>
      <c r="AF30" s="3"/>
      <c r="AG30" s="3">
        <v>545.27</v>
      </c>
      <c r="AH30" s="3"/>
    </row>
    <row r="31" spans="1:34">
      <c r="A31" t="s">
        <v>99</v>
      </c>
      <c r="B31" t="s">
        <v>100</v>
      </c>
      <c r="C31" s="3">
        <v>115.9</v>
      </c>
      <c r="D31" s="3" t="s">
        <v>846</v>
      </c>
      <c r="E31" s="3">
        <v>97.1</v>
      </c>
      <c r="F31" s="3"/>
      <c r="G31" s="3">
        <v>107.8</v>
      </c>
      <c r="H31" s="3"/>
      <c r="I31" s="3">
        <v>126.7</v>
      </c>
      <c r="J31" s="3"/>
      <c r="K31" s="3">
        <v>125.6</v>
      </c>
      <c r="L31" s="3"/>
      <c r="M31" s="3">
        <v>132.5</v>
      </c>
      <c r="N31" s="3"/>
      <c r="O31" s="3">
        <v>128.19999999999999</v>
      </c>
      <c r="P31" s="3"/>
      <c r="Q31" s="3">
        <v>149.30000000000001</v>
      </c>
      <c r="R31" s="3"/>
      <c r="S31" s="3">
        <v>175.5</v>
      </c>
      <c r="T31" s="3"/>
      <c r="U31" s="3">
        <v>190.4</v>
      </c>
      <c r="V31" s="3"/>
      <c r="W31" s="3">
        <v>209.3</v>
      </c>
      <c r="X31" s="3"/>
      <c r="Y31" s="3">
        <v>221.1</v>
      </c>
      <c r="Z31" s="3"/>
      <c r="AA31" s="3">
        <v>203.5</v>
      </c>
      <c r="AB31" s="3"/>
      <c r="AC31" s="3">
        <v>190.49</v>
      </c>
      <c r="AD31" s="3"/>
      <c r="AE31" s="3">
        <v>216.77</v>
      </c>
      <c r="AF31" s="3"/>
      <c r="AG31" s="3">
        <v>246.87</v>
      </c>
      <c r="AH31" s="3"/>
    </row>
    <row r="32" spans="1:34">
      <c r="A32" t="s">
        <v>101</v>
      </c>
      <c r="B32" t="s">
        <v>102</v>
      </c>
      <c r="C32" s="3">
        <v>394</v>
      </c>
      <c r="D32" s="3" t="s">
        <v>846</v>
      </c>
      <c r="E32" s="3">
        <v>325.60000000000002</v>
      </c>
      <c r="F32" s="3"/>
      <c r="G32" s="3">
        <v>421.7</v>
      </c>
      <c r="H32" s="3"/>
      <c r="I32" s="3">
        <v>413.5</v>
      </c>
      <c r="J32" s="3"/>
      <c r="K32" s="3">
        <v>390</v>
      </c>
      <c r="L32" s="3"/>
      <c r="M32" s="3">
        <v>384.4</v>
      </c>
      <c r="N32" s="3"/>
      <c r="O32" s="3">
        <v>399</v>
      </c>
      <c r="P32" s="3"/>
      <c r="Q32" s="3">
        <v>446.1</v>
      </c>
      <c r="R32" s="3"/>
      <c r="S32" s="3">
        <v>503.6</v>
      </c>
      <c r="T32" s="3"/>
      <c r="U32" s="3">
        <v>605.1</v>
      </c>
      <c r="V32" s="3"/>
      <c r="W32" s="3">
        <v>712.9</v>
      </c>
      <c r="X32" s="3"/>
      <c r="Y32" s="3">
        <v>765.4</v>
      </c>
      <c r="Z32" s="3"/>
      <c r="AA32" s="3">
        <v>725.3</v>
      </c>
      <c r="AB32" s="3"/>
      <c r="AC32" s="3">
        <v>757.14</v>
      </c>
      <c r="AD32" s="3"/>
      <c r="AE32" s="3">
        <v>818.8</v>
      </c>
      <c r="AF32" s="3"/>
      <c r="AG32" s="3">
        <v>922.07</v>
      </c>
      <c r="AH32" s="3"/>
    </row>
    <row r="33" spans="1:34">
      <c r="A33" t="s">
        <v>103</v>
      </c>
      <c r="B33" t="s">
        <v>104</v>
      </c>
      <c r="C33" s="3">
        <v>206.4</v>
      </c>
      <c r="D33" s="3" t="s">
        <v>846</v>
      </c>
      <c r="E33" s="3">
        <v>161.80000000000001</v>
      </c>
      <c r="F33" s="3"/>
      <c r="G33" s="3">
        <v>169.3</v>
      </c>
      <c r="H33" s="3"/>
      <c r="I33" s="3">
        <v>186.4</v>
      </c>
      <c r="J33" s="3"/>
      <c r="K33" s="3">
        <v>174.6</v>
      </c>
      <c r="L33" s="3"/>
      <c r="M33" s="3">
        <v>178.6</v>
      </c>
      <c r="N33" s="3"/>
      <c r="O33" s="3">
        <v>174.7</v>
      </c>
      <c r="P33" s="3"/>
      <c r="Q33" s="3">
        <v>185.2</v>
      </c>
      <c r="R33" s="3"/>
      <c r="S33" s="3">
        <v>197.2</v>
      </c>
      <c r="T33" s="3"/>
      <c r="U33" s="3">
        <v>209.5</v>
      </c>
      <c r="V33" s="3"/>
      <c r="W33" s="3">
        <v>233.4</v>
      </c>
      <c r="X33" s="3"/>
      <c r="Y33" s="3">
        <v>235.7</v>
      </c>
      <c r="Z33" s="3"/>
      <c r="AA33" s="3">
        <v>223.6</v>
      </c>
      <c r="AB33" s="3"/>
      <c r="AC33" s="3">
        <v>253.91</v>
      </c>
      <c r="AD33" s="3"/>
      <c r="AE33" s="3">
        <v>278.86</v>
      </c>
      <c r="AF33" s="3"/>
      <c r="AG33" s="3">
        <v>309.7</v>
      </c>
      <c r="AH33" s="3"/>
    </row>
    <row r="34" spans="1:34">
      <c r="A34" t="s">
        <v>105</v>
      </c>
      <c r="B34" t="s">
        <v>106</v>
      </c>
      <c r="C34" s="3">
        <v>78.099999999999994</v>
      </c>
      <c r="D34" s="3" t="s">
        <v>846</v>
      </c>
      <c r="E34" s="3">
        <v>55.2</v>
      </c>
      <c r="F34" s="3"/>
      <c r="G34" s="3">
        <v>56.9</v>
      </c>
      <c r="H34" s="3"/>
      <c r="I34" s="3">
        <v>74.900000000000006</v>
      </c>
      <c r="J34" s="3"/>
      <c r="K34" s="3">
        <v>74.099999999999994</v>
      </c>
      <c r="L34" s="3"/>
      <c r="M34" s="3">
        <v>69.7</v>
      </c>
      <c r="N34" s="3"/>
      <c r="O34" s="3">
        <v>70.8</v>
      </c>
      <c r="P34" s="3"/>
      <c r="Q34" s="3">
        <v>78.400000000000006</v>
      </c>
      <c r="R34" s="3"/>
      <c r="S34" s="3">
        <v>90.4</v>
      </c>
      <c r="T34" s="3"/>
      <c r="U34" s="3">
        <v>96</v>
      </c>
      <c r="V34" s="3"/>
      <c r="W34" s="3">
        <v>97.5</v>
      </c>
      <c r="X34" s="3"/>
      <c r="Y34" s="3">
        <v>101.7</v>
      </c>
      <c r="Z34" s="3"/>
      <c r="AA34" s="3">
        <v>93.1</v>
      </c>
      <c r="AB34" s="3"/>
      <c r="AC34" s="3">
        <v>96.23</v>
      </c>
      <c r="AD34" s="3"/>
      <c r="AE34" s="3">
        <v>117.7</v>
      </c>
      <c r="AF34" s="3"/>
      <c r="AG34" s="3">
        <v>134.44</v>
      </c>
      <c r="AH34" s="3"/>
    </row>
    <row r="35" spans="1:34">
      <c r="A35" t="s">
        <v>107</v>
      </c>
      <c r="B35" t="s">
        <v>108</v>
      </c>
      <c r="C35" s="3">
        <v>217.7</v>
      </c>
      <c r="D35" s="3" t="s">
        <v>846</v>
      </c>
      <c r="E35" s="3">
        <v>188.4</v>
      </c>
      <c r="F35" s="3"/>
      <c r="G35" s="3">
        <v>207.1</v>
      </c>
      <c r="H35" s="3"/>
      <c r="I35" s="3">
        <v>240.1</v>
      </c>
      <c r="J35" s="3"/>
      <c r="K35" s="3">
        <v>229.9</v>
      </c>
      <c r="L35" s="3"/>
      <c r="M35" s="3">
        <v>225.2</v>
      </c>
      <c r="N35" s="3"/>
      <c r="O35" s="3">
        <v>222.3</v>
      </c>
      <c r="P35" s="3"/>
      <c r="Q35" s="3">
        <v>259.5</v>
      </c>
      <c r="R35" s="3"/>
      <c r="S35" s="3">
        <v>298.7</v>
      </c>
      <c r="T35" s="3"/>
      <c r="U35" s="3">
        <v>338.1</v>
      </c>
      <c r="V35" s="3"/>
      <c r="W35" s="3">
        <v>390.7</v>
      </c>
      <c r="X35" s="3"/>
      <c r="Y35" s="3">
        <v>406.1</v>
      </c>
      <c r="Z35" s="3"/>
      <c r="AA35" s="3">
        <v>382.2</v>
      </c>
      <c r="AB35" s="3"/>
      <c r="AC35" s="3">
        <v>384.63</v>
      </c>
      <c r="AD35" s="3"/>
      <c r="AE35" s="3">
        <v>455.97</v>
      </c>
      <c r="AF35" s="3"/>
      <c r="AG35" s="3">
        <v>556.07000000000005</v>
      </c>
      <c r="AH35" s="3"/>
    </row>
    <row r="36" spans="1:34">
      <c r="A36" t="s">
        <v>109</v>
      </c>
      <c r="B36" t="s">
        <v>68</v>
      </c>
      <c r="C36" s="3">
        <v>0</v>
      </c>
      <c r="D36" s="3" t="s">
        <v>846</v>
      </c>
      <c r="E36" s="3">
        <v>0</v>
      </c>
      <c r="F36" s="3"/>
      <c r="G36" s="3">
        <v>0</v>
      </c>
      <c r="H36" s="3"/>
      <c r="I36" s="3">
        <v>0</v>
      </c>
      <c r="J36" s="3"/>
      <c r="K36" s="3">
        <v>0</v>
      </c>
      <c r="L36" s="3"/>
      <c r="M36" s="3" t="s">
        <v>43</v>
      </c>
      <c r="N36" s="3"/>
      <c r="O36" s="3" t="s">
        <v>43</v>
      </c>
      <c r="P36" s="3"/>
      <c r="Q36" s="3" t="s">
        <v>43</v>
      </c>
      <c r="R36" s="3"/>
      <c r="S36" s="3" t="s">
        <v>43</v>
      </c>
      <c r="T36" s="3"/>
      <c r="U36" s="3">
        <v>0</v>
      </c>
      <c r="V36" s="3"/>
      <c r="W36" s="3">
        <v>0</v>
      </c>
      <c r="X36" s="3"/>
      <c r="Y36" s="3" t="s">
        <v>43</v>
      </c>
      <c r="Z36" s="3"/>
      <c r="AA36" s="3" t="s">
        <v>43</v>
      </c>
      <c r="AB36" s="3"/>
      <c r="AC36" s="3">
        <v>0</v>
      </c>
      <c r="AD36" s="3"/>
      <c r="AE36" s="3">
        <v>0</v>
      </c>
      <c r="AF36" s="3"/>
      <c r="AG36" s="3">
        <v>0</v>
      </c>
      <c r="AH36" s="3"/>
    </row>
    <row r="37" spans="1:34">
      <c r="A37" t="s">
        <v>110</v>
      </c>
      <c r="B37" t="s">
        <v>70</v>
      </c>
      <c r="C37" s="3">
        <v>0</v>
      </c>
      <c r="D37" s="3" t="s">
        <v>846</v>
      </c>
      <c r="E37" s="3">
        <v>0</v>
      </c>
      <c r="F37" s="3"/>
      <c r="G37" s="3">
        <v>0</v>
      </c>
      <c r="H37" s="3"/>
      <c r="I37" s="3">
        <v>0</v>
      </c>
      <c r="J37" s="3"/>
      <c r="K37" s="3">
        <v>0</v>
      </c>
      <c r="L37" s="3"/>
      <c r="M37" s="3" t="s">
        <v>43</v>
      </c>
      <c r="N37" s="3"/>
      <c r="O37" s="3" t="s">
        <v>43</v>
      </c>
      <c r="P37" s="3"/>
      <c r="Q37" s="3" t="s">
        <v>43</v>
      </c>
      <c r="R37" s="3"/>
      <c r="S37" s="3" t="s">
        <v>43</v>
      </c>
      <c r="T37" s="3"/>
      <c r="U37" s="3">
        <v>0</v>
      </c>
      <c r="V37" s="3"/>
      <c r="W37" s="3">
        <v>0</v>
      </c>
      <c r="X37" s="3"/>
      <c r="Y37" s="3" t="s">
        <v>43</v>
      </c>
      <c r="Z37" s="3"/>
      <c r="AA37" s="3" t="s">
        <v>43</v>
      </c>
      <c r="AB37" s="3"/>
      <c r="AC37" s="3">
        <v>0</v>
      </c>
      <c r="AD37" s="3"/>
      <c r="AE37" s="3">
        <v>0</v>
      </c>
      <c r="AF37" s="3"/>
      <c r="AG37" s="3">
        <v>0</v>
      </c>
      <c r="AH37" s="3"/>
    </row>
    <row r="38" spans="1:34">
      <c r="A38" t="s">
        <v>111</v>
      </c>
      <c r="B38" t="s">
        <v>112</v>
      </c>
      <c r="C38" s="3">
        <v>291</v>
      </c>
      <c r="D38" s="3"/>
      <c r="E38" s="3">
        <v>211.3</v>
      </c>
      <c r="F38" s="3"/>
      <c r="G38" s="3">
        <v>215.9</v>
      </c>
      <c r="H38" s="3"/>
      <c r="I38" s="3">
        <v>235.2</v>
      </c>
      <c r="J38" s="3"/>
      <c r="K38" s="3">
        <v>207.6</v>
      </c>
      <c r="L38" s="3"/>
      <c r="M38" s="3">
        <v>187.4</v>
      </c>
      <c r="N38" s="3"/>
      <c r="O38" s="3">
        <v>193.7</v>
      </c>
      <c r="P38" s="3"/>
      <c r="Q38" s="3">
        <v>202.1</v>
      </c>
      <c r="R38" s="3"/>
      <c r="S38" s="3">
        <v>214.7</v>
      </c>
      <c r="T38" s="3"/>
      <c r="U38" s="3">
        <v>228.5</v>
      </c>
      <c r="V38" s="3"/>
      <c r="W38" s="3">
        <v>233</v>
      </c>
      <c r="X38" s="3"/>
      <c r="Y38" s="3">
        <v>218</v>
      </c>
      <c r="Z38" s="3"/>
      <c r="AA38" s="3">
        <v>192.4</v>
      </c>
      <c r="AB38" s="3"/>
      <c r="AC38" s="3">
        <v>204.49</v>
      </c>
      <c r="AD38" s="3"/>
      <c r="AE38" s="3">
        <v>220.93</v>
      </c>
      <c r="AF38" s="3"/>
      <c r="AG38" s="3">
        <v>246.96</v>
      </c>
      <c r="AH38" s="3"/>
    </row>
    <row r="39" spans="1:34">
      <c r="A39" t="s">
        <v>113</v>
      </c>
      <c r="B39" t="s">
        <v>114</v>
      </c>
      <c r="C39" s="3">
        <v>291</v>
      </c>
      <c r="D39" s="3"/>
      <c r="E39" s="3">
        <v>211.3</v>
      </c>
      <c r="F39" s="3"/>
      <c r="G39" s="3">
        <v>215.9</v>
      </c>
      <c r="H39" s="3"/>
      <c r="I39" s="3">
        <v>235.2</v>
      </c>
      <c r="J39" s="3"/>
      <c r="K39" s="3">
        <v>207.6</v>
      </c>
      <c r="L39" s="3"/>
      <c r="M39" s="3">
        <v>187.4</v>
      </c>
      <c r="N39" s="3"/>
      <c r="O39" s="3">
        <v>193.7</v>
      </c>
      <c r="P39" s="3"/>
      <c r="Q39" s="3">
        <v>202.1</v>
      </c>
      <c r="R39" s="3"/>
      <c r="S39" s="3">
        <v>214.7</v>
      </c>
      <c r="T39" s="3"/>
      <c r="U39" s="3">
        <v>228.5</v>
      </c>
      <c r="V39" s="3"/>
      <c r="W39" s="3">
        <v>233</v>
      </c>
      <c r="X39" s="3"/>
      <c r="Y39" s="3">
        <v>218</v>
      </c>
      <c r="Z39" s="3"/>
      <c r="AA39" s="3">
        <v>192.4</v>
      </c>
      <c r="AB39" s="3"/>
      <c r="AC39" s="3">
        <v>204.49</v>
      </c>
      <c r="AD39" s="3"/>
      <c r="AE39" s="3">
        <v>220.93</v>
      </c>
      <c r="AF39" s="3"/>
      <c r="AG39" s="3">
        <v>246.96</v>
      </c>
      <c r="AH39" s="3"/>
    </row>
    <row r="40" spans="1:34">
      <c r="A40" t="s">
        <v>115</v>
      </c>
      <c r="B40" t="s">
        <v>116</v>
      </c>
      <c r="C40" s="3">
        <v>8.6</v>
      </c>
      <c r="D40" s="3"/>
      <c r="E40" s="3">
        <v>5.7</v>
      </c>
      <c r="F40" s="3"/>
      <c r="G40" s="3">
        <v>5.9</v>
      </c>
      <c r="H40" s="3"/>
      <c r="I40" s="3" t="s">
        <v>43</v>
      </c>
      <c r="J40" s="3" t="s">
        <v>44</v>
      </c>
      <c r="K40" s="3" t="s">
        <v>43</v>
      </c>
      <c r="L40" s="3" t="s">
        <v>44</v>
      </c>
      <c r="M40" s="3" t="s">
        <v>43</v>
      </c>
      <c r="N40" s="3" t="s">
        <v>44</v>
      </c>
      <c r="O40" s="3" t="s">
        <v>43</v>
      </c>
      <c r="P40" s="3" t="s">
        <v>44</v>
      </c>
      <c r="Q40" s="3" t="s">
        <v>43</v>
      </c>
      <c r="R40" s="3" t="s">
        <v>44</v>
      </c>
      <c r="S40" s="3">
        <v>15.5</v>
      </c>
      <c r="T40" s="3"/>
      <c r="U40" s="3" t="s">
        <v>43</v>
      </c>
      <c r="V40" s="3" t="s">
        <v>44</v>
      </c>
      <c r="W40" s="3" t="s">
        <v>43</v>
      </c>
      <c r="X40" s="3" t="s">
        <v>44</v>
      </c>
      <c r="Y40" s="3">
        <v>20.100000000000001</v>
      </c>
      <c r="Z40" s="3"/>
      <c r="AA40" s="3">
        <v>15.5</v>
      </c>
      <c r="AB40" s="3"/>
      <c r="AC40" s="3">
        <v>16.37</v>
      </c>
      <c r="AD40" s="3"/>
      <c r="AE40" s="3">
        <v>15.02</v>
      </c>
      <c r="AF40" s="3"/>
      <c r="AG40" s="3">
        <v>13.82</v>
      </c>
      <c r="AH40" s="3"/>
    </row>
    <row r="41" spans="1:34">
      <c r="A41" t="s">
        <v>117</v>
      </c>
      <c r="B41" t="s">
        <v>118</v>
      </c>
      <c r="C41" s="3">
        <v>19.899999999999999</v>
      </c>
      <c r="D41" s="3"/>
      <c r="E41" s="3">
        <v>16.2</v>
      </c>
      <c r="F41" s="3"/>
      <c r="G41" s="3">
        <v>15.5</v>
      </c>
      <c r="H41" s="3"/>
      <c r="I41" s="3" t="s">
        <v>43</v>
      </c>
      <c r="J41" s="3" t="s">
        <v>44</v>
      </c>
      <c r="K41" s="3" t="s">
        <v>43</v>
      </c>
      <c r="L41" s="3" t="s">
        <v>44</v>
      </c>
      <c r="M41" s="3" t="s">
        <v>43</v>
      </c>
      <c r="N41" s="3" t="s">
        <v>44</v>
      </c>
      <c r="O41" s="3" t="s">
        <v>43</v>
      </c>
      <c r="P41" s="3" t="s">
        <v>44</v>
      </c>
      <c r="Q41" s="3" t="s">
        <v>43</v>
      </c>
      <c r="R41" s="3" t="s">
        <v>44</v>
      </c>
      <c r="S41" s="3">
        <v>21.2</v>
      </c>
      <c r="T41" s="3"/>
      <c r="U41" s="3" t="s">
        <v>43</v>
      </c>
      <c r="V41" s="3" t="s">
        <v>44</v>
      </c>
      <c r="W41" s="3" t="s">
        <v>43</v>
      </c>
      <c r="X41" s="3" t="s">
        <v>44</v>
      </c>
      <c r="Y41" s="3" t="s">
        <v>43</v>
      </c>
      <c r="Z41" s="3" t="s">
        <v>44</v>
      </c>
      <c r="AA41" s="3">
        <v>24.1</v>
      </c>
      <c r="AB41" s="3"/>
      <c r="AC41" s="3">
        <v>22.52</v>
      </c>
      <c r="AD41" s="3"/>
      <c r="AE41" s="3">
        <v>30.36</v>
      </c>
      <c r="AF41" s="3"/>
      <c r="AG41" s="3">
        <v>35.64</v>
      </c>
      <c r="AH41" s="3"/>
    </row>
    <row r="42" spans="1:34">
      <c r="A42" t="s">
        <v>119</v>
      </c>
      <c r="B42" t="s">
        <v>120</v>
      </c>
      <c r="C42" s="3">
        <v>96.2</v>
      </c>
      <c r="D42" s="3"/>
      <c r="E42" s="3">
        <v>75</v>
      </c>
      <c r="F42" s="3"/>
      <c r="G42" s="3">
        <v>77.2</v>
      </c>
      <c r="H42" s="3"/>
      <c r="I42" s="3">
        <v>85.1</v>
      </c>
      <c r="J42" s="3"/>
      <c r="K42" s="3">
        <v>84.4</v>
      </c>
      <c r="L42" s="3"/>
      <c r="M42" s="3">
        <v>67.900000000000006</v>
      </c>
      <c r="N42" s="3"/>
      <c r="O42" s="3">
        <v>67.099999999999994</v>
      </c>
      <c r="P42" s="3"/>
      <c r="Q42" s="3">
        <v>71.2</v>
      </c>
      <c r="R42" s="3"/>
      <c r="S42" s="3">
        <v>75.099999999999994</v>
      </c>
      <c r="T42" s="3"/>
      <c r="U42" s="3">
        <v>80.8</v>
      </c>
      <c r="V42" s="3"/>
      <c r="W42" s="3">
        <v>84.8</v>
      </c>
      <c r="X42" s="3"/>
      <c r="Y42" s="3">
        <v>77.900000000000006</v>
      </c>
      <c r="Z42" s="3"/>
      <c r="AA42" s="3">
        <v>72.5</v>
      </c>
      <c r="AB42" s="3"/>
      <c r="AC42" s="3">
        <v>80.06</v>
      </c>
      <c r="AD42" s="3"/>
      <c r="AE42" s="3">
        <v>82.11</v>
      </c>
      <c r="AF42" s="3"/>
      <c r="AG42" s="3">
        <v>86.64</v>
      </c>
      <c r="AH42" s="3"/>
    </row>
    <row r="43" spans="1:34">
      <c r="A43" t="s">
        <v>121</v>
      </c>
      <c r="B43" t="s">
        <v>122</v>
      </c>
      <c r="C43" s="3">
        <v>135.30000000000001</v>
      </c>
      <c r="D43" s="3"/>
      <c r="E43" s="3">
        <v>88.3</v>
      </c>
      <c r="F43" s="3"/>
      <c r="G43" s="3">
        <v>89.3</v>
      </c>
      <c r="H43" s="3"/>
      <c r="I43" s="3">
        <v>96.1</v>
      </c>
      <c r="J43" s="3"/>
      <c r="K43" s="3">
        <v>71.5</v>
      </c>
      <c r="L43" s="3"/>
      <c r="M43" s="3">
        <v>65.599999999999994</v>
      </c>
      <c r="N43" s="3"/>
      <c r="O43" s="3">
        <v>66.099999999999994</v>
      </c>
      <c r="P43" s="3"/>
      <c r="Q43" s="3">
        <v>71.5</v>
      </c>
      <c r="R43" s="3"/>
      <c r="S43" s="3">
        <v>76.8</v>
      </c>
      <c r="T43" s="3"/>
      <c r="U43" s="3">
        <v>83.1</v>
      </c>
      <c r="V43" s="3"/>
      <c r="W43" s="3">
        <v>80.900000000000006</v>
      </c>
      <c r="X43" s="3"/>
      <c r="Y43" s="3">
        <v>68.7</v>
      </c>
      <c r="Z43" s="3"/>
      <c r="AA43" s="3">
        <v>57.9</v>
      </c>
      <c r="AB43" s="3"/>
      <c r="AC43" s="3">
        <v>59.09</v>
      </c>
      <c r="AD43" s="3"/>
      <c r="AE43" s="3">
        <v>65.28</v>
      </c>
      <c r="AF43" s="3"/>
      <c r="AG43" s="3">
        <v>81.680000000000007</v>
      </c>
      <c r="AH43" s="3"/>
    </row>
    <row r="44" spans="1:34">
      <c r="A44" t="s">
        <v>123</v>
      </c>
      <c r="B44" t="s">
        <v>124</v>
      </c>
      <c r="C44" s="3">
        <v>30.9</v>
      </c>
      <c r="D44" s="3"/>
      <c r="E44" s="3">
        <v>26.1</v>
      </c>
      <c r="F44" s="3"/>
      <c r="G44" s="3">
        <v>28.1</v>
      </c>
      <c r="H44" s="3"/>
      <c r="I44" s="3">
        <v>28.5</v>
      </c>
      <c r="J44" s="3"/>
      <c r="K44" s="3">
        <v>22</v>
      </c>
      <c r="L44" s="3"/>
      <c r="M44" s="3">
        <v>27</v>
      </c>
      <c r="N44" s="3"/>
      <c r="O44" s="3">
        <v>29.8</v>
      </c>
      <c r="P44" s="3"/>
      <c r="Q44" s="3">
        <v>26</v>
      </c>
      <c r="R44" s="3"/>
      <c r="S44" s="3">
        <v>26</v>
      </c>
      <c r="T44" s="3"/>
      <c r="U44" s="3">
        <v>24.2</v>
      </c>
      <c r="V44" s="3"/>
      <c r="W44" s="3">
        <v>22.4</v>
      </c>
      <c r="X44" s="3"/>
      <c r="Y44" s="3" t="s">
        <v>43</v>
      </c>
      <c r="Z44" s="3" t="s">
        <v>44</v>
      </c>
      <c r="AA44" s="3">
        <v>22.3</v>
      </c>
      <c r="AB44" s="3"/>
      <c r="AC44" s="3">
        <v>26.44</v>
      </c>
      <c r="AD44" s="3"/>
      <c r="AE44" s="3">
        <v>28.16</v>
      </c>
      <c r="AF44" s="3"/>
      <c r="AG44" s="3">
        <v>29.18</v>
      </c>
      <c r="AH44" s="3"/>
    </row>
    <row r="45" spans="1:34">
      <c r="A45" t="s">
        <v>127</v>
      </c>
      <c r="B45" t="s">
        <v>128</v>
      </c>
      <c r="C45" s="3">
        <v>38517.199999999997</v>
      </c>
      <c r="D45" s="3"/>
      <c r="E45" s="3">
        <v>34963</v>
      </c>
      <c r="F45" s="3" t="s">
        <v>847</v>
      </c>
      <c r="G45" s="3">
        <v>39473</v>
      </c>
      <c r="H45" s="3"/>
      <c r="I45" s="3">
        <v>43258.5</v>
      </c>
      <c r="J45" s="3"/>
      <c r="K45" s="3">
        <v>46234.1</v>
      </c>
      <c r="L45" s="3"/>
      <c r="M45" s="3">
        <v>48884.7</v>
      </c>
      <c r="N45" s="3"/>
      <c r="O45" s="3">
        <v>51819.3</v>
      </c>
      <c r="P45" s="3"/>
      <c r="Q45" s="3">
        <v>54832.4</v>
      </c>
      <c r="R45" s="3"/>
      <c r="S45" s="3">
        <v>56319.6</v>
      </c>
      <c r="T45" s="3"/>
      <c r="U45" s="3">
        <v>58015.4</v>
      </c>
      <c r="V45" s="3"/>
      <c r="W45" s="3">
        <v>61241</v>
      </c>
      <c r="X45" s="3"/>
      <c r="Y45" s="3">
        <v>62170.8</v>
      </c>
      <c r="Z45" s="3"/>
      <c r="AA45" s="3">
        <v>56930.400000000001</v>
      </c>
      <c r="AB45" s="3"/>
      <c r="AC45" s="3">
        <v>54313.7</v>
      </c>
      <c r="AD45" s="3"/>
      <c r="AE45" s="3">
        <v>63578.19</v>
      </c>
      <c r="AF45" s="3"/>
      <c r="AG45" s="3">
        <v>66707.789999999994</v>
      </c>
      <c r="AH45" s="3"/>
    </row>
    <row r="46" spans="1:34">
      <c r="A46" t="s">
        <v>129</v>
      </c>
      <c r="B46" t="s">
        <v>130</v>
      </c>
      <c r="C46" s="3">
        <v>11377.4</v>
      </c>
      <c r="D46" s="3"/>
      <c r="E46" s="3">
        <v>9984.4</v>
      </c>
      <c r="F46" s="3" t="s">
        <v>847</v>
      </c>
      <c r="G46" s="3">
        <v>11248</v>
      </c>
      <c r="H46" s="3"/>
      <c r="I46" s="3">
        <v>12394.6</v>
      </c>
      <c r="J46" s="3"/>
      <c r="K46" s="3">
        <v>13185</v>
      </c>
      <c r="L46" s="3"/>
      <c r="M46" s="3">
        <v>13775.8</v>
      </c>
      <c r="N46" s="3"/>
      <c r="O46" s="3">
        <v>14428.6</v>
      </c>
      <c r="P46" s="3"/>
      <c r="Q46" s="3">
        <v>15270.6</v>
      </c>
      <c r="R46" s="3"/>
      <c r="S46" s="3">
        <v>15858.1</v>
      </c>
      <c r="T46" s="3"/>
      <c r="U46" s="3">
        <v>16489.400000000001</v>
      </c>
      <c r="V46" s="3"/>
      <c r="W46" s="3">
        <v>17561.5</v>
      </c>
      <c r="X46" s="3"/>
      <c r="Y46" s="3">
        <v>17941.5</v>
      </c>
      <c r="Z46" s="3"/>
      <c r="AA46" s="3">
        <v>15931.7</v>
      </c>
      <c r="AB46" s="3"/>
      <c r="AC46" s="3">
        <v>15264.74</v>
      </c>
      <c r="AD46" s="3"/>
      <c r="AE46" s="3">
        <v>18241.349999999999</v>
      </c>
      <c r="AF46" s="3"/>
      <c r="AG46" s="3">
        <v>19158.87</v>
      </c>
      <c r="AH46" s="3"/>
    </row>
    <row r="47" spans="1:34">
      <c r="A47" t="s">
        <v>131</v>
      </c>
      <c r="B47" t="s">
        <v>132</v>
      </c>
      <c r="C47" s="3">
        <v>7823.1</v>
      </c>
      <c r="D47" s="3"/>
      <c r="E47" s="3">
        <v>7003.9</v>
      </c>
      <c r="F47" s="3" t="s">
        <v>847</v>
      </c>
      <c r="G47" s="3">
        <v>7803.2</v>
      </c>
      <c r="H47" s="3"/>
      <c r="I47" s="3">
        <v>8591.5</v>
      </c>
      <c r="J47" s="3"/>
      <c r="K47" s="3">
        <v>9200</v>
      </c>
      <c r="L47" s="3"/>
      <c r="M47" s="3">
        <v>9552.2000000000007</v>
      </c>
      <c r="N47" s="3"/>
      <c r="O47" s="3">
        <v>10070.799999999999</v>
      </c>
      <c r="P47" s="3"/>
      <c r="Q47" s="3">
        <v>10780.9</v>
      </c>
      <c r="R47" s="3"/>
      <c r="S47" s="3">
        <v>11205.7</v>
      </c>
      <c r="T47" s="3"/>
      <c r="U47" s="3">
        <v>11836.1</v>
      </c>
      <c r="V47" s="3"/>
      <c r="W47" s="3">
        <v>12690.1</v>
      </c>
      <c r="X47" s="3"/>
      <c r="Y47" s="3">
        <v>12817.2</v>
      </c>
      <c r="Z47" s="3"/>
      <c r="AA47" s="3">
        <v>11359.5</v>
      </c>
      <c r="AB47" s="3"/>
      <c r="AC47" s="3">
        <v>10715.84</v>
      </c>
      <c r="AD47" s="3"/>
      <c r="AE47" s="3">
        <v>13132.82</v>
      </c>
      <c r="AF47" s="3"/>
      <c r="AG47" s="3">
        <v>13794.42</v>
      </c>
      <c r="AH47" s="3"/>
    </row>
    <row r="48" spans="1:34">
      <c r="A48" t="s">
        <v>133</v>
      </c>
      <c r="B48" t="s">
        <v>134</v>
      </c>
      <c r="C48" s="3">
        <v>2145.4</v>
      </c>
      <c r="D48" s="3"/>
      <c r="E48" s="3">
        <v>1757.4</v>
      </c>
      <c r="F48" s="3" t="s">
        <v>847</v>
      </c>
      <c r="G48" s="3">
        <v>2066.3000000000002</v>
      </c>
      <c r="H48" s="3"/>
      <c r="I48" s="3">
        <v>2247.1</v>
      </c>
      <c r="J48" s="3"/>
      <c r="K48" s="3">
        <v>2318.6999999999998</v>
      </c>
      <c r="L48" s="3"/>
      <c r="M48" s="3">
        <v>2417.3000000000002</v>
      </c>
      <c r="N48" s="3"/>
      <c r="O48" s="3">
        <v>2512.1999999999998</v>
      </c>
      <c r="P48" s="3"/>
      <c r="Q48" s="3">
        <v>2535.1</v>
      </c>
      <c r="R48" s="3"/>
      <c r="S48" s="3">
        <v>2570.8000000000002</v>
      </c>
      <c r="T48" s="3"/>
      <c r="U48" s="3">
        <v>2675.2</v>
      </c>
      <c r="V48" s="3"/>
      <c r="W48" s="3">
        <v>2769.1</v>
      </c>
      <c r="X48" s="3"/>
      <c r="Y48" s="3">
        <v>2935.7</v>
      </c>
      <c r="Z48" s="3"/>
      <c r="AA48" s="3">
        <v>2593.1999999999998</v>
      </c>
      <c r="AB48" s="3"/>
      <c r="AC48" s="3">
        <v>2662.29</v>
      </c>
      <c r="AD48" s="3"/>
      <c r="AE48" s="3">
        <v>2931.66</v>
      </c>
      <c r="AF48" s="3"/>
      <c r="AG48" s="3">
        <v>2992.67</v>
      </c>
      <c r="AH48" s="3"/>
    </row>
    <row r="49" spans="1:34">
      <c r="A49" t="s">
        <v>135</v>
      </c>
      <c r="B49" t="s">
        <v>136</v>
      </c>
      <c r="C49" s="3">
        <v>314.60000000000002</v>
      </c>
      <c r="D49" s="3"/>
      <c r="E49" s="3">
        <v>275.2</v>
      </c>
      <c r="F49" s="3" t="s">
        <v>847</v>
      </c>
      <c r="G49" s="3">
        <v>353.6</v>
      </c>
      <c r="H49" s="3"/>
      <c r="I49" s="3">
        <v>396.3</v>
      </c>
      <c r="J49" s="3"/>
      <c r="K49" s="3">
        <v>424.9</v>
      </c>
      <c r="L49" s="3"/>
      <c r="M49" s="3">
        <v>428.7</v>
      </c>
      <c r="N49" s="3"/>
      <c r="O49" s="3">
        <v>458.7</v>
      </c>
      <c r="P49" s="3"/>
      <c r="Q49" s="3">
        <v>486.9</v>
      </c>
      <c r="R49" s="3"/>
      <c r="S49" s="3">
        <v>534.70000000000005</v>
      </c>
      <c r="T49" s="3"/>
      <c r="U49" s="3">
        <v>564.6</v>
      </c>
      <c r="V49" s="3"/>
      <c r="W49" s="3">
        <v>591</v>
      </c>
      <c r="X49" s="3"/>
      <c r="Y49" s="3">
        <v>603</v>
      </c>
      <c r="Z49" s="3"/>
      <c r="AA49" s="3">
        <v>544.4</v>
      </c>
      <c r="AB49" s="3"/>
      <c r="AC49" s="3">
        <v>559.97</v>
      </c>
      <c r="AD49" s="3"/>
      <c r="AE49" s="3">
        <v>567.4</v>
      </c>
      <c r="AF49" s="3"/>
      <c r="AG49" s="3">
        <v>584.69000000000005</v>
      </c>
      <c r="AH49" s="3"/>
    </row>
    <row r="50" spans="1:34">
      <c r="A50" t="s">
        <v>137</v>
      </c>
      <c r="B50" t="s">
        <v>138</v>
      </c>
      <c r="C50" s="3">
        <v>1094.2</v>
      </c>
      <c r="D50" s="3"/>
      <c r="E50" s="3">
        <v>947.9</v>
      </c>
      <c r="F50" s="3" t="s">
        <v>847</v>
      </c>
      <c r="G50" s="3">
        <v>1024.9000000000001</v>
      </c>
      <c r="H50" s="3"/>
      <c r="I50" s="3">
        <v>1159.7</v>
      </c>
      <c r="J50" s="3"/>
      <c r="K50" s="3">
        <v>1241.5</v>
      </c>
      <c r="L50" s="3"/>
      <c r="M50" s="3">
        <v>1377.7</v>
      </c>
      <c r="N50" s="3"/>
      <c r="O50" s="3">
        <v>1386.8</v>
      </c>
      <c r="P50" s="3"/>
      <c r="Q50" s="3">
        <v>1467.8</v>
      </c>
      <c r="R50" s="3"/>
      <c r="S50" s="3">
        <v>1546.9</v>
      </c>
      <c r="T50" s="3"/>
      <c r="U50" s="3">
        <v>1413.4</v>
      </c>
      <c r="V50" s="3"/>
      <c r="W50" s="3">
        <v>1511.3</v>
      </c>
      <c r="X50" s="3"/>
      <c r="Y50" s="3">
        <v>1585.6</v>
      </c>
      <c r="Z50" s="3"/>
      <c r="AA50" s="3">
        <v>1434.7</v>
      </c>
      <c r="AB50" s="3"/>
      <c r="AC50" s="3">
        <v>1326.65</v>
      </c>
      <c r="AD50" s="3"/>
      <c r="AE50" s="3">
        <v>1609.47</v>
      </c>
      <c r="AF50" s="3"/>
      <c r="AG50" s="3">
        <v>1787.07</v>
      </c>
      <c r="AH50" s="3"/>
    </row>
    <row r="51" spans="1:34">
      <c r="A51" t="s">
        <v>139</v>
      </c>
      <c r="B51" t="s">
        <v>140</v>
      </c>
      <c r="C51" s="3">
        <v>9829.7000000000007</v>
      </c>
      <c r="D51" s="3"/>
      <c r="E51" s="3">
        <v>8866.2000000000007</v>
      </c>
      <c r="F51" s="3" t="s">
        <v>847</v>
      </c>
      <c r="G51" s="3">
        <v>10131.9</v>
      </c>
      <c r="H51" s="3"/>
      <c r="I51" s="3">
        <v>11115.2</v>
      </c>
      <c r="J51" s="3"/>
      <c r="K51" s="3">
        <v>11531.4</v>
      </c>
      <c r="L51" s="3"/>
      <c r="M51" s="3">
        <v>12642.2</v>
      </c>
      <c r="N51" s="3"/>
      <c r="O51" s="3">
        <v>13565.9</v>
      </c>
      <c r="P51" s="3"/>
      <c r="Q51" s="3">
        <v>14713.9</v>
      </c>
      <c r="R51" s="3"/>
      <c r="S51" s="3">
        <v>15397.9</v>
      </c>
      <c r="T51" s="3"/>
      <c r="U51" s="3">
        <v>15974.6</v>
      </c>
      <c r="V51" s="3"/>
      <c r="W51" s="3">
        <v>16794.2</v>
      </c>
      <c r="X51" s="3"/>
      <c r="Y51" s="3">
        <v>17108.5</v>
      </c>
      <c r="Z51" s="3"/>
      <c r="AA51" s="3">
        <v>16172.8</v>
      </c>
      <c r="AB51" s="3"/>
      <c r="AC51" s="3">
        <v>14104.22</v>
      </c>
      <c r="AD51" s="3"/>
      <c r="AE51" s="3">
        <v>18070.490000000002</v>
      </c>
      <c r="AF51" s="3"/>
      <c r="AG51" s="3">
        <v>19050.439999999999</v>
      </c>
      <c r="AH51" s="3"/>
    </row>
    <row r="52" spans="1:34">
      <c r="A52" t="s">
        <v>141</v>
      </c>
      <c r="B52" t="s">
        <v>142</v>
      </c>
      <c r="C52" s="3">
        <v>5236</v>
      </c>
      <c r="D52" s="3"/>
      <c r="E52" s="3">
        <v>4863.7</v>
      </c>
      <c r="F52" s="3" t="s">
        <v>847</v>
      </c>
      <c r="G52" s="3">
        <v>5403</v>
      </c>
      <c r="H52" s="3"/>
      <c r="I52" s="3">
        <v>6036.4</v>
      </c>
      <c r="J52" s="3"/>
      <c r="K52" s="3">
        <v>6286.2</v>
      </c>
      <c r="L52" s="3"/>
      <c r="M52" s="3">
        <v>7217.4</v>
      </c>
      <c r="N52" s="3"/>
      <c r="O52" s="3">
        <v>7801.7</v>
      </c>
      <c r="P52" s="3"/>
      <c r="Q52" s="3">
        <v>8560.7000000000007</v>
      </c>
      <c r="R52" s="3"/>
      <c r="S52" s="3">
        <v>9053.6</v>
      </c>
      <c r="T52" s="3"/>
      <c r="U52" s="3">
        <v>9301.6</v>
      </c>
      <c r="V52" s="3"/>
      <c r="W52" s="3">
        <v>9904.9</v>
      </c>
      <c r="X52" s="3"/>
      <c r="Y52" s="3">
        <v>10181.5</v>
      </c>
      <c r="Z52" s="3"/>
      <c r="AA52" s="3">
        <v>9729.1</v>
      </c>
      <c r="AB52" s="3"/>
      <c r="AC52" s="3">
        <v>7932.35</v>
      </c>
      <c r="AD52" s="3"/>
      <c r="AE52" s="3">
        <v>10857.1</v>
      </c>
      <c r="AF52" s="3"/>
      <c r="AG52" s="3">
        <v>11532.66</v>
      </c>
      <c r="AH52" s="3"/>
    </row>
    <row r="53" spans="1:34">
      <c r="A53" t="s">
        <v>143</v>
      </c>
      <c r="B53" t="s">
        <v>144</v>
      </c>
      <c r="C53" s="3">
        <v>1699.5</v>
      </c>
      <c r="D53" s="3"/>
      <c r="E53" s="3">
        <v>1442</v>
      </c>
      <c r="F53" s="3" t="s">
        <v>847</v>
      </c>
      <c r="G53" s="3">
        <v>1746.2</v>
      </c>
      <c r="H53" s="3"/>
      <c r="I53" s="3">
        <v>1856.4</v>
      </c>
      <c r="J53" s="3"/>
      <c r="K53" s="3">
        <v>1899.6</v>
      </c>
      <c r="L53" s="3"/>
      <c r="M53" s="3">
        <v>1988.9</v>
      </c>
      <c r="N53" s="3"/>
      <c r="O53" s="3">
        <v>2097.6999999999998</v>
      </c>
      <c r="P53" s="3"/>
      <c r="Q53" s="3">
        <v>2246</v>
      </c>
      <c r="R53" s="3"/>
      <c r="S53" s="3">
        <v>2291.8000000000002</v>
      </c>
      <c r="T53" s="3"/>
      <c r="U53" s="3">
        <v>2343.3000000000002</v>
      </c>
      <c r="V53" s="3"/>
      <c r="W53" s="3">
        <v>2431.8000000000002</v>
      </c>
      <c r="X53" s="3"/>
      <c r="Y53" s="3">
        <v>2447.6</v>
      </c>
      <c r="Z53" s="3"/>
      <c r="AA53" s="3">
        <v>2255.1</v>
      </c>
      <c r="AB53" s="3"/>
      <c r="AC53" s="3">
        <v>2012.72</v>
      </c>
      <c r="AD53" s="3"/>
      <c r="AE53" s="3">
        <v>2650.01</v>
      </c>
      <c r="AF53" s="3"/>
      <c r="AG53" s="3">
        <v>2825.54</v>
      </c>
      <c r="AH53" s="3"/>
    </row>
    <row r="54" spans="1:34">
      <c r="A54" t="s">
        <v>145</v>
      </c>
      <c r="B54" t="s">
        <v>146</v>
      </c>
      <c r="C54" s="3">
        <v>900.6</v>
      </c>
      <c r="D54" s="3"/>
      <c r="E54" s="3">
        <v>789.9</v>
      </c>
      <c r="F54" s="3" t="s">
        <v>847</v>
      </c>
      <c r="G54" s="3">
        <v>863.8</v>
      </c>
      <c r="H54" s="3"/>
      <c r="I54" s="3">
        <v>917.6</v>
      </c>
      <c r="J54" s="3"/>
      <c r="K54" s="3">
        <v>923.5</v>
      </c>
      <c r="L54" s="3"/>
      <c r="M54" s="3">
        <v>937.8</v>
      </c>
      <c r="N54" s="3"/>
      <c r="O54" s="3">
        <v>1033.9000000000001</v>
      </c>
      <c r="P54" s="3"/>
      <c r="Q54" s="3">
        <v>1107.9000000000001</v>
      </c>
      <c r="R54" s="3"/>
      <c r="S54" s="3">
        <v>1160.7</v>
      </c>
      <c r="T54" s="3"/>
      <c r="U54" s="3">
        <v>1192.7</v>
      </c>
      <c r="V54" s="3"/>
      <c r="W54" s="3">
        <v>1245</v>
      </c>
      <c r="X54" s="3"/>
      <c r="Y54" s="3">
        <v>1237</v>
      </c>
      <c r="Z54" s="3"/>
      <c r="AA54" s="3">
        <v>1077.0999999999999</v>
      </c>
      <c r="AB54" s="3"/>
      <c r="AC54" s="3">
        <v>1035.8</v>
      </c>
      <c r="AD54" s="3"/>
      <c r="AE54" s="3">
        <v>1188.1199999999999</v>
      </c>
      <c r="AF54" s="3"/>
      <c r="AG54" s="3">
        <v>1282.53</v>
      </c>
      <c r="AH54" s="3"/>
    </row>
    <row r="55" spans="1:34">
      <c r="A55" t="s">
        <v>147</v>
      </c>
      <c r="B55" t="s">
        <v>148</v>
      </c>
      <c r="C55" s="3">
        <v>124</v>
      </c>
      <c r="D55" s="3"/>
      <c r="E55" s="3">
        <v>114.3</v>
      </c>
      <c r="F55" s="3" t="s">
        <v>847</v>
      </c>
      <c r="G55" s="3">
        <v>134.69999999999999</v>
      </c>
      <c r="H55" s="3"/>
      <c r="I55" s="3">
        <v>141.69999999999999</v>
      </c>
      <c r="J55" s="3"/>
      <c r="K55" s="3">
        <v>183.5</v>
      </c>
      <c r="L55" s="3"/>
      <c r="M55" s="3">
        <v>184</v>
      </c>
      <c r="N55" s="3"/>
      <c r="O55" s="3">
        <v>196.6</v>
      </c>
      <c r="P55" s="3"/>
      <c r="Q55" s="3">
        <v>215.9</v>
      </c>
      <c r="R55" s="3"/>
      <c r="S55" s="3">
        <v>255.6</v>
      </c>
      <c r="T55" s="3"/>
      <c r="U55" s="3">
        <v>282.89999999999998</v>
      </c>
      <c r="V55" s="3"/>
      <c r="W55" s="3">
        <v>319.8</v>
      </c>
      <c r="X55" s="3"/>
      <c r="Y55" s="3">
        <v>335.3</v>
      </c>
      <c r="Z55" s="3"/>
      <c r="AA55" s="3">
        <v>325.89999999999998</v>
      </c>
      <c r="AB55" s="3"/>
      <c r="AC55" s="3">
        <v>446.27</v>
      </c>
      <c r="AD55" s="3"/>
      <c r="AE55" s="3">
        <v>505.08</v>
      </c>
      <c r="AF55" s="3"/>
      <c r="AG55" s="3">
        <v>485.27</v>
      </c>
      <c r="AH55" s="3"/>
    </row>
    <row r="56" spans="1:34">
      <c r="A56" t="s">
        <v>149</v>
      </c>
      <c r="B56" t="s">
        <v>150</v>
      </c>
      <c r="C56" s="3">
        <v>430.4</v>
      </c>
      <c r="D56" s="3"/>
      <c r="E56" s="3">
        <v>376.7</v>
      </c>
      <c r="F56" s="3" t="s">
        <v>847</v>
      </c>
      <c r="G56" s="3">
        <v>457.3</v>
      </c>
      <c r="H56" s="3"/>
      <c r="I56" s="3">
        <v>514.4</v>
      </c>
      <c r="J56" s="3"/>
      <c r="K56" s="3">
        <v>540.4</v>
      </c>
      <c r="L56" s="3"/>
      <c r="M56" s="3">
        <v>573.9</v>
      </c>
      <c r="N56" s="3"/>
      <c r="O56" s="3">
        <v>597.79999999999995</v>
      </c>
      <c r="P56" s="3"/>
      <c r="Q56" s="3">
        <v>684.3</v>
      </c>
      <c r="R56" s="3"/>
      <c r="S56" s="3">
        <v>686.3</v>
      </c>
      <c r="T56" s="3"/>
      <c r="U56" s="3">
        <v>692.9</v>
      </c>
      <c r="V56" s="3"/>
      <c r="W56" s="3">
        <v>711.3</v>
      </c>
      <c r="X56" s="3"/>
      <c r="Y56" s="3">
        <v>692.9</v>
      </c>
      <c r="Z56" s="3"/>
      <c r="AA56" s="3">
        <v>625.9</v>
      </c>
      <c r="AB56" s="3"/>
      <c r="AC56" s="3">
        <v>491.89</v>
      </c>
      <c r="AD56" s="3"/>
      <c r="AE56" s="3">
        <v>500.94</v>
      </c>
      <c r="AF56" s="3"/>
      <c r="AG56" s="3">
        <v>476.59</v>
      </c>
      <c r="AH56" s="3"/>
    </row>
    <row r="57" spans="1:34">
      <c r="A57" t="s">
        <v>151</v>
      </c>
      <c r="B57" t="s">
        <v>152</v>
      </c>
      <c r="C57" s="3" t="s">
        <v>43</v>
      </c>
      <c r="D57" s="3" t="s">
        <v>44</v>
      </c>
      <c r="E57" s="3">
        <v>725.6</v>
      </c>
      <c r="F57" s="3" t="s">
        <v>847</v>
      </c>
      <c r="G57" s="3">
        <v>862.6</v>
      </c>
      <c r="H57" s="3"/>
      <c r="I57" s="3">
        <v>949.3</v>
      </c>
      <c r="J57" s="3"/>
      <c r="K57" s="3">
        <v>981.4</v>
      </c>
      <c r="L57" s="3"/>
      <c r="M57" s="3">
        <v>1010.3</v>
      </c>
      <c r="N57" s="3"/>
      <c r="O57" s="3">
        <v>1071.4000000000001</v>
      </c>
      <c r="P57" s="3"/>
      <c r="Q57" s="3">
        <v>1107.8</v>
      </c>
      <c r="R57" s="3"/>
      <c r="S57" s="3">
        <v>1128.0999999999999</v>
      </c>
      <c r="T57" s="3"/>
      <c r="U57" s="3">
        <v>1266</v>
      </c>
      <c r="V57" s="3"/>
      <c r="W57" s="3">
        <v>1254.3</v>
      </c>
      <c r="X57" s="3"/>
      <c r="Y57" s="3">
        <v>1253.3</v>
      </c>
      <c r="Z57" s="3"/>
      <c r="AA57" s="3">
        <v>1137.2</v>
      </c>
      <c r="AB57" s="3"/>
      <c r="AC57" s="3">
        <v>1154.4100000000001</v>
      </c>
      <c r="AD57" s="3"/>
      <c r="AE57" s="3">
        <v>1282.29</v>
      </c>
      <c r="AF57" s="3"/>
      <c r="AG57" s="3">
        <v>1290.02</v>
      </c>
      <c r="AH57" s="3"/>
    </row>
    <row r="58" spans="1:34">
      <c r="A58" t="s">
        <v>153</v>
      </c>
      <c r="B58" t="s">
        <v>154</v>
      </c>
      <c r="C58" s="3" t="s">
        <v>43</v>
      </c>
      <c r="D58" s="3" t="s">
        <v>44</v>
      </c>
      <c r="E58" s="3">
        <v>554</v>
      </c>
      <c r="F58" s="3" t="s">
        <v>847</v>
      </c>
      <c r="G58" s="3">
        <v>664.2</v>
      </c>
      <c r="H58" s="3"/>
      <c r="I58" s="3">
        <v>699.4</v>
      </c>
      <c r="J58" s="3"/>
      <c r="K58" s="3">
        <v>716.8</v>
      </c>
      <c r="L58" s="3"/>
      <c r="M58" s="3">
        <v>729.9</v>
      </c>
      <c r="N58" s="3"/>
      <c r="O58" s="3">
        <v>766.7</v>
      </c>
      <c r="P58" s="3"/>
      <c r="Q58" s="3">
        <v>791.3</v>
      </c>
      <c r="R58" s="3"/>
      <c r="S58" s="3">
        <v>821.8</v>
      </c>
      <c r="T58" s="3"/>
      <c r="U58" s="3">
        <v>895.1</v>
      </c>
      <c r="V58" s="3"/>
      <c r="W58" s="3">
        <v>927.1</v>
      </c>
      <c r="X58" s="3"/>
      <c r="Y58" s="3">
        <v>960.8</v>
      </c>
      <c r="Z58" s="3"/>
      <c r="AA58" s="3">
        <v>1022.6</v>
      </c>
      <c r="AB58" s="3"/>
      <c r="AC58" s="3">
        <v>1030.78</v>
      </c>
      <c r="AD58" s="3"/>
      <c r="AE58" s="3">
        <v>1086.97</v>
      </c>
      <c r="AF58" s="3"/>
      <c r="AG58" s="3">
        <v>1157.82</v>
      </c>
      <c r="AH58" s="3"/>
    </row>
    <row r="59" spans="1:34">
      <c r="A59" t="s">
        <v>155</v>
      </c>
      <c r="B59" t="s">
        <v>156</v>
      </c>
      <c r="C59" s="3">
        <v>202.3</v>
      </c>
      <c r="D59" s="3"/>
      <c r="E59" s="3" t="s">
        <v>43</v>
      </c>
      <c r="F59" s="3" t="s">
        <v>852</v>
      </c>
      <c r="G59" s="3">
        <v>205.2</v>
      </c>
      <c r="H59" s="3"/>
      <c r="I59" s="3">
        <v>223.4</v>
      </c>
      <c r="J59" s="3"/>
      <c r="K59" s="3">
        <v>224.2</v>
      </c>
      <c r="L59" s="3"/>
      <c r="M59" s="3">
        <v>218.5</v>
      </c>
      <c r="N59" s="3"/>
      <c r="O59" s="3">
        <v>221.8</v>
      </c>
      <c r="P59" s="3"/>
      <c r="Q59" s="3">
        <v>235.5</v>
      </c>
      <c r="R59" s="3"/>
      <c r="S59" s="3">
        <v>243.5</v>
      </c>
      <c r="T59" s="3"/>
      <c r="U59" s="3">
        <v>250.3</v>
      </c>
      <c r="V59" s="3"/>
      <c r="W59" s="3">
        <v>257.5</v>
      </c>
      <c r="X59" s="3"/>
      <c r="Y59" s="3">
        <v>248.6</v>
      </c>
      <c r="Z59" s="3"/>
      <c r="AA59" s="3" t="s">
        <v>43</v>
      </c>
      <c r="AB59" s="3" t="s">
        <v>44</v>
      </c>
      <c r="AC59" s="3">
        <v>191.49</v>
      </c>
      <c r="AD59" s="3"/>
      <c r="AE59" s="3">
        <v>252.03</v>
      </c>
      <c r="AF59" s="3"/>
      <c r="AG59" s="3">
        <v>267.95</v>
      </c>
      <c r="AH59" s="3"/>
    </row>
    <row r="60" spans="1:34">
      <c r="A60" t="s">
        <v>157</v>
      </c>
      <c r="B60" t="s">
        <v>156</v>
      </c>
      <c r="C60" s="3">
        <v>202.3</v>
      </c>
      <c r="D60" s="3"/>
      <c r="E60" s="3" t="s">
        <v>43</v>
      </c>
      <c r="F60" s="3" t="s">
        <v>852</v>
      </c>
      <c r="G60" s="3">
        <v>205.2</v>
      </c>
      <c r="H60" s="3"/>
      <c r="I60" s="3">
        <v>223.4</v>
      </c>
      <c r="J60" s="3"/>
      <c r="K60" s="3">
        <v>224.2</v>
      </c>
      <c r="L60" s="3"/>
      <c r="M60" s="3">
        <v>218.5</v>
      </c>
      <c r="N60" s="3"/>
      <c r="O60" s="3">
        <v>221.8</v>
      </c>
      <c r="P60" s="3"/>
      <c r="Q60" s="3">
        <v>235.5</v>
      </c>
      <c r="R60" s="3"/>
      <c r="S60" s="3">
        <v>243.5</v>
      </c>
      <c r="T60" s="3"/>
      <c r="U60" s="3">
        <v>250.3</v>
      </c>
      <c r="V60" s="3"/>
      <c r="W60" s="3">
        <v>257.5</v>
      </c>
      <c r="X60" s="3"/>
      <c r="Y60" s="3">
        <v>248.6</v>
      </c>
      <c r="Z60" s="3"/>
      <c r="AA60" s="3" t="s">
        <v>43</v>
      </c>
      <c r="AB60" s="3" t="s">
        <v>44</v>
      </c>
      <c r="AC60" s="3">
        <v>191.49</v>
      </c>
      <c r="AD60" s="3"/>
      <c r="AE60" s="3">
        <v>252.03</v>
      </c>
      <c r="AF60" s="3"/>
      <c r="AG60" s="3">
        <v>267.95</v>
      </c>
      <c r="AH60" s="3"/>
    </row>
    <row r="61" spans="1:34">
      <c r="A61" t="s">
        <v>158</v>
      </c>
      <c r="B61" t="s">
        <v>159</v>
      </c>
      <c r="C61" s="3">
        <v>202.7</v>
      </c>
      <c r="D61" s="3"/>
      <c r="E61" s="3">
        <v>189.8</v>
      </c>
      <c r="F61" s="3" t="s">
        <v>847</v>
      </c>
      <c r="G61" s="3">
        <v>239.1</v>
      </c>
      <c r="H61" s="3"/>
      <c r="I61" s="3">
        <v>259.60000000000002</v>
      </c>
      <c r="J61" s="3"/>
      <c r="K61" s="3">
        <v>277.10000000000002</v>
      </c>
      <c r="L61" s="3"/>
      <c r="M61" s="3">
        <v>278.8</v>
      </c>
      <c r="N61" s="3"/>
      <c r="O61" s="3">
        <v>286.7</v>
      </c>
      <c r="P61" s="3"/>
      <c r="Q61" s="3">
        <v>310.2</v>
      </c>
      <c r="R61" s="3"/>
      <c r="S61" s="3">
        <v>326.5</v>
      </c>
      <c r="T61" s="3"/>
      <c r="U61" s="3">
        <v>359.9</v>
      </c>
      <c r="V61" s="3"/>
      <c r="W61" s="3">
        <v>375.2</v>
      </c>
      <c r="X61" s="3"/>
      <c r="Y61" s="3">
        <v>381.9</v>
      </c>
      <c r="Z61" s="3"/>
      <c r="AA61" s="3">
        <v>350.2</v>
      </c>
      <c r="AB61" s="3"/>
      <c r="AC61" s="3">
        <v>490.81</v>
      </c>
      <c r="AD61" s="3"/>
      <c r="AE61" s="3">
        <v>709.07</v>
      </c>
      <c r="AF61" s="3"/>
      <c r="AG61" s="3">
        <v>1001.63</v>
      </c>
      <c r="AH61" s="3"/>
    </row>
    <row r="62" spans="1:34">
      <c r="A62" t="s">
        <v>160</v>
      </c>
      <c r="B62" t="s">
        <v>159</v>
      </c>
      <c r="C62" s="3" t="s">
        <v>43</v>
      </c>
      <c r="D62" s="3"/>
      <c r="E62" s="3" t="s">
        <v>43</v>
      </c>
      <c r="F62" s="3"/>
      <c r="G62" s="3" t="s">
        <v>43</v>
      </c>
      <c r="H62" s="3"/>
      <c r="I62" s="3">
        <v>259.60000000000002</v>
      </c>
      <c r="J62" s="3"/>
      <c r="K62" s="3">
        <v>277.10000000000002</v>
      </c>
      <c r="L62" s="3"/>
      <c r="M62" s="3">
        <v>278.8</v>
      </c>
      <c r="N62" s="3"/>
      <c r="O62" s="3">
        <v>286.7</v>
      </c>
      <c r="P62" s="3"/>
      <c r="Q62" s="3">
        <v>310.2</v>
      </c>
      <c r="R62" s="3"/>
      <c r="S62" s="3">
        <v>326.5</v>
      </c>
      <c r="T62" s="3"/>
      <c r="U62" s="3">
        <v>359.9</v>
      </c>
      <c r="V62" s="3"/>
      <c r="W62" s="3">
        <v>375.2</v>
      </c>
      <c r="X62" s="3"/>
      <c r="Y62" s="3">
        <v>381.9</v>
      </c>
      <c r="Z62" s="3"/>
      <c r="AA62" s="3">
        <v>350.2</v>
      </c>
      <c r="AB62" s="3"/>
      <c r="AC62" s="3">
        <v>490.81</v>
      </c>
      <c r="AD62" s="3"/>
      <c r="AE62" s="3">
        <v>709.07</v>
      </c>
      <c r="AF62" s="3"/>
      <c r="AG62" s="3">
        <v>1001.63</v>
      </c>
      <c r="AH62" s="3"/>
    </row>
    <row r="63" spans="1:34">
      <c r="A63" t="s">
        <v>848</v>
      </c>
      <c r="B63" t="s">
        <v>849</v>
      </c>
      <c r="C63" s="3">
        <v>18</v>
      </c>
      <c r="D63" s="3"/>
      <c r="E63" s="3">
        <v>16.899999999999999</v>
      </c>
      <c r="F63" s="3" t="s">
        <v>847</v>
      </c>
      <c r="G63" s="3">
        <v>23.1</v>
      </c>
      <c r="H63" s="3"/>
      <c r="I63" s="3" t="s">
        <v>43</v>
      </c>
      <c r="J63" s="3"/>
      <c r="K63" s="3" t="s">
        <v>43</v>
      </c>
      <c r="L63" s="3"/>
      <c r="M63" s="3" t="s">
        <v>43</v>
      </c>
      <c r="N63" s="3"/>
      <c r="O63" s="3" t="s">
        <v>43</v>
      </c>
      <c r="P63" s="3"/>
      <c r="Q63" s="3" t="s">
        <v>43</v>
      </c>
      <c r="R63" s="3"/>
      <c r="S63" s="3" t="s">
        <v>43</v>
      </c>
      <c r="T63" s="3"/>
      <c r="U63" s="3" t="s">
        <v>43</v>
      </c>
      <c r="V63" s="3"/>
      <c r="W63" s="3" t="s">
        <v>43</v>
      </c>
      <c r="X63" s="3" t="s">
        <v>334</v>
      </c>
      <c r="Y63" s="3" t="s">
        <v>43</v>
      </c>
      <c r="Z63" s="3"/>
      <c r="AA63" s="3" t="s">
        <v>43</v>
      </c>
      <c r="AB63" s="3"/>
      <c r="AC63" s="3"/>
      <c r="AD63" s="3"/>
      <c r="AE63" s="3"/>
      <c r="AF63" s="3"/>
      <c r="AG63" s="3"/>
      <c r="AH63" s="3"/>
    </row>
    <row r="64" spans="1:34">
      <c r="A64" t="s">
        <v>850</v>
      </c>
      <c r="B64" t="s">
        <v>851</v>
      </c>
      <c r="C64" s="3">
        <v>184.8</v>
      </c>
      <c r="D64" s="3"/>
      <c r="E64" s="3">
        <v>172.9</v>
      </c>
      <c r="F64" s="3" t="s">
        <v>847</v>
      </c>
      <c r="G64" s="3">
        <v>216</v>
      </c>
      <c r="H64" s="3"/>
      <c r="I64" s="3" t="s">
        <v>43</v>
      </c>
      <c r="J64" s="3"/>
      <c r="K64" s="3" t="s">
        <v>43</v>
      </c>
      <c r="L64" s="3"/>
      <c r="M64" s="3" t="s">
        <v>43</v>
      </c>
      <c r="N64" s="3"/>
      <c r="O64" s="3" t="s">
        <v>43</v>
      </c>
      <c r="P64" s="3"/>
      <c r="Q64" s="3" t="s">
        <v>43</v>
      </c>
      <c r="R64" s="3"/>
      <c r="S64" s="3" t="s">
        <v>43</v>
      </c>
      <c r="T64" s="3"/>
      <c r="U64" s="3" t="s">
        <v>43</v>
      </c>
      <c r="V64" s="3"/>
      <c r="W64" s="3" t="s">
        <v>43</v>
      </c>
      <c r="X64" s="3" t="s">
        <v>334</v>
      </c>
      <c r="Y64" s="3" t="s">
        <v>43</v>
      </c>
      <c r="Z64" s="3"/>
      <c r="AA64" s="3" t="s">
        <v>43</v>
      </c>
      <c r="AB64" s="3"/>
      <c r="AC64" s="3"/>
      <c r="AD64" s="3"/>
      <c r="AE64" s="3"/>
      <c r="AF64" s="3"/>
      <c r="AG64" s="3"/>
      <c r="AH64" s="3"/>
    </row>
    <row r="65" spans="1:34">
      <c r="A65" t="s">
        <v>161</v>
      </c>
      <c r="B65" t="s">
        <v>162</v>
      </c>
      <c r="C65" s="3" t="s">
        <v>43</v>
      </c>
      <c r="D65" s="3" t="s">
        <v>44</v>
      </c>
      <c r="E65" s="3" t="s">
        <v>43</v>
      </c>
      <c r="F65" s="3" t="s">
        <v>852</v>
      </c>
      <c r="G65" s="3" t="s">
        <v>43</v>
      </c>
      <c r="H65" s="3" t="s">
        <v>44</v>
      </c>
      <c r="I65" s="3" t="s">
        <v>43</v>
      </c>
      <c r="J65" s="3" t="s">
        <v>44</v>
      </c>
      <c r="K65" s="3" t="s">
        <v>43</v>
      </c>
      <c r="L65" s="3" t="s">
        <v>44</v>
      </c>
      <c r="M65" s="3" t="s">
        <v>43</v>
      </c>
      <c r="N65" s="3" t="s">
        <v>44</v>
      </c>
      <c r="O65" s="3" t="s">
        <v>43</v>
      </c>
      <c r="P65" s="3" t="s">
        <v>44</v>
      </c>
      <c r="Q65" s="3" t="s">
        <v>43</v>
      </c>
      <c r="R65" s="3" t="s">
        <v>44</v>
      </c>
      <c r="S65" s="3" t="s">
        <v>43</v>
      </c>
      <c r="T65" s="3" t="s">
        <v>44</v>
      </c>
      <c r="U65" s="3">
        <v>1110.3</v>
      </c>
      <c r="V65" s="3"/>
      <c r="W65" s="3">
        <v>1137.2</v>
      </c>
      <c r="X65" s="3"/>
      <c r="Y65" s="3">
        <v>1090.5</v>
      </c>
      <c r="Z65" s="3"/>
      <c r="AA65" s="3" t="s">
        <v>43</v>
      </c>
      <c r="AB65" s="3" t="s">
        <v>44</v>
      </c>
      <c r="AC65" s="3">
        <v>956.27</v>
      </c>
      <c r="AD65" s="3"/>
      <c r="AE65" s="3">
        <v>1075.47</v>
      </c>
      <c r="AF65" s="3"/>
      <c r="AG65" s="3">
        <v>1103.17</v>
      </c>
      <c r="AH65" s="3"/>
    </row>
    <row r="66" spans="1:34">
      <c r="A66" t="s">
        <v>163</v>
      </c>
      <c r="B66" t="s">
        <v>162</v>
      </c>
      <c r="C66" s="3" t="s">
        <v>43</v>
      </c>
      <c r="D66" s="3" t="s">
        <v>44</v>
      </c>
      <c r="E66" s="3" t="s">
        <v>43</v>
      </c>
      <c r="F66" s="3" t="s">
        <v>852</v>
      </c>
      <c r="G66" s="3" t="s">
        <v>43</v>
      </c>
      <c r="H66" s="3" t="s">
        <v>44</v>
      </c>
      <c r="I66" s="3" t="s">
        <v>43</v>
      </c>
      <c r="J66" s="3" t="s">
        <v>44</v>
      </c>
      <c r="K66" s="3" t="s">
        <v>43</v>
      </c>
      <c r="L66" s="3" t="s">
        <v>44</v>
      </c>
      <c r="M66" s="3" t="s">
        <v>43</v>
      </c>
      <c r="N66" s="3" t="s">
        <v>44</v>
      </c>
      <c r="O66" s="3" t="s">
        <v>43</v>
      </c>
      <c r="P66" s="3" t="s">
        <v>44</v>
      </c>
      <c r="Q66" s="3" t="s">
        <v>43</v>
      </c>
      <c r="R66" s="3" t="s">
        <v>44</v>
      </c>
      <c r="S66" s="3" t="s">
        <v>43</v>
      </c>
      <c r="T66" s="3" t="s">
        <v>44</v>
      </c>
      <c r="U66" s="3">
        <v>1110.3</v>
      </c>
      <c r="V66" s="3"/>
      <c r="W66" s="3">
        <v>1137.2</v>
      </c>
      <c r="X66" s="3"/>
      <c r="Y66" s="3">
        <v>1090.5</v>
      </c>
      <c r="Z66" s="3"/>
      <c r="AA66" s="3" t="s">
        <v>43</v>
      </c>
      <c r="AB66" s="3" t="s">
        <v>44</v>
      </c>
      <c r="AC66" s="3">
        <v>956.27</v>
      </c>
      <c r="AD66" s="3"/>
      <c r="AE66" s="3">
        <v>1075.47</v>
      </c>
      <c r="AF66" s="3"/>
      <c r="AG66" s="3">
        <v>1103.17</v>
      </c>
      <c r="AH66" s="3"/>
    </row>
    <row r="67" spans="1:34">
      <c r="A67" t="s">
        <v>164</v>
      </c>
      <c r="B67" t="s">
        <v>165</v>
      </c>
      <c r="C67" s="3" t="s">
        <v>43</v>
      </c>
      <c r="D67" s="3" t="s">
        <v>44</v>
      </c>
      <c r="E67" s="3" t="s">
        <v>43</v>
      </c>
      <c r="F67" s="3" t="s">
        <v>852</v>
      </c>
      <c r="G67" s="3" t="s">
        <v>43</v>
      </c>
      <c r="H67" s="3" t="s">
        <v>44</v>
      </c>
      <c r="I67" s="3" t="s">
        <v>43</v>
      </c>
      <c r="J67" s="3" t="s">
        <v>44</v>
      </c>
      <c r="K67" s="3" t="s">
        <v>43</v>
      </c>
      <c r="L67" s="3" t="s">
        <v>44</v>
      </c>
      <c r="M67" s="3" t="s">
        <v>43</v>
      </c>
      <c r="N67" s="3" t="s">
        <v>44</v>
      </c>
      <c r="O67" s="3" t="s">
        <v>43</v>
      </c>
      <c r="P67" s="3" t="s">
        <v>44</v>
      </c>
      <c r="Q67" s="3" t="s">
        <v>43</v>
      </c>
      <c r="R67" s="3" t="s">
        <v>44</v>
      </c>
      <c r="S67" s="3" t="s">
        <v>43</v>
      </c>
      <c r="T67" s="3" t="s">
        <v>44</v>
      </c>
      <c r="U67" s="3" t="s">
        <v>43</v>
      </c>
      <c r="V67" s="3" t="s">
        <v>44</v>
      </c>
      <c r="W67" s="3" t="s">
        <v>43</v>
      </c>
      <c r="X67" s="3" t="s">
        <v>44</v>
      </c>
      <c r="Y67" s="3" t="s">
        <v>43</v>
      </c>
      <c r="Z67" s="3" t="s">
        <v>44</v>
      </c>
      <c r="AA67" s="3" t="s">
        <v>43</v>
      </c>
      <c r="AB67" s="3" t="s">
        <v>44</v>
      </c>
      <c r="AC67" s="3" t="s">
        <v>43</v>
      </c>
      <c r="AD67" s="3" t="s">
        <v>44</v>
      </c>
      <c r="AE67" s="3" t="s">
        <v>43</v>
      </c>
      <c r="AF67" s="3" t="s">
        <v>44</v>
      </c>
      <c r="AG67" s="3" t="s">
        <v>43</v>
      </c>
      <c r="AH67" s="3" t="s">
        <v>44</v>
      </c>
    </row>
    <row r="68" spans="1:34">
      <c r="A68" t="s">
        <v>166</v>
      </c>
      <c r="B68" t="s">
        <v>165</v>
      </c>
      <c r="C68" s="3" t="s">
        <v>43</v>
      </c>
      <c r="D68" s="3" t="s">
        <v>44</v>
      </c>
      <c r="E68" s="3" t="s">
        <v>43</v>
      </c>
      <c r="F68" s="3" t="s">
        <v>852</v>
      </c>
      <c r="G68" s="3" t="s">
        <v>43</v>
      </c>
      <c r="H68" s="3" t="s">
        <v>44</v>
      </c>
      <c r="I68" s="3" t="s">
        <v>43</v>
      </c>
      <c r="J68" s="3" t="s">
        <v>44</v>
      </c>
      <c r="K68" s="3" t="s">
        <v>43</v>
      </c>
      <c r="L68" s="3" t="s">
        <v>44</v>
      </c>
      <c r="M68" s="3" t="s">
        <v>43</v>
      </c>
      <c r="N68" s="3" t="s">
        <v>44</v>
      </c>
      <c r="O68" s="3" t="s">
        <v>43</v>
      </c>
      <c r="P68" s="3" t="s">
        <v>44</v>
      </c>
      <c r="Q68" s="3" t="s">
        <v>43</v>
      </c>
      <c r="R68" s="3" t="s">
        <v>44</v>
      </c>
      <c r="S68" s="3" t="s">
        <v>43</v>
      </c>
      <c r="T68" s="3" t="s">
        <v>44</v>
      </c>
      <c r="U68" s="3" t="s">
        <v>43</v>
      </c>
      <c r="V68" s="3" t="s">
        <v>44</v>
      </c>
      <c r="W68" s="3" t="s">
        <v>43</v>
      </c>
      <c r="X68" s="3" t="s">
        <v>44</v>
      </c>
      <c r="Y68" s="3" t="s">
        <v>43</v>
      </c>
      <c r="Z68" s="3" t="s">
        <v>44</v>
      </c>
      <c r="AA68" s="3" t="s">
        <v>43</v>
      </c>
      <c r="AB68" s="3" t="s">
        <v>44</v>
      </c>
      <c r="AC68" s="3" t="s">
        <v>43</v>
      </c>
      <c r="AD68" s="3" t="s">
        <v>44</v>
      </c>
      <c r="AE68" s="3" t="s">
        <v>43</v>
      </c>
      <c r="AF68" s="3" t="s">
        <v>44</v>
      </c>
      <c r="AG68" s="3" t="s">
        <v>43</v>
      </c>
      <c r="AH68" s="3" t="s">
        <v>44</v>
      </c>
    </row>
    <row r="69" spans="1:34">
      <c r="A69" t="s">
        <v>167</v>
      </c>
      <c r="B69" t="s">
        <v>168</v>
      </c>
      <c r="C69" s="3">
        <v>2433.4</v>
      </c>
      <c r="D69" s="3"/>
      <c r="E69" s="3">
        <v>2312.6999999999998</v>
      </c>
      <c r="F69" s="3" t="s">
        <v>847</v>
      </c>
      <c r="G69" s="3">
        <v>2541.4</v>
      </c>
      <c r="H69" s="3"/>
      <c r="I69" s="3">
        <v>2727</v>
      </c>
      <c r="J69" s="3"/>
      <c r="K69" s="3">
        <v>2950.7</v>
      </c>
      <c r="L69" s="3"/>
      <c r="M69" s="3">
        <v>3065</v>
      </c>
      <c r="N69" s="3"/>
      <c r="O69" s="3">
        <v>3238.4</v>
      </c>
      <c r="P69" s="3"/>
      <c r="Q69" s="3">
        <v>3447.3</v>
      </c>
      <c r="R69" s="3"/>
      <c r="S69" s="3">
        <v>3476.7</v>
      </c>
      <c r="T69" s="3"/>
      <c r="U69" s="3">
        <v>3602.4</v>
      </c>
      <c r="V69" s="3"/>
      <c r="W69" s="3">
        <v>3680.7</v>
      </c>
      <c r="X69" s="3"/>
      <c r="Y69" s="3">
        <v>3627.3</v>
      </c>
      <c r="Z69" s="3"/>
      <c r="AA69" s="3">
        <v>3086.6</v>
      </c>
      <c r="AB69" s="3"/>
      <c r="AC69" s="3">
        <v>3115.12</v>
      </c>
      <c r="AD69" s="3"/>
      <c r="AE69" s="3">
        <v>3406.52</v>
      </c>
      <c r="AF69" s="3"/>
      <c r="AG69" s="3">
        <v>3466.46</v>
      </c>
      <c r="AH69" s="3"/>
    </row>
    <row r="70" spans="1:34">
      <c r="A70" t="s">
        <v>169</v>
      </c>
      <c r="B70" t="s">
        <v>170</v>
      </c>
      <c r="C70" s="3">
        <v>1416.1</v>
      </c>
      <c r="D70" s="3"/>
      <c r="E70" s="3">
        <v>1315.2</v>
      </c>
      <c r="F70" s="3" t="s">
        <v>847</v>
      </c>
      <c r="G70" s="3">
        <v>1462.2</v>
      </c>
      <c r="H70" s="3"/>
      <c r="I70" s="3">
        <v>1528.7</v>
      </c>
      <c r="J70" s="3"/>
      <c r="K70" s="3">
        <v>1620.8</v>
      </c>
      <c r="L70" s="3"/>
      <c r="M70" s="3">
        <v>1680.8</v>
      </c>
      <c r="N70" s="3"/>
      <c r="O70" s="3">
        <v>1784.7</v>
      </c>
      <c r="P70" s="3"/>
      <c r="Q70" s="3">
        <v>1918.9</v>
      </c>
      <c r="R70" s="3"/>
      <c r="S70" s="3">
        <v>1969.4</v>
      </c>
      <c r="T70" s="3"/>
      <c r="U70" s="3">
        <v>2061</v>
      </c>
      <c r="V70" s="3"/>
      <c r="W70" s="3">
        <v>2031.7</v>
      </c>
      <c r="X70" s="3"/>
      <c r="Y70" s="3">
        <v>1946.5</v>
      </c>
      <c r="Z70" s="3"/>
      <c r="AA70" s="3">
        <v>1589.1</v>
      </c>
      <c r="AB70" s="3"/>
      <c r="AC70" s="3">
        <v>1531.29</v>
      </c>
      <c r="AD70" s="3"/>
      <c r="AE70" s="3">
        <v>1750.9</v>
      </c>
      <c r="AF70" s="3"/>
      <c r="AG70" s="3">
        <v>1655.16</v>
      </c>
      <c r="AH70" s="3"/>
    </row>
    <row r="71" spans="1:34">
      <c r="A71" t="s">
        <v>171</v>
      </c>
      <c r="B71" t="s">
        <v>172</v>
      </c>
      <c r="C71" s="3">
        <v>87.5</v>
      </c>
      <c r="D71" s="3"/>
      <c r="E71" s="3">
        <v>84.1</v>
      </c>
      <c r="F71" s="3" t="s">
        <v>847</v>
      </c>
      <c r="G71" s="3">
        <v>101.4</v>
      </c>
      <c r="H71" s="3"/>
      <c r="I71" s="3" t="s">
        <v>43</v>
      </c>
      <c r="J71" s="3" t="s">
        <v>44</v>
      </c>
      <c r="K71" s="3" t="s">
        <v>43</v>
      </c>
      <c r="L71" s="3" t="s">
        <v>44</v>
      </c>
      <c r="M71" s="3" t="s">
        <v>43</v>
      </c>
      <c r="N71" s="3" t="s">
        <v>44</v>
      </c>
      <c r="O71" s="3" t="s">
        <v>43</v>
      </c>
      <c r="P71" s="3" t="s">
        <v>44</v>
      </c>
      <c r="Q71" s="3" t="s">
        <v>43</v>
      </c>
      <c r="R71" s="3" t="s">
        <v>44</v>
      </c>
      <c r="S71" s="3" t="s">
        <v>43</v>
      </c>
      <c r="T71" s="3" t="s">
        <v>44</v>
      </c>
      <c r="U71" s="3" t="s">
        <v>43</v>
      </c>
      <c r="V71" s="3" t="s">
        <v>44</v>
      </c>
      <c r="W71" s="3" t="s">
        <v>43</v>
      </c>
      <c r="X71" s="3" t="s">
        <v>44</v>
      </c>
      <c r="Y71" s="3" t="s">
        <v>43</v>
      </c>
      <c r="Z71" s="3" t="s">
        <v>44</v>
      </c>
      <c r="AA71" s="3" t="s">
        <v>43</v>
      </c>
      <c r="AB71" s="3" t="s">
        <v>44</v>
      </c>
      <c r="AC71" s="3">
        <v>98.65</v>
      </c>
      <c r="AD71" s="3"/>
      <c r="AE71" s="3">
        <v>107.19</v>
      </c>
      <c r="AF71" s="3"/>
      <c r="AG71" s="3">
        <v>111.61</v>
      </c>
      <c r="AH71" s="3"/>
    </row>
    <row r="72" spans="1:34">
      <c r="A72" t="s">
        <v>173</v>
      </c>
      <c r="B72" t="s">
        <v>174</v>
      </c>
      <c r="C72" s="3">
        <v>929.9</v>
      </c>
      <c r="D72" s="3"/>
      <c r="E72" s="3">
        <v>913.5</v>
      </c>
      <c r="F72" s="3" t="s">
        <v>847</v>
      </c>
      <c r="G72" s="3">
        <v>977.8</v>
      </c>
      <c r="H72" s="3"/>
      <c r="I72" s="3" t="s">
        <v>43</v>
      </c>
      <c r="J72" s="3" t="s">
        <v>44</v>
      </c>
      <c r="K72" s="3" t="s">
        <v>43</v>
      </c>
      <c r="L72" s="3" t="s">
        <v>44</v>
      </c>
      <c r="M72" s="3" t="s">
        <v>43</v>
      </c>
      <c r="N72" s="3" t="s">
        <v>44</v>
      </c>
      <c r="O72" s="3" t="s">
        <v>43</v>
      </c>
      <c r="P72" s="3" t="s">
        <v>44</v>
      </c>
      <c r="Q72" s="3" t="s">
        <v>43</v>
      </c>
      <c r="R72" s="3" t="s">
        <v>44</v>
      </c>
      <c r="S72" s="3" t="s">
        <v>43</v>
      </c>
      <c r="T72" s="3" t="s">
        <v>44</v>
      </c>
      <c r="U72" s="3" t="s">
        <v>43</v>
      </c>
      <c r="V72" s="3" t="s">
        <v>44</v>
      </c>
      <c r="W72" s="3" t="s">
        <v>43</v>
      </c>
      <c r="X72" s="3" t="s">
        <v>44</v>
      </c>
      <c r="Y72" s="3" t="s">
        <v>43</v>
      </c>
      <c r="Z72" s="3" t="s">
        <v>44</v>
      </c>
      <c r="AA72" s="3" t="s">
        <v>43</v>
      </c>
      <c r="AB72" s="3" t="s">
        <v>44</v>
      </c>
      <c r="AC72" s="3">
        <v>1485.18</v>
      </c>
      <c r="AD72" s="3"/>
      <c r="AE72" s="3">
        <v>1548.44</v>
      </c>
      <c r="AF72" s="3"/>
      <c r="AG72" s="3">
        <v>1699.69</v>
      </c>
      <c r="AH72" s="3"/>
    </row>
    <row r="73" spans="1:34">
      <c r="A73" t="s">
        <v>175</v>
      </c>
      <c r="B73" t="s">
        <v>176</v>
      </c>
      <c r="C73" s="3">
        <v>58.9</v>
      </c>
      <c r="D73" s="3"/>
      <c r="E73" s="3">
        <v>51.2</v>
      </c>
      <c r="F73" s="3" t="s">
        <v>847</v>
      </c>
      <c r="G73" s="3">
        <v>62.5</v>
      </c>
      <c r="H73" s="3"/>
      <c r="I73" s="3">
        <v>73.7</v>
      </c>
      <c r="J73" s="3"/>
      <c r="K73" s="3">
        <v>61.8</v>
      </c>
      <c r="L73" s="3"/>
      <c r="M73" s="3">
        <v>85.2</v>
      </c>
      <c r="N73" s="3"/>
      <c r="O73" s="3">
        <v>88.5</v>
      </c>
      <c r="P73" s="3"/>
      <c r="Q73" s="3">
        <v>88.2</v>
      </c>
      <c r="R73" s="3"/>
      <c r="S73" s="3">
        <v>93.2</v>
      </c>
      <c r="T73" s="3"/>
      <c r="U73" s="3">
        <v>98.8</v>
      </c>
      <c r="V73" s="3"/>
      <c r="W73" s="3">
        <v>141.6</v>
      </c>
      <c r="X73" s="3"/>
      <c r="Y73" s="3">
        <v>148.6</v>
      </c>
      <c r="Z73" s="3"/>
      <c r="AA73" s="3" t="s">
        <v>43</v>
      </c>
      <c r="AB73" s="3" t="s">
        <v>44</v>
      </c>
      <c r="AC73" s="3" t="s">
        <v>43</v>
      </c>
      <c r="AD73" s="3" t="s">
        <v>44</v>
      </c>
      <c r="AE73" s="3">
        <v>143.08000000000001</v>
      </c>
      <c r="AF73" s="3"/>
      <c r="AG73" s="3" t="s">
        <v>43</v>
      </c>
      <c r="AH73" s="3" t="s">
        <v>44</v>
      </c>
    </row>
    <row r="74" spans="1:34">
      <c r="A74" t="s">
        <v>177</v>
      </c>
      <c r="B74" t="s">
        <v>176</v>
      </c>
      <c r="C74" s="3">
        <v>58.9</v>
      </c>
      <c r="D74" s="3"/>
      <c r="E74" s="3">
        <v>51.2</v>
      </c>
      <c r="F74" s="3" t="s">
        <v>847</v>
      </c>
      <c r="G74" s="3">
        <v>62.5</v>
      </c>
      <c r="H74" s="3"/>
      <c r="I74" s="3">
        <v>73.7</v>
      </c>
      <c r="J74" s="3"/>
      <c r="K74" s="3">
        <v>61.8</v>
      </c>
      <c r="L74" s="3"/>
      <c r="M74" s="3">
        <v>85.2</v>
      </c>
      <c r="N74" s="3"/>
      <c r="O74" s="3">
        <v>88.5</v>
      </c>
      <c r="P74" s="3"/>
      <c r="Q74" s="3">
        <v>88.2</v>
      </c>
      <c r="R74" s="3"/>
      <c r="S74" s="3">
        <v>93.2</v>
      </c>
      <c r="T74" s="3"/>
      <c r="U74" s="3">
        <v>98.8</v>
      </c>
      <c r="V74" s="3"/>
      <c r="W74" s="3">
        <v>141.6</v>
      </c>
      <c r="X74" s="3"/>
      <c r="Y74" s="3">
        <v>148.6</v>
      </c>
      <c r="Z74" s="3"/>
      <c r="AA74" s="3" t="s">
        <v>43</v>
      </c>
      <c r="AB74" s="3" t="s">
        <v>44</v>
      </c>
      <c r="AC74" s="3" t="s">
        <v>43</v>
      </c>
      <c r="AD74" s="3" t="s">
        <v>44</v>
      </c>
      <c r="AE74" s="3">
        <v>143.08000000000001</v>
      </c>
      <c r="AF74" s="3"/>
      <c r="AG74" s="3" t="s">
        <v>43</v>
      </c>
      <c r="AH74" s="3" t="s">
        <v>44</v>
      </c>
    </row>
    <row r="75" spans="1:34">
      <c r="A75" t="s">
        <v>178</v>
      </c>
      <c r="B75" t="s">
        <v>179</v>
      </c>
      <c r="C75" s="3" t="s">
        <v>43</v>
      </c>
      <c r="D75" s="3" t="s">
        <v>44</v>
      </c>
      <c r="E75" s="3" t="s">
        <v>43</v>
      </c>
      <c r="F75" s="3" t="s">
        <v>852</v>
      </c>
      <c r="G75" s="3" t="s">
        <v>43</v>
      </c>
      <c r="H75" s="3" t="s">
        <v>44</v>
      </c>
      <c r="I75" s="3" t="s">
        <v>43</v>
      </c>
      <c r="J75" s="3" t="s">
        <v>44</v>
      </c>
      <c r="K75" s="3" t="s">
        <v>43</v>
      </c>
      <c r="L75" s="3" t="s">
        <v>44</v>
      </c>
      <c r="M75" s="3" t="s">
        <v>43</v>
      </c>
      <c r="N75" s="3" t="s">
        <v>44</v>
      </c>
      <c r="O75" s="3" t="s">
        <v>43</v>
      </c>
      <c r="P75" s="3" t="s">
        <v>44</v>
      </c>
      <c r="Q75" s="3" t="s">
        <v>43</v>
      </c>
      <c r="R75" s="3" t="s">
        <v>44</v>
      </c>
      <c r="S75" s="3" t="s">
        <v>43</v>
      </c>
      <c r="T75" s="3" t="s">
        <v>44</v>
      </c>
      <c r="U75" s="3" t="s">
        <v>43</v>
      </c>
      <c r="V75" s="3" t="s">
        <v>44</v>
      </c>
      <c r="W75" s="3" t="s">
        <v>43</v>
      </c>
      <c r="X75" s="3" t="s">
        <v>44</v>
      </c>
      <c r="Y75" s="3" t="s">
        <v>43</v>
      </c>
      <c r="Z75" s="3" t="s">
        <v>44</v>
      </c>
      <c r="AA75" s="3" t="s">
        <v>43</v>
      </c>
      <c r="AB75" s="3" t="s">
        <v>44</v>
      </c>
      <c r="AC75" s="3">
        <v>9464.52</v>
      </c>
      <c r="AD75" s="3"/>
      <c r="AE75" s="3">
        <v>10206.31</v>
      </c>
      <c r="AF75" s="3"/>
      <c r="AG75" s="3">
        <v>10792.21</v>
      </c>
      <c r="AH75" s="3"/>
    </row>
    <row r="76" spans="1:34">
      <c r="A76" t="s">
        <v>180</v>
      </c>
      <c r="B76" t="s">
        <v>181</v>
      </c>
      <c r="C76" s="3" t="s">
        <v>43</v>
      </c>
      <c r="D76" s="3" t="s">
        <v>44</v>
      </c>
      <c r="E76" s="3" t="s">
        <v>43</v>
      </c>
      <c r="F76" s="3" t="s">
        <v>852</v>
      </c>
      <c r="G76" s="3" t="s">
        <v>43</v>
      </c>
      <c r="H76" s="3" t="s">
        <v>44</v>
      </c>
      <c r="I76" s="3" t="s">
        <v>43</v>
      </c>
      <c r="J76" s="3" t="s">
        <v>44</v>
      </c>
      <c r="K76" s="3" t="s">
        <v>43</v>
      </c>
      <c r="L76" s="3" t="s">
        <v>44</v>
      </c>
      <c r="M76" s="3" t="s">
        <v>43</v>
      </c>
      <c r="N76" s="3" t="s">
        <v>44</v>
      </c>
      <c r="O76" s="3" t="s">
        <v>43</v>
      </c>
      <c r="P76" s="3" t="s">
        <v>44</v>
      </c>
      <c r="Q76" s="3" t="s">
        <v>43</v>
      </c>
      <c r="R76" s="3" t="s">
        <v>44</v>
      </c>
      <c r="S76" s="3">
        <v>6168</v>
      </c>
      <c r="T76" s="3"/>
      <c r="U76" s="3" t="s">
        <v>43</v>
      </c>
      <c r="V76" s="3" t="s">
        <v>44</v>
      </c>
      <c r="W76" s="3" t="s">
        <v>43</v>
      </c>
      <c r="X76" s="3" t="s">
        <v>44</v>
      </c>
      <c r="Y76" s="3" t="s">
        <v>43</v>
      </c>
      <c r="Z76" s="3" t="s">
        <v>44</v>
      </c>
      <c r="AA76" s="3" t="s">
        <v>43</v>
      </c>
      <c r="AB76" s="3" t="s">
        <v>44</v>
      </c>
      <c r="AC76" s="3">
        <v>6529.37</v>
      </c>
      <c r="AD76" s="3"/>
      <c r="AE76" s="3">
        <v>7030.39</v>
      </c>
      <c r="AF76" s="3"/>
      <c r="AG76" s="3">
        <v>7465.44</v>
      </c>
      <c r="AH76" s="3"/>
    </row>
    <row r="77" spans="1:34">
      <c r="A77" t="s">
        <v>182</v>
      </c>
      <c r="B77" t="s">
        <v>183</v>
      </c>
      <c r="C77" s="3" t="s">
        <v>43</v>
      </c>
      <c r="D77" s="3" t="s">
        <v>44</v>
      </c>
      <c r="E77" s="3" t="s">
        <v>43</v>
      </c>
      <c r="F77" s="3" t="s">
        <v>852</v>
      </c>
      <c r="G77" s="3" t="s">
        <v>43</v>
      </c>
      <c r="H77" s="3" t="s">
        <v>44</v>
      </c>
      <c r="I77" s="3" t="s">
        <v>43</v>
      </c>
      <c r="J77" s="3" t="s">
        <v>44</v>
      </c>
      <c r="K77" s="3" t="s">
        <v>43</v>
      </c>
      <c r="L77" s="3" t="s">
        <v>44</v>
      </c>
      <c r="M77" s="3" t="s">
        <v>43</v>
      </c>
      <c r="N77" s="3" t="s">
        <v>44</v>
      </c>
      <c r="O77" s="3" t="s">
        <v>43</v>
      </c>
      <c r="P77" s="3" t="s">
        <v>44</v>
      </c>
      <c r="Q77" s="3" t="s">
        <v>43</v>
      </c>
      <c r="R77" s="3" t="s">
        <v>44</v>
      </c>
      <c r="S77" s="3" t="s">
        <v>43</v>
      </c>
      <c r="T77" s="3" t="s">
        <v>44</v>
      </c>
      <c r="U77" s="3" t="s">
        <v>43</v>
      </c>
      <c r="V77" s="3" t="s">
        <v>44</v>
      </c>
      <c r="W77" s="3" t="s">
        <v>43</v>
      </c>
      <c r="X77" s="3" t="s">
        <v>44</v>
      </c>
      <c r="Y77" s="3" t="s">
        <v>43</v>
      </c>
      <c r="Z77" s="3" t="s">
        <v>44</v>
      </c>
      <c r="AA77" s="3" t="s">
        <v>43</v>
      </c>
      <c r="AB77" s="3" t="s">
        <v>44</v>
      </c>
      <c r="AC77" s="3">
        <v>1519.61</v>
      </c>
      <c r="AD77" s="3"/>
      <c r="AE77" s="3">
        <v>1685.8</v>
      </c>
      <c r="AF77" s="3"/>
      <c r="AG77" s="3">
        <v>1770.08</v>
      </c>
      <c r="AH77" s="3"/>
    </row>
    <row r="78" spans="1:34">
      <c r="A78" t="s">
        <v>184</v>
      </c>
      <c r="B78" t="s">
        <v>185</v>
      </c>
      <c r="C78" s="3" t="s">
        <v>43</v>
      </c>
      <c r="D78" s="3" t="s">
        <v>44</v>
      </c>
      <c r="E78" s="3" t="s">
        <v>43</v>
      </c>
      <c r="F78" s="3" t="s">
        <v>852</v>
      </c>
      <c r="G78" s="3" t="s">
        <v>43</v>
      </c>
      <c r="H78" s="3" t="s">
        <v>44</v>
      </c>
      <c r="I78" s="3" t="s">
        <v>43</v>
      </c>
      <c r="J78" s="3" t="s">
        <v>44</v>
      </c>
      <c r="K78" s="3" t="s">
        <v>43</v>
      </c>
      <c r="L78" s="3" t="s">
        <v>44</v>
      </c>
      <c r="M78" s="3" t="s">
        <v>43</v>
      </c>
      <c r="N78" s="3" t="s">
        <v>44</v>
      </c>
      <c r="O78" s="3" t="s">
        <v>43</v>
      </c>
      <c r="P78" s="3" t="s">
        <v>44</v>
      </c>
      <c r="Q78" s="3" t="s">
        <v>43</v>
      </c>
      <c r="R78" s="3" t="s">
        <v>44</v>
      </c>
      <c r="S78" s="3">
        <v>138.5</v>
      </c>
      <c r="T78" s="3"/>
      <c r="U78" s="3" t="s">
        <v>43</v>
      </c>
      <c r="V78" s="3" t="s">
        <v>44</v>
      </c>
      <c r="W78" s="3" t="s">
        <v>43</v>
      </c>
      <c r="X78" s="3" t="s">
        <v>44</v>
      </c>
      <c r="Y78" s="3" t="s">
        <v>43</v>
      </c>
      <c r="Z78" s="3" t="s">
        <v>44</v>
      </c>
      <c r="AA78" s="3" t="s">
        <v>43</v>
      </c>
      <c r="AB78" s="3" t="s">
        <v>44</v>
      </c>
      <c r="AC78" s="3">
        <v>153.56</v>
      </c>
      <c r="AD78" s="3"/>
      <c r="AE78" s="3">
        <v>164.92</v>
      </c>
      <c r="AF78" s="3"/>
      <c r="AG78" s="3">
        <v>164.96</v>
      </c>
      <c r="AH78" s="3"/>
    </row>
    <row r="79" spans="1:34">
      <c r="A79" t="s">
        <v>186</v>
      </c>
      <c r="B79" t="s">
        <v>187</v>
      </c>
      <c r="C79" s="3">
        <v>809.3</v>
      </c>
      <c r="D79" s="3"/>
      <c r="E79" s="3">
        <v>703.1</v>
      </c>
      <c r="F79" s="3" t="s">
        <v>847</v>
      </c>
      <c r="G79" s="3">
        <v>757.4</v>
      </c>
      <c r="H79" s="3"/>
      <c r="I79" s="3">
        <v>834</v>
      </c>
      <c r="J79" s="3"/>
      <c r="K79" s="3">
        <v>926</v>
      </c>
      <c r="L79" s="3"/>
      <c r="M79" s="3">
        <v>967.9</v>
      </c>
      <c r="N79" s="3"/>
      <c r="O79" s="3">
        <v>1081.9000000000001</v>
      </c>
      <c r="P79" s="3"/>
      <c r="Q79" s="3">
        <v>1165.2</v>
      </c>
      <c r="R79" s="3"/>
      <c r="S79" s="3">
        <v>1145</v>
      </c>
      <c r="T79" s="3"/>
      <c r="U79" s="3">
        <v>1171.8</v>
      </c>
      <c r="V79" s="3"/>
      <c r="W79" s="3">
        <v>1253.7</v>
      </c>
      <c r="X79" s="3"/>
      <c r="Y79" s="3">
        <v>1264.8</v>
      </c>
      <c r="Z79" s="3"/>
      <c r="AA79" s="3">
        <v>1174.9000000000001</v>
      </c>
      <c r="AB79" s="3"/>
      <c r="AC79" s="3">
        <v>1261.98</v>
      </c>
      <c r="AD79" s="3"/>
      <c r="AE79" s="3">
        <v>1325.19</v>
      </c>
      <c r="AF79" s="3"/>
      <c r="AG79" s="3">
        <v>1391.74</v>
      </c>
      <c r="AH79" s="3"/>
    </row>
    <row r="80" spans="1:34">
      <c r="A80" t="s">
        <v>188</v>
      </c>
      <c r="B80" t="s">
        <v>189</v>
      </c>
      <c r="C80" s="3">
        <v>4084.7</v>
      </c>
      <c r="D80" s="3"/>
      <c r="E80" s="3">
        <v>3535</v>
      </c>
      <c r="F80" s="3" t="s">
        <v>847</v>
      </c>
      <c r="G80" s="3">
        <v>4248</v>
      </c>
      <c r="H80" s="3"/>
      <c r="I80" s="3">
        <v>4512.5</v>
      </c>
      <c r="J80" s="3"/>
      <c r="K80" s="3">
        <v>4697.8</v>
      </c>
      <c r="L80" s="3"/>
      <c r="M80" s="3">
        <v>4795.8</v>
      </c>
      <c r="N80" s="3"/>
      <c r="O80" s="3">
        <v>4943.2</v>
      </c>
      <c r="P80" s="3"/>
      <c r="Q80" s="3">
        <v>5007.6000000000004</v>
      </c>
      <c r="R80" s="3"/>
      <c r="S80" s="3">
        <v>5122.8</v>
      </c>
      <c r="T80" s="3"/>
      <c r="U80" s="3">
        <v>5241.6000000000004</v>
      </c>
      <c r="V80" s="3"/>
      <c r="W80" s="3">
        <v>5514.6</v>
      </c>
      <c r="X80" s="3"/>
      <c r="Y80" s="3">
        <v>5487.2</v>
      </c>
      <c r="Z80" s="3"/>
      <c r="AA80" s="3">
        <v>4831.6000000000004</v>
      </c>
      <c r="AB80" s="3"/>
      <c r="AC80" s="3">
        <v>4554.03</v>
      </c>
      <c r="AD80" s="3"/>
      <c r="AE80" s="3">
        <v>5066.07</v>
      </c>
      <c r="AF80" s="3"/>
      <c r="AG80" s="3">
        <v>4962.41</v>
      </c>
      <c r="AH80" s="3"/>
    </row>
    <row r="81" spans="1:34">
      <c r="A81" t="s">
        <v>190</v>
      </c>
      <c r="B81" t="s">
        <v>191</v>
      </c>
      <c r="C81" s="3">
        <v>871.3</v>
      </c>
      <c r="D81" s="3"/>
      <c r="E81" s="3">
        <v>707.2</v>
      </c>
      <c r="F81" s="3" t="s">
        <v>847</v>
      </c>
      <c r="G81" s="3">
        <v>839.1</v>
      </c>
      <c r="H81" s="3"/>
      <c r="I81" s="3">
        <v>893.2</v>
      </c>
      <c r="J81" s="3"/>
      <c r="K81" s="3">
        <v>945.2</v>
      </c>
      <c r="L81" s="3"/>
      <c r="M81" s="3">
        <v>966.6</v>
      </c>
      <c r="N81" s="3"/>
      <c r="O81" s="3">
        <v>970.5</v>
      </c>
      <c r="P81" s="3"/>
      <c r="Q81" s="3">
        <v>1035.2</v>
      </c>
      <c r="R81" s="3"/>
      <c r="S81" s="3">
        <v>1024.4000000000001</v>
      </c>
      <c r="T81" s="3"/>
      <c r="U81" s="3">
        <v>1043.7</v>
      </c>
      <c r="V81" s="3"/>
      <c r="W81" s="3">
        <v>1159.4000000000001</v>
      </c>
      <c r="X81" s="3"/>
      <c r="Y81" s="3">
        <v>1143.3</v>
      </c>
      <c r="Z81" s="3"/>
      <c r="AA81" s="3">
        <v>1003.1</v>
      </c>
      <c r="AB81" s="3"/>
      <c r="AC81" s="3">
        <v>1015.43</v>
      </c>
      <c r="AD81" s="3"/>
      <c r="AE81" s="3">
        <v>1078.19</v>
      </c>
      <c r="AF81" s="3"/>
      <c r="AG81" s="3">
        <v>1078.23</v>
      </c>
      <c r="AH81" s="3"/>
    </row>
    <row r="82" spans="1:34">
      <c r="A82" t="s">
        <v>192</v>
      </c>
      <c r="B82" t="s">
        <v>193</v>
      </c>
      <c r="C82" s="3">
        <v>1546.3</v>
      </c>
      <c r="D82" s="3"/>
      <c r="E82" s="3">
        <v>1415.4</v>
      </c>
      <c r="F82" s="3" t="s">
        <v>847</v>
      </c>
      <c r="G82" s="3">
        <v>1644</v>
      </c>
      <c r="H82" s="3"/>
      <c r="I82" s="3">
        <v>1776.8</v>
      </c>
      <c r="J82" s="3"/>
      <c r="K82" s="3">
        <v>1889.6</v>
      </c>
      <c r="L82" s="3"/>
      <c r="M82" s="3">
        <v>1942.8</v>
      </c>
      <c r="N82" s="3"/>
      <c r="O82" s="3">
        <v>2051.6</v>
      </c>
      <c r="P82" s="3"/>
      <c r="Q82" s="3">
        <v>2210.1</v>
      </c>
      <c r="R82" s="3"/>
      <c r="S82" s="3">
        <v>2276.5</v>
      </c>
      <c r="T82" s="3"/>
      <c r="U82" s="3">
        <v>2308</v>
      </c>
      <c r="V82" s="3"/>
      <c r="W82" s="3">
        <v>2409.4</v>
      </c>
      <c r="X82" s="3"/>
      <c r="Y82" s="3">
        <v>2367.8000000000002</v>
      </c>
      <c r="Z82" s="3"/>
      <c r="AA82" s="3">
        <v>2019.7</v>
      </c>
      <c r="AB82" s="3"/>
      <c r="AC82" s="3">
        <v>1678.6</v>
      </c>
      <c r="AD82" s="3"/>
      <c r="AE82" s="3">
        <v>1927.27</v>
      </c>
      <c r="AF82" s="3"/>
      <c r="AG82" s="3">
        <v>1826.67</v>
      </c>
      <c r="AH82" s="3"/>
    </row>
    <row r="83" spans="1:34">
      <c r="A83" t="s">
        <v>194</v>
      </c>
      <c r="B83" t="s">
        <v>195</v>
      </c>
      <c r="C83" s="3">
        <v>302.89999999999998</v>
      </c>
      <c r="D83" s="3"/>
      <c r="E83" s="3">
        <v>229.2</v>
      </c>
      <c r="F83" s="3" t="s">
        <v>847</v>
      </c>
      <c r="G83" s="3">
        <v>277.7</v>
      </c>
      <c r="H83" s="3"/>
      <c r="I83" s="3">
        <v>290.3</v>
      </c>
      <c r="J83" s="3"/>
      <c r="K83" s="3">
        <v>301.8</v>
      </c>
      <c r="L83" s="3"/>
      <c r="M83" s="3">
        <v>303.3</v>
      </c>
      <c r="N83" s="3"/>
      <c r="O83" s="3">
        <v>314.7</v>
      </c>
      <c r="P83" s="3"/>
      <c r="Q83" s="3" t="s">
        <v>43</v>
      </c>
      <c r="R83" s="3" t="s">
        <v>44</v>
      </c>
      <c r="S83" s="3">
        <v>369</v>
      </c>
      <c r="T83" s="3"/>
      <c r="U83" s="3">
        <v>385.7</v>
      </c>
      <c r="V83" s="3"/>
      <c r="W83" s="3">
        <v>407.5</v>
      </c>
      <c r="X83" s="3"/>
      <c r="Y83" s="3">
        <v>418.5</v>
      </c>
      <c r="Z83" s="3"/>
      <c r="AA83" s="3" t="s">
        <v>43</v>
      </c>
      <c r="AB83" s="3" t="s">
        <v>44</v>
      </c>
      <c r="AC83" s="3">
        <v>415.73</v>
      </c>
      <c r="AD83" s="3"/>
      <c r="AE83" s="3">
        <v>459.29</v>
      </c>
      <c r="AF83" s="3"/>
      <c r="AG83" s="3">
        <v>495.72</v>
      </c>
      <c r="AH83" s="3"/>
    </row>
    <row r="84" spans="1:34">
      <c r="A84" t="s">
        <v>196</v>
      </c>
      <c r="B84" t="s">
        <v>197</v>
      </c>
      <c r="C84" s="3">
        <v>475.5</v>
      </c>
      <c r="D84" s="3"/>
      <c r="E84" s="3">
        <v>418.5</v>
      </c>
      <c r="F84" s="3" t="s">
        <v>847</v>
      </c>
      <c r="G84" s="3">
        <v>581.79999999999995</v>
      </c>
      <c r="H84" s="3"/>
      <c r="I84" s="3">
        <v>640.70000000000005</v>
      </c>
      <c r="J84" s="3"/>
      <c r="K84" s="3">
        <v>625.29999999999995</v>
      </c>
      <c r="L84" s="3"/>
      <c r="M84" s="3">
        <v>627.5</v>
      </c>
      <c r="N84" s="3"/>
      <c r="O84" s="3">
        <v>630.20000000000005</v>
      </c>
      <c r="P84" s="3"/>
      <c r="Q84" s="3">
        <v>657.5</v>
      </c>
      <c r="R84" s="3"/>
      <c r="S84" s="3">
        <v>667.6</v>
      </c>
      <c r="T84" s="3"/>
      <c r="U84" s="3">
        <v>694.6</v>
      </c>
      <c r="V84" s="3"/>
      <c r="W84" s="3">
        <v>737.2</v>
      </c>
      <c r="X84" s="3"/>
      <c r="Y84" s="3">
        <v>749.8</v>
      </c>
      <c r="Z84" s="3"/>
      <c r="AA84" s="3">
        <v>655.4</v>
      </c>
      <c r="AB84" s="3"/>
      <c r="AC84" s="3">
        <v>694.12</v>
      </c>
      <c r="AD84" s="3"/>
      <c r="AE84" s="3">
        <v>779.29</v>
      </c>
      <c r="AF84" s="3"/>
      <c r="AG84" s="3">
        <v>796.59</v>
      </c>
      <c r="AH84" s="3"/>
    </row>
    <row r="85" spans="1:34">
      <c r="A85" t="s">
        <v>198</v>
      </c>
      <c r="B85" t="s">
        <v>199</v>
      </c>
      <c r="C85" s="3">
        <v>888.7</v>
      </c>
      <c r="D85" s="3"/>
      <c r="E85" s="3">
        <v>764.7</v>
      </c>
      <c r="F85" s="3" t="s">
        <v>847</v>
      </c>
      <c r="G85" s="3">
        <v>905.5</v>
      </c>
      <c r="H85" s="3"/>
      <c r="I85" s="3">
        <v>911.6</v>
      </c>
      <c r="J85" s="3"/>
      <c r="K85" s="3">
        <v>935.9</v>
      </c>
      <c r="L85" s="3"/>
      <c r="M85" s="3">
        <v>955.7</v>
      </c>
      <c r="N85" s="3"/>
      <c r="O85" s="3">
        <v>976.3</v>
      </c>
      <c r="P85" s="3"/>
      <c r="Q85" s="3" t="s">
        <v>43</v>
      </c>
      <c r="R85" s="3" t="s">
        <v>44</v>
      </c>
      <c r="S85" s="3">
        <v>785.2</v>
      </c>
      <c r="T85" s="3"/>
      <c r="U85" s="3">
        <v>809.6</v>
      </c>
      <c r="V85" s="3"/>
      <c r="W85" s="3">
        <v>801.1</v>
      </c>
      <c r="X85" s="3"/>
      <c r="Y85" s="3">
        <v>807.9</v>
      </c>
      <c r="Z85" s="3"/>
      <c r="AA85" s="3" t="s">
        <v>43</v>
      </c>
      <c r="AB85" s="3" t="s">
        <v>44</v>
      </c>
      <c r="AC85" s="3">
        <v>750.16</v>
      </c>
      <c r="AD85" s="3"/>
      <c r="AE85" s="3">
        <v>822.03</v>
      </c>
      <c r="AF85" s="3"/>
      <c r="AG85" s="3">
        <v>765.2</v>
      </c>
      <c r="AH85" s="3"/>
    </row>
    <row r="86" spans="1:34">
      <c r="A86" t="s">
        <v>200</v>
      </c>
      <c r="B86" t="s">
        <v>201</v>
      </c>
      <c r="C86" s="3">
        <v>1256</v>
      </c>
      <c r="D86" s="3"/>
      <c r="E86" s="3">
        <v>1148.5999999999999</v>
      </c>
      <c r="F86" s="3" t="s">
        <v>847</v>
      </c>
      <c r="G86" s="3">
        <v>1234</v>
      </c>
      <c r="H86" s="3"/>
      <c r="I86" s="3">
        <v>1332.2</v>
      </c>
      <c r="J86" s="3"/>
      <c r="K86" s="3">
        <v>1396.5</v>
      </c>
      <c r="L86" s="3"/>
      <c r="M86" s="3">
        <v>1345.5</v>
      </c>
      <c r="N86" s="3"/>
      <c r="O86" s="3">
        <v>1383.1</v>
      </c>
      <c r="P86" s="3"/>
      <c r="Q86" s="3">
        <v>1469.6</v>
      </c>
      <c r="R86" s="3"/>
      <c r="S86" s="3">
        <v>1474.6</v>
      </c>
      <c r="T86" s="3"/>
      <c r="U86" s="3">
        <v>1357.7</v>
      </c>
      <c r="V86" s="3"/>
      <c r="W86" s="3">
        <v>1397</v>
      </c>
      <c r="X86" s="3"/>
      <c r="Y86" s="3">
        <v>1418.3</v>
      </c>
      <c r="Z86" s="3"/>
      <c r="AA86" s="3">
        <v>1263.0999999999999</v>
      </c>
      <c r="AB86" s="3"/>
      <c r="AC86" s="3">
        <v>1511.59</v>
      </c>
      <c r="AD86" s="3"/>
      <c r="AE86" s="3">
        <v>1603.66</v>
      </c>
      <c r="AF86" s="3"/>
      <c r="AG86" s="3">
        <v>1621.24</v>
      </c>
      <c r="AH86" s="3"/>
    </row>
    <row r="87" spans="1:34">
      <c r="A87" t="s">
        <v>202</v>
      </c>
      <c r="B87" t="s">
        <v>203</v>
      </c>
      <c r="C87" s="3">
        <v>206.4</v>
      </c>
      <c r="D87" s="3"/>
      <c r="E87" s="3">
        <v>185</v>
      </c>
      <c r="F87" s="3" t="s">
        <v>847</v>
      </c>
      <c r="G87" s="3">
        <v>227.6</v>
      </c>
      <c r="H87" s="3"/>
      <c r="I87" s="3">
        <v>241.2</v>
      </c>
      <c r="J87" s="3"/>
      <c r="K87" s="3">
        <v>266.5</v>
      </c>
      <c r="L87" s="3"/>
      <c r="M87" s="3">
        <v>245.1</v>
      </c>
      <c r="N87" s="3"/>
      <c r="O87" s="3">
        <v>253.2</v>
      </c>
      <c r="P87" s="3"/>
      <c r="Q87" s="3">
        <v>268.5</v>
      </c>
      <c r="R87" s="3"/>
      <c r="S87" s="3">
        <v>261.2</v>
      </c>
      <c r="T87" s="3"/>
      <c r="U87" s="3">
        <v>268.3</v>
      </c>
      <c r="V87" s="3"/>
      <c r="W87" s="3">
        <v>285</v>
      </c>
      <c r="X87" s="3"/>
      <c r="Y87" s="3">
        <v>294</v>
      </c>
      <c r="Z87" s="3"/>
      <c r="AA87" s="3">
        <v>259.2</v>
      </c>
      <c r="AB87" s="3"/>
      <c r="AC87" s="3">
        <v>412.85</v>
      </c>
      <c r="AD87" s="3"/>
      <c r="AE87" s="3">
        <v>422.81</v>
      </c>
      <c r="AF87" s="3"/>
      <c r="AG87" s="3">
        <v>416.88</v>
      </c>
      <c r="AH87" s="3"/>
    </row>
    <row r="88" spans="1:34">
      <c r="A88" t="s">
        <v>204</v>
      </c>
      <c r="B88" t="s">
        <v>205</v>
      </c>
      <c r="C88" s="3">
        <v>54.4</v>
      </c>
      <c r="D88" s="3"/>
      <c r="E88" s="3">
        <v>52.1</v>
      </c>
      <c r="F88" s="3" t="s">
        <v>847</v>
      </c>
      <c r="G88" s="3">
        <v>65.900000000000006</v>
      </c>
      <c r="H88" s="3"/>
      <c r="I88" s="3">
        <v>70.599999999999994</v>
      </c>
      <c r="J88" s="3"/>
      <c r="K88" s="3">
        <v>73.3</v>
      </c>
      <c r="L88" s="3"/>
      <c r="M88" s="3">
        <v>74.5</v>
      </c>
      <c r="N88" s="3"/>
      <c r="O88" s="3">
        <v>82.6</v>
      </c>
      <c r="P88" s="3"/>
      <c r="Q88" s="3">
        <v>94</v>
      </c>
      <c r="R88" s="3"/>
      <c r="S88" s="3">
        <v>102</v>
      </c>
      <c r="T88" s="3"/>
      <c r="U88" s="3">
        <v>113.4</v>
      </c>
      <c r="V88" s="3"/>
      <c r="W88" s="3">
        <v>102.6</v>
      </c>
      <c r="X88" s="3"/>
      <c r="Y88" s="3">
        <v>96</v>
      </c>
      <c r="Z88" s="3"/>
      <c r="AA88" s="3">
        <v>72.7</v>
      </c>
      <c r="AB88" s="3"/>
      <c r="AC88" s="3">
        <v>71.77</v>
      </c>
      <c r="AD88" s="3"/>
      <c r="AE88" s="3">
        <v>72.97</v>
      </c>
      <c r="AF88" s="3"/>
      <c r="AG88" s="3">
        <v>82.46</v>
      </c>
      <c r="AH88" s="3"/>
    </row>
    <row r="89" spans="1:34">
      <c r="A89" t="s">
        <v>206</v>
      </c>
      <c r="B89" t="s">
        <v>207</v>
      </c>
      <c r="C89" s="3">
        <v>995.1</v>
      </c>
      <c r="D89" s="3"/>
      <c r="E89" s="3">
        <v>911.5</v>
      </c>
      <c r="F89" s="3" t="s">
        <v>847</v>
      </c>
      <c r="G89" s="3">
        <v>940.5</v>
      </c>
      <c r="H89" s="3"/>
      <c r="I89" s="3">
        <v>1020.4</v>
      </c>
      <c r="J89" s="3"/>
      <c r="K89" s="3">
        <v>1056.7</v>
      </c>
      <c r="L89" s="3"/>
      <c r="M89" s="3">
        <v>1025.9000000000001</v>
      </c>
      <c r="N89" s="3"/>
      <c r="O89" s="3">
        <v>1047.2</v>
      </c>
      <c r="P89" s="3"/>
      <c r="Q89" s="3">
        <v>1107.2</v>
      </c>
      <c r="R89" s="3"/>
      <c r="S89" s="3">
        <v>1111.4000000000001</v>
      </c>
      <c r="T89" s="3"/>
      <c r="U89" s="3">
        <v>976</v>
      </c>
      <c r="V89" s="3"/>
      <c r="W89" s="3">
        <v>1009.5</v>
      </c>
      <c r="X89" s="3"/>
      <c r="Y89" s="3">
        <v>1028.3</v>
      </c>
      <c r="Z89" s="3"/>
      <c r="AA89" s="3">
        <v>931.2</v>
      </c>
      <c r="AB89" s="3"/>
      <c r="AC89" s="3">
        <v>1026.98</v>
      </c>
      <c r="AD89" s="3"/>
      <c r="AE89" s="3">
        <v>1107.8800000000001</v>
      </c>
      <c r="AF89" s="3"/>
      <c r="AG89" s="3">
        <v>1121.9100000000001</v>
      </c>
      <c r="AH89" s="3"/>
    </row>
    <row r="90" spans="1:34">
      <c r="A90" t="s">
        <v>208</v>
      </c>
      <c r="B90" t="s">
        <v>209</v>
      </c>
      <c r="C90" s="3">
        <v>1084.5</v>
      </c>
      <c r="D90" s="3"/>
      <c r="E90" s="3">
        <v>909.3</v>
      </c>
      <c r="F90" s="3" t="s">
        <v>847</v>
      </c>
      <c r="G90" s="3">
        <v>802.4</v>
      </c>
      <c r="H90" s="3"/>
      <c r="I90" s="3">
        <v>910</v>
      </c>
      <c r="J90" s="3"/>
      <c r="K90" s="3">
        <v>999</v>
      </c>
      <c r="L90" s="3"/>
      <c r="M90" s="3">
        <v>1063.4000000000001</v>
      </c>
      <c r="N90" s="3"/>
      <c r="O90" s="3">
        <v>1115.8</v>
      </c>
      <c r="P90" s="3"/>
      <c r="Q90" s="3">
        <v>1056.2</v>
      </c>
      <c r="R90" s="3"/>
      <c r="S90" s="3">
        <v>1080.0999999999999</v>
      </c>
      <c r="T90" s="3"/>
      <c r="U90" s="3">
        <v>1081.8</v>
      </c>
      <c r="V90" s="3"/>
      <c r="W90" s="3">
        <v>1076.5</v>
      </c>
      <c r="X90" s="3"/>
      <c r="Y90" s="3">
        <v>1030.7</v>
      </c>
      <c r="Z90" s="3"/>
      <c r="AA90" s="3">
        <v>940.5</v>
      </c>
      <c r="AB90" s="3"/>
      <c r="AC90" s="3">
        <v>1026.92</v>
      </c>
      <c r="AD90" s="3"/>
      <c r="AE90" s="3">
        <v>1025.18</v>
      </c>
      <c r="AF90" s="3"/>
      <c r="AG90" s="3">
        <v>1113.52</v>
      </c>
      <c r="AH90" s="3"/>
    </row>
    <row r="91" spans="1:34">
      <c r="A91" t="s">
        <v>210</v>
      </c>
      <c r="B91" t="s">
        <v>209</v>
      </c>
      <c r="C91" s="3">
        <v>1084.5</v>
      </c>
      <c r="D91" s="3"/>
      <c r="E91" s="3">
        <v>909.3</v>
      </c>
      <c r="F91" s="3" t="s">
        <v>847</v>
      </c>
      <c r="G91" s="3">
        <v>802.4</v>
      </c>
      <c r="H91" s="3"/>
      <c r="I91" s="3">
        <v>910</v>
      </c>
      <c r="J91" s="3"/>
      <c r="K91" s="3">
        <v>999</v>
      </c>
      <c r="L91" s="3"/>
      <c r="M91" s="3">
        <v>1063.4000000000001</v>
      </c>
      <c r="N91" s="3"/>
      <c r="O91" s="3">
        <v>1115.8</v>
      </c>
      <c r="P91" s="3"/>
      <c r="Q91" s="3">
        <v>1056.2</v>
      </c>
      <c r="R91" s="3"/>
      <c r="S91" s="3">
        <v>1080.0999999999999</v>
      </c>
      <c r="T91" s="3"/>
      <c r="U91" s="3">
        <v>1081.8</v>
      </c>
      <c r="V91" s="3"/>
      <c r="W91" s="3">
        <v>1076.5</v>
      </c>
      <c r="X91" s="3"/>
      <c r="Y91" s="3">
        <v>1030.7</v>
      </c>
      <c r="Z91" s="3"/>
      <c r="AA91" s="3">
        <v>940.5</v>
      </c>
      <c r="AB91" s="3"/>
      <c r="AC91" s="3">
        <v>1026.92</v>
      </c>
      <c r="AD91" s="3"/>
      <c r="AE91" s="3">
        <v>1025.18</v>
      </c>
      <c r="AF91" s="3"/>
      <c r="AG91" s="3">
        <v>1113.52</v>
      </c>
      <c r="AH91" s="3"/>
    </row>
    <row r="92" spans="1:34">
      <c r="A92" t="s">
        <v>211</v>
      </c>
      <c r="B92" t="s">
        <v>212</v>
      </c>
      <c r="C92" s="3">
        <v>819.2</v>
      </c>
      <c r="D92" s="3"/>
      <c r="E92" s="3">
        <v>797</v>
      </c>
      <c r="F92" s="3" t="s">
        <v>847</v>
      </c>
      <c r="G92" s="3">
        <v>1050</v>
      </c>
      <c r="H92" s="3"/>
      <c r="I92" s="3">
        <v>1172.8</v>
      </c>
      <c r="J92" s="3"/>
      <c r="K92" s="3">
        <v>1338</v>
      </c>
      <c r="L92" s="3"/>
      <c r="M92" s="3">
        <v>1520</v>
      </c>
      <c r="N92" s="3"/>
      <c r="O92" s="3">
        <v>1778.9</v>
      </c>
      <c r="P92" s="3"/>
      <c r="Q92" s="3">
        <v>1900.1</v>
      </c>
      <c r="R92" s="3"/>
      <c r="S92" s="3">
        <v>2009.1</v>
      </c>
      <c r="T92" s="3"/>
      <c r="U92" s="3">
        <v>2055.9</v>
      </c>
      <c r="V92" s="3"/>
      <c r="W92" s="3">
        <v>2164.1</v>
      </c>
      <c r="X92" s="3"/>
      <c r="Y92" s="3">
        <v>2241.9</v>
      </c>
      <c r="Z92" s="3"/>
      <c r="AA92" s="3">
        <v>2108.4</v>
      </c>
      <c r="AB92" s="3"/>
      <c r="AC92" s="3">
        <v>2194.1999999999998</v>
      </c>
      <c r="AD92" s="3"/>
      <c r="AE92" s="3">
        <v>2471.42</v>
      </c>
      <c r="AF92" s="3"/>
      <c r="AG92" s="3">
        <v>2724.88</v>
      </c>
      <c r="AH92" s="3"/>
    </row>
    <row r="93" spans="1:34">
      <c r="A93" t="s">
        <v>853</v>
      </c>
      <c r="B93" t="s">
        <v>854</v>
      </c>
      <c r="C93" s="3">
        <v>561.1</v>
      </c>
      <c r="D93" s="3"/>
      <c r="E93" s="3">
        <v>546.4</v>
      </c>
      <c r="F93" s="3" t="s">
        <v>847</v>
      </c>
      <c r="G93" s="3">
        <v>745.6</v>
      </c>
      <c r="H93" s="3"/>
      <c r="I93" s="3" t="s">
        <v>43</v>
      </c>
      <c r="J93" s="3"/>
      <c r="K93" s="3" t="s">
        <v>43</v>
      </c>
      <c r="L93" s="3"/>
      <c r="M93" s="3" t="s">
        <v>43</v>
      </c>
      <c r="N93" s="3"/>
      <c r="O93" s="3" t="s">
        <v>43</v>
      </c>
      <c r="P93" s="3"/>
      <c r="Q93" s="3" t="s">
        <v>43</v>
      </c>
      <c r="R93" s="3"/>
      <c r="S93" s="3" t="s">
        <v>43</v>
      </c>
      <c r="T93" s="3"/>
      <c r="U93" s="3" t="s">
        <v>43</v>
      </c>
      <c r="V93" s="3"/>
      <c r="W93" s="3" t="s">
        <v>43</v>
      </c>
      <c r="X93" s="3" t="s">
        <v>334</v>
      </c>
      <c r="Y93" s="3" t="s">
        <v>43</v>
      </c>
      <c r="Z93" s="3"/>
      <c r="AA93" s="3" t="s">
        <v>43</v>
      </c>
      <c r="AB93" s="3"/>
      <c r="AC93" s="3"/>
      <c r="AD93" s="3"/>
      <c r="AE93" s="3"/>
      <c r="AF93" s="3"/>
      <c r="AG93" s="3"/>
      <c r="AH93" s="3"/>
    </row>
    <row r="94" spans="1:34">
      <c r="A94" t="s">
        <v>213</v>
      </c>
      <c r="B94" t="s">
        <v>214</v>
      </c>
      <c r="C94" s="3">
        <v>65.2</v>
      </c>
      <c r="D94" s="3"/>
      <c r="E94" s="3">
        <v>57.9</v>
      </c>
      <c r="F94" s="3" t="s">
        <v>847</v>
      </c>
      <c r="G94" s="3">
        <v>81.2</v>
      </c>
      <c r="H94" s="3"/>
      <c r="I94" s="3">
        <v>92.4</v>
      </c>
      <c r="J94" s="3"/>
      <c r="K94" s="3">
        <v>101</v>
      </c>
      <c r="L94" s="3"/>
      <c r="M94" s="3">
        <v>103.6</v>
      </c>
      <c r="N94" s="3"/>
      <c r="O94" s="3">
        <v>113.2</v>
      </c>
      <c r="P94" s="3"/>
      <c r="Q94" s="3">
        <v>121.7</v>
      </c>
      <c r="R94" s="3"/>
      <c r="S94" s="3">
        <v>119.4</v>
      </c>
      <c r="T94" s="3"/>
      <c r="U94" s="3">
        <v>132.5</v>
      </c>
      <c r="V94" s="3"/>
      <c r="W94" s="3">
        <v>138.4</v>
      </c>
      <c r="X94" s="3"/>
      <c r="Y94" s="3">
        <v>159.30000000000001</v>
      </c>
      <c r="Z94" s="3"/>
      <c r="AA94" s="3">
        <v>167.5</v>
      </c>
      <c r="AB94" s="3"/>
      <c r="AC94" s="3">
        <v>180.98</v>
      </c>
      <c r="AD94" s="3"/>
      <c r="AE94" s="3">
        <v>197.31</v>
      </c>
      <c r="AF94" s="3"/>
      <c r="AG94" s="3">
        <v>232.36</v>
      </c>
      <c r="AH94" s="3"/>
    </row>
    <row r="95" spans="1:34">
      <c r="A95" t="s">
        <v>855</v>
      </c>
      <c r="B95" t="s">
        <v>856</v>
      </c>
      <c r="C95" s="3">
        <v>193</v>
      </c>
      <c r="D95" s="3"/>
      <c r="E95" s="3">
        <v>192.8</v>
      </c>
      <c r="F95" s="3" t="s">
        <v>847</v>
      </c>
      <c r="G95" s="3">
        <v>223.2</v>
      </c>
      <c r="H95" s="3"/>
      <c r="I95" s="3" t="s">
        <v>43</v>
      </c>
      <c r="J95" s="3"/>
      <c r="K95" s="3" t="s">
        <v>43</v>
      </c>
      <c r="L95" s="3"/>
      <c r="M95" s="3" t="s">
        <v>43</v>
      </c>
      <c r="N95" s="3"/>
      <c r="O95" s="3" t="s">
        <v>43</v>
      </c>
      <c r="P95" s="3"/>
      <c r="Q95" s="3" t="s">
        <v>43</v>
      </c>
      <c r="R95" s="3"/>
      <c r="S95" s="3" t="s">
        <v>43</v>
      </c>
      <c r="T95" s="3"/>
      <c r="U95" s="3" t="s">
        <v>43</v>
      </c>
      <c r="V95" s="3"/>
      <c r="W95" s="3" t="s">
        <v>43</v>
      </c>
      <c r="X95" s="3" t="s">
        <v>334</v>
      </c>
      <c r="Y95" s="3" t="s">
        <v>43</v>
      </c>
      <c r="Z95" s="3"/>
      <c r="AA95" s="3" t="s">
        <v>43</v>
      </c>
      <c r="AB95" s="3"/>
      <c r="AC95" s="3"/>
      <c r="AD95" s="3"/>
      <c r="AE95" s="3"/>
      <c r="AF95" s="3"/>
      <c r="AG95" s="3"/>
      <c r="AH95" s="3"/>
    </row>
    <row r="96" spans="1:34">
      <c r="A96" t="s">
        <v>215</v>
      </c>
      <c r="B96" t="s">
        <v>216</v>
      </c>
      <c r="C96" s="3" t="s">
        <v>43</v>
      </c>
      <c r="D96" s="3"/>
      <c r="E96" s="3" t="s">
        <v>43</v>
      </c>
      <c r="F96" s="3"/>
      <c r="G96" s="3" t="s">
        <v>43</v>
      </c>
      <c r="H96" s="3"/>
      <c r="I96" s="3">
        <v>842.1</v>
      </c>
      <c r="J96" s="3"/>
      <c r="K96" s="3">
        <v>949.4</v>
      </c>
      <c r="L96" s="3"/>
      <c r="M96" s="3">
        <v>1064.0999999999999</v>
      </c>
      <c r="N96" s="3"/>
      <c r="O96" s="3">
        <v>1195</v>
      </c>
      <c r="P96" s="3"/>
      <c r="Q96" s="3">
        <v>1187</v>
      </c>
      <c r="R96" s="3"/>
      <c r="S96" s="3">
        <v>1228.4000000000001</v>
      </c>
      <c r="T96" s="3"/>
      <c r="U96" s="3">
        <v>1210.8</v>
      </c>
      <c r="V96" s="3"/>
      <c r="W96" s="3">
        <v>1261.5999999999999</v>
      </c>
      <c r="X96" s="3"/>
      <c r="Y96" s="3">
        <v>1301.8</v>
      </c>
      <c r="Z96" s="3"/>
      <c r="AA96" s="3">
        <v>1213.2</v>
      </c>
      <c r="AB96" s="3"/>
      <c r="AC96" s="3">
        <v>1250.56</v>
      </c>
      <c r="AD96" s="3"/>
      <c r="AE96" s="3">
        <v>1432.53</v>
      </c>
      <c r="AF96" s="3"/>
      <c r="AG96" s="3">
        <v>1568.18</v>
      </c>
      <c r="AH96" s="3"/>
    </row>
    <row r="97" spans="1:34">
      <c r="A97" t="s">
        <v>217</v>
      </c>
      <c r="B97" t="s">
        <v>218</v>
      </c>
      <c r="C97" s="3" t="s">
        <v>43</v>
      </c>
      <c r="D97" s="3"/>
      <c r="E97" s="3" t="s">
        <v>43</v>
      </c>
      <c r="F97" s="3"/>
      <c r="G97" s="3" t="s">
        <v>43</v>
      </c>
      <c r="H97" s="3"/>
      <c r="I97" s="3">
        <v>238.4</v>
      </c>
      <c r="J97" s="3"/>
      <c r="K97" s="3">
        <v>287.5</v>
      </c>
      <c r="L97" s="3"/>
      <c r="M97" s="3">
        <v>352.3</v>
      </c>
      <c r="N97" s="3"/>
      <c r="O97" s="3">
        <v>470.8</v>
      </c>
      <c r="P97" s="3"/>
      <c r="Q97" s="3">
        <v>591.4</v>
      </c>
      <c r="R97" s="3"/>
      <c r="S97" s="3">
        <v>661.3</v>
      </c>
      <c r="T97" s="3"/>
      <c r="U97" s="3">
        <v>712.7</v>
      </c>
      <c r="V97" s="3"/>
      <c r="W97" s="3">
        <v>764</v>
      </c>
      <c r="X97" s="3"/>
      <c r="Y97" s="3">
        <v>780.7</v>
      </c>
      <c r="Z97" s="3"/>
      <c r="AA97" s="3">
        <v>727.7</v>
      </c>
      <c r="AB97" s="3"/>
      <c r="AC97" s="3">
        <v>762.66</v>
      </c>
      <c r="AD97" s="3"/>
      <c r="AE97" s="3">
        <v>841.57</v>
      </c>
      <c r="AF97" s="3"/>
      <c r="AG97" s="3">
        <v>924.34</v>
      </c>
      <c r="AH97" s="3"/>
    </row>
    <row r="98" spans="1:34">
      <c r="A98" t="s">
        <v>219</v>
      </c>
      <c r="B98" t="s">
        <v>220</v>
      </c>
      <c r="C98" s="3">
        <v>72.099999999999994</v>
      </c>
      <c r="D98" s="3"/>
      <c r="E98" s="3" t="s">
        <v>43</v>
      </c>
      <c r="F98" s="3" t="s">
        <v>852</v>
      </c>
      <c r="G98" s="3">
        <v>79.400000000000006</v>
      </c>
      <c r="H98" s="3"/>
      <c r="I98" s="3">
        <v>121.8</v>
      </c>
      <c r="J98" s="3"/>
      <c r="K98" s="3">
        <v>128.9</v>
      </c>
      <c r="L98" s="3"/>
      <c r="M98" s="3">
        <v>137</v>
      </c>
      <c r="N98" s="3"/>
      <c r="O98" s="3">
        <v>113.9</v>
      </c>
      <c r="P98" s="3"/>
      <c r="Q98" s="3">
        <v>116.8</v>
      </c>
      <c r="R98" s="3"/>
      <c r="S98" s="3">
        <v>126.5</v>
      </c>
      <c r="T98" s="3"/>
      <c r="U98" s="3">
        <v>137.69999999999999</v>
      </c>
      <c r="V98" s="3"/>
      <c r="W98" s="3">
        <v>151.5</v>
      </c>
      <c r="X98" s="3"/>
      <c r="Y98" s="3">
        <v>167.6</v>
      </c>
      <c r="Z98" s="3"/>
      <c r="AA98" s="3">
        <v>169.5</v>
      </c>
      <c r="AB98" s="3"/>
      <c r="AC98" s="3">
        <v>180.98</v>
      </c>
      <c r="AD98" s="3"/>
      <c r="AE98" s="3">
        <v>175.34</v>
      </c>
      <c r="AF98" s="3"/>
      <c r="AG98" s="3">
        <v>208.07</v>
      </c>
      <c r="AH98" s="3"/>
    </row>
    <row r="99" spans="1:34">
      <c r="A99" t="s">
        <v>221</v>
      </c>
      <c r="B99" t="s">
        <v>220</v>
      </c>
      <c r="C99" s="3">
        <v>72.099999999999994</v>
      </c>
      <c r="D99" s="3"/>
      <c r="E99" s="3" t="s">
        <v>43</v>
      </c>
      <c r="F99" s="3" t="s">
        <v>852</v>
      </c>
      <c r="G99" s="3">
        <v>79.400000000000006</v>
      </c>
      <c r="H99" s="3"/>
      <c r="I99" s="3">
        <v>121.8</v>
      </c>
      <c r="J99" s="3"/>
      <c r="K99" s="3">
        <v>128.9</v>
      </c>
      <c r="L99" s="3"/>
      <c r="M99" s="3">
        <v>137</v>
      </c>
      <c r="N99" s="3"/>
      <c r="O99" s="3">
        <v>113.9</v>
      </c>
      <c r="P99" s="3"/>
      <c r="Q99" s="3">
        <v>116.8</v>
      </c>
      <c r="R99" s="3"/>
      <c r="S99" s="3">
        <v>126.5</v>
      </c>
      <c r="T99" s="3"/>
      <c r="U99" s="3">
        <v>137.69999999999999</v>
      </c>
      <c r="V99" s="3"/>
      <c r="W99" s="3">
        <v>151.5</v>
      </c>
      <c r="X99" s="3"/>
      <c r="Y99" s="3">
        <v>167.6</v>
      </c>
      <c r="Z99" s="3"/>
      <c r="AA99" s="3">
        <v>169.5</v>
      </c>
      <c r="AB99" s="3"/>
      <c r="AC99" s="3">
        <v>180.98</v>
      </c>
      <c r="AD99" s="3"/>
      <c r="AE99" s="3">
        <v>175.34</v>
      </c>
      <c r="AF99" s="3"/>
      <c r="AG99" s="3">
        <v>208.07</v>
      </c>
      <c r="AH99" s="3"/>
    </row>
    <row r="100" spans="1:34">
      <c r="A100" t="s">
        <v>222</v>
      </c>
      <c r="B100" t="s">
        <v>223</v>
      </c>
      <c r="C100" s="3">
        <v>178.6</v>
      </c>
      <c r="D100" s="3"/>
      <c r="E100" s="3">
        <v>166.4</v>
      </c>
      <c r="F100" s="3" t="s">
        <v>847</v>
      </c>
      <c r="G100" s="3">
        <v>197.6</v>
      </c>
      <c r="H100" s="3"/>
      <c r="I100" s="3">
        <v>204.6</v>
      </c>
      <c r="J100" s="3"/>
      <c r="K100" s="3">
        <v>206.6</v>
      </c>
      <c r="L100" s="3"/>
      <c r="M100" s="3">
        <v>215.8</v>
      </c>
      <c r="N100" s="3"/>
      <c r="O100" s="3">
        <v>237.4</v>
      </c>
      <c r="P100" s="3"/>
      <c r="Q100" s="3">
        <v>232.6</v>
      </c>
      <c r="R100" s="3"/>
      <c r="S100" s="3">
        <v>215.6</v>
      </c>
      <c r="T100" s="3"/>
      <c r="U100" s="3">
        <v>235.5</v>
      </c>
      <c r="V100" s="3"/>
      <c r="W100" s="3">
        <v>246.3</v>
      </c>
      <c r="X100" s="3"/>
      <c r="Y100" s="3">
        <v>243.3</v>
      </c>
      <c r="Z100" s="3"/>
      <c r="AA100" s="3">
        <v>227.5</v>
      </c>
      <c r="AB100" s="3"/>
      <c r="AC100" s="3">
        <v>218.27</v>
      </c>
      <c r="AD100" s="3"/>
      <c r="AE100" s="3" t="s">
        <v>43</v>
      </c>
      <c r="AF100" s="3" t="s">
        <v>44</v>
      </c>
      <c r="AG100" s="3">
        <v>168.97</v>
      </c>
      <c r="AH100" s="3"/>
    </row>
    <row r="101" spans="1:34">
      <c r="A101" t="s">
        <v>224</v>
      </c>
      <c r="B101" t="s">
        <v>223</v>
      </c>
      <c r="C101" s="3">
        <v>178.6</v>
      </c>
      <c r="D101" s="3"/>
      <c r="E101" s="3">
        <v>166.4</v>
      </c>
      <c r="F101" s="3" t="s">
        <v>847</v>
      </c>
      <c r="G101" s="3">
        <v>197.6</v>
      </c>
      <c r="H101" s="3"/>
      <c r="I101" s="3">
        <v>204.6</v>
      </c>
      <c r="J101" s="3"/>
      <c r="K101" s="3">
        <v>206.6</v>
      </c>
      <c r="L101" s="3"/>
      <c r="M101" s="3">
        <v>215.8</v>
      </c>
      <c r="N101" s="3"/>
      <c r="O101" s="3">
        <v>237.4</v>
      </c>
      <c r="P101" s="3"/>
      <c r="Q101" s="3">
        <v>232.6</v>
      </c>
      <c r="R101" s="3"/>
      <c r="S101" s="3">
        <v>215.6</v>
      </c>
      <c r="T101" s="3"/>
      <c r="U101" s="3">
        <v>235.5</v>
      </c>
      <c r="V101" s="3"/>
      <c r="W101" s="3">
        <v>246.3</v>
      </c>
      <c r="X101" s="3"/>
      <c r="Y101" s="3">
        <v>243.3</v>
      </c>
      <c r="Z101" s="3"/>
      <c r="AA101" s="3">
        <v>227.5</v>
      </c>
      <c r="AB101" s="3"/>
      <c r="AC101" s="3">
        <v>218.27</v>
      </c>
      <c r="AD101" s="3"/>
      <c r="AE101" s="3" t="s">
        <v>43</v>
      </c>
      <c r="AF101" s="3" t="s">
        <v>44</v>
      </c>
      <c r="AG101" s="3">
        <v>168.97</v>
      </c>
      <c r="AH101" s="3"/>
    </row>
    <row r="102" spans="1:34">
      <c r="A102" t="s">
        <v>225</v>
      </c>
      <c r="B102" t="s">
        <v>226</v>
      </c>
      <c r="C102" s="3">
        <v>445.6</v>
      </c>
      <c r="D102" s="3"/>
      <c r="E102" s="3">
        <v>396.5</v>
      </c>
      <c r="F102" s="3" t="s">
        <v>847</v>
      </c>
      <c r="G102" s="3">
        <v>520.70000000000005</v>
      </c>
      <c r="H102" s="3"/>
      <c r="I102" s="3">
        <v>560.70000000000005</v>
      </c>
      <c r="J102" s="3"/>
      <c r="K102" s="3">
        <v>573.70000000000005</v>
      </c>
      <c r="L102" s="3"/>
      <c r="M102" s="3">
        <v>619.6</v>
      </c>
      <c r="N102" s="3"/>
      <c r="O102" s="3">
        <v>682.7</v>
      </c>
      <c r="P102" s="3"/>
      <c r="Q102" s="3">
        <v>745.7</v>
      </c>
      <c r="R102" s="3"/>
      <c r="S102" s="3">
        <v>770.9</v>
      </c>
      <c r="T102" s="3"/>
      <c r="U102" s="3">
        <v>789.6</v>
      </c>
      <c r="V102" s="3"/>
      <c r="W102" s="3">
        <v>826.2</v>
      </c>
      <c r="X102" s="3"/>
      <c r="Y102" s="3">
        <v>815.4</v>
      </c>
      <c r="Z102" s="3"/>
      <c r="AA102" s="3">
        <v>701</v>
      </c>
      <c r="AB102" s="3"/>
      <c r="AC102" s="3">
        <v>749.88</v>
      </c>
      <c r="AD102" s="3"/>
      <c r="AE102" s="3">
        <v>684.01</v>
      </c>
      <c r="AF102" s="3"/>
      <c r="AG102" s="3">
        <v>728.48</v>
      </c>
      <c r="AH102" s="3"/>
    </row>
    <row r="103" spans="1:34">
      <c r="A103" t="s">
        <v>227</v>
      </c>
      <c r="B103" t="s">
        <v>226</v>
      </c>
      <c r="C103" s="3">
        <v>445.6</v>
      </c>
      <c r="D103" s="3"/>
      <c r="E103" s="3">
        <v>396.5</v>
      </c>
      <c r="F103" s="3" t="s">
        <v>847</v>
      </c>
      <c r="G103" s="3">
        <v>520.70000000000005</v>
      </c>
      <c r="H103" s="3"/>
      <c r="I103" s="3">
        <v>560.70000000000005</v>
      </c>
      <c r="J103" s="3"/>
      <c r="K103" s="3">
        <v>573.70000000000005</v>
      </c>
      <c r="L103" s="3"/>
      <c r="M103" s="3">
        <v>619.6</v>
      </c>
      <c r="N103" s="3"/>
      <c r="O103" s="3">
        <v>682.7</v>
      </c>
      <c r="P103" s="3"/>
      <c r="Q103" s="3">
        <v>745.7</v>
      </c>
      <c r="R103" s="3"/>
      <c r="S103" s="3">
        <v>770.9</v>
      </c>
      <c r="T103" s="3"/>
      <c r="U103" s="3">
        <v>789.6</v>
      </c>
      <c r="V103" s="3"/>
      <c r="W103" s="3">
        <v>826.2</v>
      </c>
      <c r="X103" s="3"/>
      <c r="Y103" s="3">
        <v>815.4</v>
      </c>
      <c r="Z103" s="3"/>
      <c r="AA103" s="3">
        <v>701</v>
      </c>
      <c r="AB103" s="3"/>
      <c r="AC103" s="3">
        <v>749.88</v>
      </c>
      <c r="AD103" s="3"/>
      <c r="AE103" s="3">
        <v>684.01</v>
      </c>
      <c r="AF103" s="3"/>
      <c r="AG103" s="3">
        <v>728.48</v>
      </c>
      <c r="AH103" s="3"/>
    </row>
    <row r="104" spans="1:34">
      <c r="A104" t="s">
        <v>228</v>
      </c>
      <c r="B104" t="s">
        <v>229</v>
      </c>
      <c r="C104" s="3">
        <v>39.1</v>
      </c>
      <c r="D104" s="3"/>
      <c r="E104" s="3">
        <v>25.9</v>
      </c>
      <c r="F104" s="3"/>
      <c r="G104" s="3">
        <v>29.4</v>
      </c>
      <c r="H104" s="3"/>
      <c r="I104" s="3">
        <v>35</v>
      </c>
      <c r="J104" s="3"/>
      <c r="K104" s="3">
        <v>37.1</v>
      </c>
      <c r="L104" s="3"/>
      <c r="M104" s="3">
        <v>39.700000000000003</v>
      </c>
      <c r="N104" s="3"/>
      <c r="O104" s="3">
        <v>42.4</v>
      </c>
      <c r="P104" s="3"/>
      <c r="Q104" s="3">
        <v>42.5</v>
      </c>
      <c r="R104" s="3"/>
      <c r="S104" s="3">
        <v>41.7</v>
      </c>
      <c r="T104" s="3"/>
      <c r="U104" s="3">
        <v>44</v>
      </c>
      <c r="V104" s="3"/>
      <c r="W104" s="3">
        <v>46.3</v>
      </c>
      <c r="X104" s="3" t="s">
        <v>334</v>
      </c>
      <c r="Y104" s="3">
        <v>51.1</v>
      </c>
      <c r="Z104" s="3"/>
      <c r="AA104" s="3">
        <v>55.8</v>
      </c>
      <c r="AB104" s="3"/>
      <c r="AC104" s="3">
        <v>66.25</v>
      </c>
      <c r="AD104" s="3"/>
      <c r="AE104" s="3">
        <v>72.900000000000006</v>
      </c>
      <c r="AF104" s="3"/>
      <c r="AG104" s="3">
        <v>80.349999999999994</v>
      </c>
      <c r="AH104" s="3"/>
    </row>
    <row r="105" spans="1:34">
      <c r="A105" t="s">
        <v>230</v>
      </c>
      <c r="B105" t="s">
        <v>231</v>
      </c>
      <c r="C105" s="3">
        <v>39.1</v>
      </c>
      <c r="D105" s="3"/>
      <c r="E105" s="3">
        <v>25.9</v>
      </c>
      <c r="F105" s="3"/>
      <c r="G105" s="3">
        <v>29.4</v>
      </c>
      <c r="H105" s="3"/>
      <c r="I105" s="3">
        <v>35</v>
      </c>
      <c r="J105" s="3"/>
      <c r="K105" s="3">
        <v>37.1</v>
      </c>
      <c r="L105" s="3"/>
      <c r="M105" s="3">
        <v>39.700000000000003</v>
      </c>
      <c r="N105" s="3"/>
      <c r="O105" s="3">
        <v>42.4</v>
      </c>
      <c r="P105" s="3"/>
      <c r="Q105" s="3">
        <v>42.5</v>
      </c>
      <c r="R105" s="3"/>
      <c r="S105" s="3">
        <v>41.7</v>
      </c>
      <c r="T105" s="3"/>
      <c r="U105" s="3">
        <v>44</v>
      </c>
      <c r="V105" s="3"/>
      <c r="W105" s="3">
        <v>46.3</v>
      </c>
      <c r="X105" s="3" t="s">
        <v>334</v>
      </c>
      <c r="Y105" s="3">
        <v>51.1</v>
      </c>
      <c r="Z105" s="3"/>
      <c r="AA105" s="3">
        <v>55.8</v>
      </c>
      <c r="AB105" s="3"/>
      <c r="AC105" s="3">
        <v>66.25</v>
      </c>
      <c r="AD105" s="3"/>
      <c r="AE105" s="3">
        <v>72.900000000000006</v>
      </c>
      <c r="AF105" s="3"/>
      <c r="AG105" s="3">
        <v>80.349999999999994</v>
      </c>
      <c r="AH105" s="3"/>
    </row>
    <row r="106" spans="1:34">
      <c r="A106" t="s">
        <v>232</v>
      </c>
      <c r="B106" t="s">
        <v>231</v>
      </c>
      <c r="C106" s="3">
        <v>39.1</v>
      </c>
      <c r="D106" s="3"/>
      <c r="E106" s="3">
        <v>25.9</v>
      </c>
      <c r="F106" s="3"/>
      <c r="G106" s="3">
        <v>29.4</v>
      </c>
      <c r="H106" s="3"/>
      <c r="I106" s="3">
        <v>35</v>
      </c>
      <c r="J106" s="3"/>
      <c r="K106" s="3">
        <v>37.1</v>
      </c>
      <c r="L106" s="3"/>
      <c r="M106" s="3">
        <v>39.700000000000003</v>
      </c>
      <c r="N106" s="3"/>
      <c r="O106" s="3">
        <v>42.4</v>
      </c>
      <c r="P106" s="3"/>
      <c r="Q106" s="3">
        <v>42.5</v>
      </c>
      <c r="R106" s="3"/>
      <c r="S106" s="3">
        <v>41.7</v>
      </c>
      <c r="T106" s="3"/>
      <c r="U106" s="3">
        <v>44</v>
      </c>
      <c r="V106" s="3"/>
      <c r="W106" s="3">
        <v>46.3</v>
      </c>
      <c r="X106" s="3" t="s">
        <v>334</v>
      </c>
      <c r="Y106" s="3">
        <v>51.1</v>
      </c>
      <c r="Z106" s="3"/>
      <c r="AA106" s="3">
        <v>55.8</v>
      </c>
      <c r="AB106" s="3"/>
      <c r="AC106" s="3">
        <v>66.25</v>
      </c>
      <c r="AD106" s="3"/>
      <c r="AE106" s="3">
        <v>72.900000000000006</v>
      </c>
      <c r="AF106" s="3"/>
      <c r="AG106" s="3">
        <v>80.349999999999994</v>
      </c>
      <c r="AH106" s="3"/>
    </row>
    <row r="107" spans="1:34">
      <c r="A107" t="s">
        <v>235</v>
      </c>
      <c r="B107" t="s">
        <v>236</v>
      </c>
      <c r="C107" s="3" t="s">
        <v>43</v>
      </c>
      <c r="D107" s="3" t="s">
        <v>44</v>
      </c>
      <c r="E107" s="3">
        <v>95.3</v>
      </c>
      <c r="F107" s="3"/>
      <c r="G107" s="3">
        <v>74.8</v>
      </c>
      <c r="H107" s="3"/>
      <c r="I107" s="3">
        <v>89.2</v>
      </c>
      <c r="J107" s="3"/>
      <c r="K107" s="3">
        <v>91.9</v>
      </c>
      <c r="L107" s="3"/>
      <c r="M107" s="3" t="s">
        <v>43</v>
      </c>
      <c r="N107" s="3" t="s">
        <v>44</v>
      </c>
      <c r="O107" s="3" t="s">
        <v>43</v>
      </c>
      <c r="P107" s="3" t="s">
        <v>44</v>
      </c>
      <c r="Q107" s="3">
        <v>106.9</v>
      </c>
      <c r="R107" s="3"/>
      <c r="S107" s="3">
        <v>116.1</v>
      </c>
      <c r="T107" s="3"/>
      <c r="U107" s="3">
        <v>113.8</v>
      </c>
      <c r="V107" s="3"/>
      <c r="W107" s="3">
        <v>117.9</v>
      </c>
      <c r="X107" s="3"/>
      <c r="Y107" s="3">
        <v>147.30000000000001</v>
      </c>
      <c r="Z107" s="3"/>
      <c r="AA107" s="3">
        <v>125.2</v>
      </c>
      <c r="AB107" s="3"/>
      <c r="AC107" s="3">
        <v>126.66</v>
      </c>
      <c r="AD107" s="3"/>
      <c r="AE107" s="3" t="s">
        <v>43</v>
      </c>
      <c r="AF107" s="3" t="s">
        <v>44</v>
      </c>
      <c r="AG107" s="3" t="s">
        <v>43</v>
      </c>
      <c r="AH107" s="3" t="s">
        <v>44</v>
      </c>
    </row>
    <row r="108" spans="1:34">
      <c r="A108" t="s">
        <v>857</v>
      </c>
      <c r="B108" t="s">
        <v>236</v>
      </c>
      <c r="C108" s="3" t="s">
        <v>43</v>
      </c>
      <c r="D108" s="3" t="s">
        <v>44</v>
      </c>
      <c r="E108" s="3">
        <v>95.3</v>
      </c>
      <c r="F108" s="3"/>
      <c r="G108" s="3">
        <v>74.8</v>
      </c>
      <c r="H108" s="3"/>
      <c r="I108" s="3">
        <v>89.2</v>
      </c>
      <c r="J108" s="3"/>
      <c r="K108" s="3">
        <v>91.9</v>
      </c>
      <c r="L108" s="3"/>
      <c r="M108" s="3" t="s">
        <v>43</v>
      </c>
      <c r="N108" s="3" t="s">
        <v>44</v>
      </c>
      <c r="O108" s="3" t="s">
        <v>43</v>
      </c>
      <c r="P108" s="3" t="s">
        <v>44</v>
      </c>
      <c r="Q108" s="3">
        <v>106.9</v>
      </c>
      <c r="R108" s="3"/>
      <c r="S108" s="3">
        <v>116.1</v>
      </c>
      <c r="T108" s="3"/>
      <c r="U108" s="3">
        <v>113.8</v>
      </c>
      <c r="V108" s="3"/>
      <c r="W108" s="3">
        <v>117.9</v>
      </c>
      <c r="X108" s="3"/>
      <c r="Y108" s="3" t="s">
        <v>43</v>
      </c>
      <c r="Z108" s="3"/>
      <c r="AA108" s="3" t="s">
        <v>43</v>
      </c>
      <c r="AB108" s="3"/>
      <c r="AC108" s="3"/>
      <c r="AD108" s="3"/>
      <c r="AE108" s="3"/>
      <c r="AF108" s="3"/>
      <c r="AG108" s="3"/>
      <c r="AH108" s="3"/>
    </row>
    <row r="109" spans="1:34">
      <c r="A109" t="s">
        <v>237</v>
      </c>
      <c r="B109" t="s">
        <v>238</v>
      </c>
      <c r="C109" s="3" t="s">
        <v>43</v>
      </c>
      <c r="D109" s="3"/>
      <c r="E109" s="3" t="s">
        <v>43</v>
      </c>
      <c r="F109" s="3"/>
      <c r="G109" s="3" t="s">
        <v>43</v>
      </c>
      <c r="H109" s="3"/>
      <c r="I109" s="3" t="s">
        <v>43</v>
      </c>
      <c r="J109" s="3"/>
      <c r="K109" s="3" t="s">
        <v>43</v>
      </c>
      <c r="L109" s="3"/>
      <c r="M109" s="3" t="s">
        <v>43</v>
      </c>
      <c r="N109" s="3"/>
      <c r="O109" s="3" t="s">
        <v>43</v>
      </c>
      <c r="P109" s="3"/>
      <c r="Q109" s="3" t="s">
        <v>43</v>
      </c>
      <c r="R109" s="3"/>
      <c r="S109" s="3" t="s">
        <v>43</v>
      </c>
      <c r="T109" s="3" t="s">
        <v>44</v>
      </c>
      <c r="U109" s="3">
        <v>9.3000000000000007</v>
      </c>
      <c r="V109" s="3"/>
      <c r="W109" s="3" t="s">
        <v>43</v>
      </c>
      <c r="X109" s="3" t="s">
        <v>44</v>
      </c>
      <c r="Y109" s="3" t="s">
        <v>43</v>
      </c>
      <c r="Z109" s="3" t="s">
        <v>44</v>
      </c>
      <c r="AA109" s="3">
        <v>9.1</v>
      </c>
      <c r="AB109" s="3"/>
      <c r="AC109" s="3" t="s">
        <v>43</v>
      </c>
      <c r="AD109" s="3" t="s">
        <v>44</v>
      </c>
      <c r="AE109" s="3">
        <v>14.34</v>
      </c>
      <c r="AF109" s="3"/>
      <c r="AG109" s="3">
        <v>14.58</v>
      </c>
      <c r="AH109" s="3"/>
    </row>
    <row r="110" spans="1:34">
      <c r="A110" t="s">
        <v>239</v>
      </c>
      <c r="B110" t="s">
        <v>240</v>
      </c>
      <c r="C110" s="3" t="s">
        <v>43</v>
      </c>
      <c r="D110" s="3"/>
      <c r="E110" s="3" t="s">
        <v>43</v>
      </c>
      <c r="F110" s="3"/>
      <c r="G110" s="3" t="s">
        <v>43</v>
      </c>
      <c r="H110" s="3"/>
      <c r="I110" s="3" t="s">
        <v>43</v>
      </c>
      <c r="J110" s="3"/>
      <c r="K110" s="3" t="s">
        <v>43</v>
      </c>
      <c r="L110" s="3"/>
      <c r="M110" s="3" t="s">
        <v>43</v>
      </c>
      <c r="N110" s="3"/>
      <c r="O110" s="3" t="s">
        <v>43</v>
      </c>
      <c r="P110" s="3"/>
      <c r="Q110" s="3" t="s">
        <v>43</v>
      </c>
      <c r="R110" s="3"/>
      <c r="S110" s="3" t="s">
        <v>43</v>
      </c>
      <c r="T110" s="3" t="s">
        <v>44</v>
      </c>
      <c r="U110" s="3">
        <v>56.8</v>
      </c>
      <c r="V110" s="3"/>
      <c r="W110" s="3" t="s">
        <v>43</v>
      </c>
      <c r="X110" s="3" t="s">
        <v>44</v>
      </c>
      <c r="Y110" s="3" t="s">
        <v>43</v>
      </c>
      <c r="Z110" s="3" t="s">
        <v>44</v>
      </c>
      <c r="AA110" s="3">
        <v>76.099999999999994</v>
      </c>
      <c r="AB110" s="3"/>
      <c r="AC110" s="3" t="s">
        <v>43</v>
      </c>
      <c r="AD110" s="3" t="s">
        <v>44</v>
      </c>
      <c r="AE110" s="3">
        <v>64.67</v>
      </c>
      <c r="AF110" s="3"/>
      <c r="AG110" s="3">
        <v>66.64</v>
      </c>
      <c r="AH110" s="3"/>
    </row>
    <row r="111" spans="1:34">
      <c r="A111" t="s">
        <v>241</v>
      </c>
      <c r="B111" t="s">
        <v>242</v>
      </c>
      <c r="C111" s="3" t="s">
        <v>43</v>
      </c>
      <c r="D111" s="3"/>
      <c r="E111" s="3" t="s">
        <v>43</v>
      </c>
      <c r="F111" s="3"/>
      <c r="G111" s="3" t="s">
        <v>43</v>
      </c>
      <c r="H111" s="3"/>
      <c r="I111" s="3" t="s">
        <v>43</v>
      </c>
      <c r="J111" s="3"/>
      <c r="K111" s="3" t="s">
        <v>43</v>
      </c>
      <c r="L111" s="3"/>
      <c r="M111" s="3" t="s">
        <v>43</v>
      </c>
      <c r="N111" s="3"/>
      <c r="O111" s="3" t="s">
        <v>43</v>
      </c>
      <c r="P111" s="3"/>
      <c r="Q111" s="3" t="s">
        <v>43</v>
      </c>
      <c r="R111" s="3"/>
      <c r="S111" s="3">
        <v>42.8</v>
      </c>
      <c r="T111" s="3"/>
      <c r="U111" s="3">
        <v>47.1</v>
      </c>
      <c r="V111" s="3"/>
      <c r="W111" s="3">
        <v>45.7</v>
      </c>
      <c r="X111" s="3"/>
      <c r="Y111" s="3">
        <v>53.6</v>
      </c>
      <c r="Z111" s="3"/>
      <c r="AA111" s="3">
        <v>39.4</v>
      </c>
      <c r="AB111" s="3"/>
      <c r="AC111" s="3">
        <v>34.450000000000003</v>
      </c>
      <c r="AD111" s="3"/>
      <c r="AE111" s="3">
        <v>42.28</v>
      </c>
      <c r="AF111" s="3"/>
      <c r="AG111" s="3">
        <v>55.5</v>
      </c>
      <c r="AH111" s="3"/>
    </row>
    <row r="112" spans="1:34">
      <c r="A112" t="s">
        <v>858</v>
      </c>
      <c r="B112" t="s">
        <v>859</v>
      </c>
      <c r="C112" s="3" t="s">
        <v>43</v>
      </c>
      <c r="D112" s="3" t="s">
        <v>44</v>
      </c>
      <c r="E112" s="3">
        <v>22</v>
      </c>
      <c r="F112" s="3"/>
      <c r="G112" s="3">
        <v>19.7</v>
      </c>
      <c r="H112" s="3"/>
      <c r="I112" s="3">
        <v>26.3</v>
      </c>
      <c r="J112" s="3"/>
      <c r="K112" s="3">
        <v>28.1</v>
      </c>
      <c r="L112" s="3"/>
      <c r="M112" s="3" t="s">
        <v>43</v>
      </c>
      <c r="N112" s="3" t="s">
        <v>44</v>
      </c>
      <c r="O112" s="3" t="s">
        <v>43</v>
      </c>
      <c r="P112" s="3" t="s">
        <v>44</v>
      </c>
      <c r="Q112" s="3">
        <v>35.299999999999997</v>
      </c>
      <c r="R112" s="3"/>
      <c r="S112" s="3" t="s">
        <v>43</v>
      </c>
      <c r="T112" s="3"/>
      <c r="U112" s="3" t="s">
        <v>43</v>
      </c>
      <c r="V112" s="3"/>
      <c r="W112" s="3" t="s">
        <v>43</v>
      </c>
      <c r="X112" s="3"/>
      <c r="Y112" s="3" t="s">
        <v>43</v>
      </c>
      <c r="Z112" s="3"/>
      <c r="AA112" s="3" t="s">
        <v>43</v>
      </c>
      <c r="AB112" s="3"/>
      <c r="AC112" s="3"/>
      <c r="AD112" s="3"/>
      <c r="AE112" s="3"/>
      <c r="AF112" s="3"/>
      <c r="AG112" s="3"/>
      <c r="AH112" s="3"/>
    </row>
    <row r="113" spans="1:34">
      <c r="A113" t="s">
        <v>860</v>
      </c>
      <c r="B113" t="s">
        <v>861</v>
      </c>
      <c r="C113" s="3" t="s">
        <v>43</v>
      </c>
      <c r="D113" s="3" t="s">
        <v>44</v>
      </c>
      <c r="E113" s="3">
        <v>73.3</v>
      </c>
      <c r="F113" s="3"/>
      <c r="G113" s="3">
        <v>55.1</v>
      </c>
      <c r="H113" s="3"/>
      <c r="I113" s="3">
        <v>62.9</v>
      </c>
      <c r="J113" s="3"/>
      <c r="K113" s="3">
        <v>63.7</v>
      </c>
      <c r="L113" s="3"/>
      <c r="M113" s="3" t="s">
        <v>43</v>
      </c>
      <c r="N113" s="3" t="s">
        <v>44</v>
      </c>
      <c r="O113" s="3" t="s">
        <v>43</v>
      </c>
      <c r="P113" s="3" t="s">
        <v>44</v>
      </c>
      <c r="Q113" s="3">
        <v>71.3</v>
      </c>
      <c r="R113" s="3"/>
      <c r="S113" s="3" t="s">
        <v>43</v>
      </c>
      <c r="T113" s="3"/>
      <c r="U113" s="3" t="s">
        <v>43</v>
      </c>
      <c r="V113" s="3"/>
      <c r="W113" s="3" t="s">
        <v>43</v>
      </c>
      <c r="X113" s="3"/>
      <c r="Y113" s="3" t="s">
        <v>43</v>
      </c>
      <c r="Z113" s="3"/>
      <c r="AA113" s="3" t="s">
        <v>43</v>
      </c>
      <c r="AB113" s="3"/>
      <c r="AC113" s="3"/>
      <c r="AD113" s="3"/>
      <c r="AE113" s="3"/>
      <c r="AF113" s="3"/>
      <c r="AG113" s="3"/>
      <c r="AH113" s="3"/>
    </row>
    <row r="114" spans="1:34">
      <c r="A114" t="s">
        <v>243</v>
      </c>
      <c r="B114" t="s">
        <v>244</v>
      </c>
      <c r="C114" s="3">
        <v>79.599999999999994</v>
      </c>
      <c r="D114" s="3"/>
      <c r="E114" s="3">
        <v>74.8</v>
      </c>
      <c r="F114" s="3"/>
      <c r="G114" s="3">
        <v>66.900000000000006</v>
      </c>
      <c r="H114" s="3"/>
      <c r="I114" s="3">
        <v>54.4</v>
      </c>
      <c r="J114" s="3"/>
      <c r="K114" s="3">
        <v>46.7</v>
      </c>
      <c r="L114" s="3"/>
      <c r="M114" s="3">
        <v>34</v>
      </c>
      <c r="N114" s="3"/>
      <c r="O114" s="3">
        <v>25.6</v>
      </c>
      <c r="P114" s="3"/>
      <c r="Q114" s="3">
        <v>23</v>
      </c>
      <c r="R114" s="3"/>
      <c r="S114" s="3">
        <v>24.4</v>
      </c>
      <c r="T114" s="3"/>
      <c r="U114" s="3">
        <v>23.2</v>
      </c>
      <c r="V114" s="3"/>
      <c r="W114" s="3">
        <v>24</v>
      </c>
      <c r="X114" s="3" t="s">
        <v>334</v>
      </c>
      <c r="Y114" s="3">
        <v>20</v>
      </c>
      <c r="Z114" s="3"/>
      <c r="AA114" s="3">
        <v>21</v>
      </c>
      <c r="AB114" s="3"/>
      <c r="AC114" s="3">
        <v>20.190000000000001</v>
      </c>
      <c r="AD114" s="3"/>
      <c r="AE114" s="3">
        <v>21.98</v>
      </c>
      <c r="AF114" s="3"/>
      <c r="AG114" s="3">
        <v>24</v>
      </c>
      <c r="AH114" s="3"/>
    </row>
    <row r="115" spans="1:34">
      <c r="A115" t="s">
        <v>862</v>
      </c>
      <c r="B115" t="s">
        <v>863</v>
      </c>
      <c r="C115" s="3">
        <v>40.200000000000003</v>
      </c>
      <c r="D115" s="3"/>
      <c r="E115" s="3">
        <v>49.1</v>
      </c>
      <c r="F115" s="3"/>
      <c r="G115" s="3">
        <v>44.1</v>
      </c>
      <c r="H115" s="3"/>
      <c r="I115" s="3" t="s">
        <v>43</v>
      </c>
      <c r="J115" s="3" t="s">
        <v>44</v>
      </c>
      <c r="K115" s="3">
        <v>21</v>
      </c>
      <c r="L115" s="3"/>
      <c r="M115" s="3" t="s">
        <v>43</v>
      </c>
      <c r="N115" s="3"/>
      <c r="O115" s="3" t="s">
        <v>43</v>
      </c>
      <c r="P115" s="3"/>
      <c r="Q115" s="3" t="s">
        <v>43</v>
      </c>
      <c r="R115" s="3"/>
      <c r="S115" s="3" t="s">
        <v>43</v>
      </c>
      <c r="T115" s="3"/>
      <c r="U115" s="3" t="s">
        <v>43</v>
      </c>
      <c r="V115" s="3"/>
      <c r="W115" s="3" t="s">
        <v>43</v>
      </c>
      <c r="X115" s="3"/>
      <c r="Y115" s="3" t="s">
        <v>43</v>
      </c>
      <c r="Z115" s="3"/>
      <c r="AA115" s="3" t="s">
        <v>43</v>
      </c>
      <c r="AB115" s="3"/>
      <c r="AC115" s="3"/>
      <c r="AD115" s="3"/>
      <c r="AE115" s="3"/>
      <c r="AF115" s="3"/>
      <c r="AG115" s="3"/>
      <c r="AH115" s="3"/>
    </row>
    <row r="116" spans="1:34">
      <c r="A116" t="s">
        <v>864</v>
      </c>
      <c r="B116" t="s">
        <v>865</v>
      </c>
      <c r="C116" s="3">
        <v>2.7</v>
      </c>
      <c r="D116" s="3"/>
      <c r="E116" s="3">
        <v>5.8</v>
      </c>
      <c r="F116" s="3"/>
      <c r="G116" s="3">
        <v>5.5</v>
      </c>
      <c r="H116" s="3"/>
      <c r="I116" s="3" t="s">
        <v>43</v>
      </c>
      <c r="J116" s="3" t="s">
        <v>44</v>
      </c>
      <c r="K116" s="3">
        <v>2.2000000000000002</v>
      </c>
      <c r="L116" s="3"/>
      <c r="M116" s="3" t="s">
        <v>43</v>
      </c>
      <c r="N116" s="3"/>
      <c r="O116" s="3" t="s">
        <v>43</v>
      </c>
      <c r="P116" s="3"/>
      <c r="Q116" s="3" t="s">
        <v>43</v>
      </c>
      <c r="R116" s="3"/>
      <c r="S116" s="3" t="s">
        <v>43</v>
      </c>
      <c r="T116" s="3"/>
      <c r="U116" s="3" t="s">
        <v>43</v>
      </c>
      <c r="V116" s="3"/>
      <c r="W116" s="3" t="s">
        <v>43</v>
      </c>
      <c r="X116" s="3"/>
      <c r="Y116" s="3" t="s">
        <v>43</v>
      </c>
      <c r="Z116" s="3"/>
      <c r="AA116" s="3" t="s">
        <v>43</v>
      </c>
      <c r="AB116" s="3"/>
      <c r="AC116" s="3"/>
      <c r="AD116" s="3"/>
      <c r="AE116" s="3"/>
      <c r="AF116" s="3"/>
      <c r="AG116" s="3"/>
      <c r="AH116" s="3"/>
    </row>
    <row r="117" spans="1:34">
      <c r="A117" t="s">
        <v>866</v>
      </c>
      <c r="B117" t="s">
        <v>867</v>
      </c>
      <c r="C117" s="3">
        <v>30.7</v>
      </c>
      <c r="D117" s="3"/>
      <c r="E117" s="3">
        <v>25.6</v>
      </c>
      <c r="F117" s="3"/>
      <c r="G117" s="3">
        <v>22.7</v>
      </c>
      <c r="H117" s="3"/>
      <c r="I117" s="3" t="s">
        <v>43</v>
      </c>
      <c r="J117" s="3" t="s">
        <v>44</v>
      </c>
      <c r="K117" s="3">
        <v>16.7</v>
      </c>
      <c r="L117" s="3"/>
      <c r="M117" s="3" t="s">
        <v>43</v>
      </c>
      <c r="N117" s="3"/>
      <c r="O117" s="3" t="s">
        <v>43</v>
      </c>
      <c r="P117" s="3"/>
      <c r="Q117" s="3" t="s">
        <v>43</v>
      </c>
      <c r="R117" s="3"/>
      <c r="S117" s="3" t="s">
        <v>43</v>
      </c>
      <c r="T117" s="3"/>
      <c r="U117" s="3" t="s">
        <v>43</v>
      </c>
      <c r="V117" s="3"/>
      <c r="W117" s="3" t="s">
        <v>43</v>
      </c>
      <c r="X117" s="3"/>
      <c r="Y117" s="3" t="s">
        <v>43</v>
      </c>
      <c r="Z117" s="3"/>
      <c r="AA117" s="3" t="s">
        <v>43</v>
      </c>
      <c r="AB117" s="3"/>
      <c r="AC117" s="3"/>
      <c r="AD117" s="3"/>
      <c r="AE117" s="3"/>
      <c r="AF117" s="3"/>
      <c r="AG117" s="3"/>
      <c r="AH117" s="3"/>
    </row>
    <row r="118" spans="1:34">
      <c r="A118" t="s">
        <v>868</v>
      </c>
      <c r="B118" t="s">
        <v>869</v>
      </c>
      <c r="C118" s="3">
        <v>0.6</v>
      </c>
      <c r="D118" s="3"/>
      <c r="E118" s="3" t="s">
        <v>43</v>
      </c>
      <c r="F118" s="3"/>
      <c r="G118" s="3">
        <v>0</v>
      </c>
      <c r="H118" s="3"/>
      <c r="I118" s="3" t="s">
        <v>43</v>
      </c>
      <c r="J118" s="3" t="s">
        <v>44</v>
      </c>
      <c r="K118" s="3">
        <v>0.5</v>
      </c>
      <c r="L118" s="3"/>
      <c r="M118" s="3" t="s">
        <v>43</v>
      </c>
      <c r="N118" s="3"/>
      <c r="O118" s="3" t="s">
        <v>43</v>
      </c>
      <c r="P118" s="3"/>
      <c r="Q118" s="3" t="s">
        <v>43</v>
      </c>
      <c r="R118" s="3"/>
      <c r="S118" s="3" t="s">
        <v>43</v>
      </c>
      <c r="T118" s="3"/>
      <c r="U118" s="3" t="s">
        <v>43</v>
      </c>
      <c r="V118" s="3"/>
      <c r="W118" s="3" t="s">
        <v>43</v>
      </c>
      <c r="X118" s="3"/>
      <c r="Y118" s="3" t="s">
        <v>43</v>
      </c>
      <c r="Z118" s="3"/>
      <c r="AA118" s="3" t="s">
        <v>43</v>
      </c>
      <c r="AB118" s="3"/>
      <c r="AC118" s="3"/>
      <c r="AD118" s="3"/>
      <c r="AE118" s="3"/>
      <c r="AF118" s="3"/>
      <c r="AG118" s="3"/>
      <c r="AH118" s="3"/>
    </row>
    <row r="119" spans="1:34">
      <c r="A119" t="s">
        <v>870</v>
      </c>
      <c r="B119" t="s">
        <v>871</v>
      </c>
      <c r="C119" s="3">
        <v>6.2</v>
      </c>
      <c r="D119" s="3"/>
      <c r="E119" s="3">
        <v>17.7</v>
      </c>
      <c r="F119" s="3"/>
      <c r="G119" s="3">
        <v>15.8</v>
      </c>
      <c r="H119" s="3"/>
      <c r="I119" s="3" t="s">
        <v>43</v>
      </c>
      <c r="J119" s="3" t="s">
        <v>44</v>
      </c>
      <c r="K119" s="3">
        <v>1.7</v>
      </c>
      <c r="L119" s="3"/>
      <c r="M119" s="3" t="s">
        <v>43</v>
      </c>
      <c r="N119" s="3"/>
      <c r="O119" s="3" t="s">
        <v>43</v>
      </c>
      <c r="P119" s="3"/>
      <c r="Q119" s="3" t="s">
        <v>43</v>
      </c>
      <c r="R119" s="3"/>
      <c r="S119" s="3" t="s">
        <v>43</v>
      </c>
      <c r="T119" s="3"/>
      <c r="U119" s="3" t="s">
        <v>43</v>
      </c>
      <c r="V119" s="3"/>
      <c r="W119" s="3" t="s">
        <v>43</v>
      </c>
      <c r="X119" s="3"/>
      <c r="Y119" s="3" t="s">
        <v>43</v>
      </c>
      <c r="Z119" s="3"/>
      <c r="AA119" s="3" t="s">
        <v>43</v>
      </c>
      <c r="AB119" s="3"/>
      <c r="AC119" s="3"/>
      <c r="AD119" s="3"/>
      <c r="AE119" s="3"/>
      <c r="AF119" s="3"/>
      <c r="AG119" s="3"/>
      <c r="AH119" s="3"/>
    </row>
    <row r="120" spans="1:34">
      <c r="A120" t="s">
        <v>872</v>
      </c>
      <c r="B120" t="s">
        <v>873</v>
      </c>
      <c r="C120" s="3">
        <v>7.1</v>
      </c>
      <c r="D120" s="3"/>
      <c r="E120" s="3">
        <v>2.2999999999999998</v>
      </c>
      <c r="F120" s="3"/>
      <c r="G120" s="3" t="s">
        <v>43</v>
      </c>
      <c r="H120" s="3" t="s">
        <v>44</v>
      </c>
      <c r="I120" s="3" t="s">
        <v>43</v>
      </c>
      <c r="J120" s="3" t="s">
        <v>44</v>
      </c>
      <c r="K120" s="3">
        <v>5</v>
      </c>
      <c r="L120" s="3"/>
      <c r="M120" s="3" t="s">
        <v>43</v>
      </c>
      <c r="N120" s="3"/>
      <c r="O120" s="3" t="s">
        <v>43</v>
      </c>
      <c r="P120" s="3"/>
      <c r="Q120" s="3" t="s">
        <v>43</v>
      </c>
      <c r="R120" s="3"/>
      <c r="S120" s="3" t="s">
        <v>43</v>
      </c>
      <c r="T120" s="3"/>
      <c r="U120" s="3" t="s">
        <v>43</v>
      </c>
      <c r="V120" s="3"/>
      <c r="W120" s="3" t="s">
        <v>43</v>
      </c>
      <c r="X120" s="3"/>
      <c r="Y120" s="3" t="s">
        <v>43</v>
      </c>
      <c r="Z120" s="3"/>
      <c r="AA120" s="3" t="s">
        <v>43</v>
      </c>
      <c r="AB120" s="3"/>
      <c r="AC120" s="3"/>
      <c r="AD120" s="3"/>
      <c r="AE120" s="3"/>
      <c r="AF120" s="3"/>
      <c r="AG120" s="3"/>
      <c r="AH120" s="3"/>
    </row>
    <row r="121" spans="1:34">
      <c r="A121" t="s">
        <v>874</v>
      </c>
      <c r="B121" t="s">
        <v>875</v>
      </c>
      <c r="C121" s="3">
        <v>0.3</v>
      </c>
      <c r="D121" s="3"/>
      <c r="E121" s="3" t="s">
        <v>43</v>
      </c>
      <c r="F121" s="3"/>
      <c r="G121" s="3" t="s">
        <v>43</v>
      </c>
      <c r="H121" s="3" t="s">
        <v>44</v>
      </c>
      <c r="I121" s="3" t="s">
        <v>43</v>
      </c>
      <c r="J121" s="3" t="s">
        <v>44</v>
      </c>
      <c r="K121" s="3">
        <v>0.5</v>
      </c>
      <c r="L121" s="3"/>
      <c r="M121" s="3" t="s">
        <v>43</v>
      </c>
      <c r="N121" s="3"/>
      <c r="O121" s="3" t="s">
        <v>43</v>
      </c>
      <c r="P121" s="3"/>
      <c r="Q121" s="3" t="s">
        <v>43</v>
      </c>
      <c r="R121" s="3"/>
      <c r="S121" s="3" t="s">
        <v>43</v>
      </c>
      <c r="T121" s="3"/>
      <c r="U121" s="3" t="s">
        <v>43</v>
      </c>
      <c r="V121" s="3"/>
      <c r="W121" s="3" t="s">
        <v>43</v>
      </c>
      <c r="X121" s="3"/>
      <c r="Y121" s="3" t="s">
        <v>43</v>
      </c>
      <c r="Z121" s="3"/>
      <c r="AA121" s="3" t="s">
        <v>43</v>
      </c>
      <c r="AB121" s="3"/>
      <c r="AC121" s="3"/>
      <c r="AD121" s="3"/>
      <c r="AE121" s="3"/>
      <c r="AF121" s="3"/>
      <c r="AG121" s="3"/>
      <c r="AH121" s="3"/>
    </row>
    <row r="122" spans="1:34">
      <c r="A122" t="s">
        <v>876</v>
      </c>
      <c r="B122" t="s">
        <v>877</v>
      </c>
      <c r="C122" s="3">
        <v>0.3</v>
      </c>
      <c r="D122" s="3"/>
      <c r="E122" s="3" t="s">
        <v>43</v>
      </c>
      <c r="F122" s="3"/>
      <c r="G122" s="3">
        <v>0</v>
      </c>
      <c r="H122" s="3"/>
      <c r="I122" s="3" t="s">
        <v>43</v>
      </c>
      <c r="J122" s="3" t="s">
        <v>44</v>
      </c>
      <c r="K122" s="3" t="s">
        <v>43</v>
      </c>
      <c r="L122" s="3" t="s">
        <v>44</v>
      </c>
      <c r="M122" s="3" t="s">
        <v>43</v>
      </c>
      <c r="N122" s="3"/>
      <c r="O122" s="3" t="s">
        <v>43</v>
      </c>
      <c r="P122" s="3"/>
      <c r="Q122" s="3" t="s">
        <v>43</v>
      </c>
      <c r="R122" s="3"/>
      <c r="S122" s="3" t="s">
        <v>43</v>
      </c>
      <c r="T122" s="3"/>
      <c r="U122" s="3" t="s">
        <v>43</v>
      </c>
      <c r="V122" s="3"/>
      <c r="W122" s="3" t="s">
        <v>43</v>
      </c>
      <c r="X122" s="3"/>
      <c r="Y122" s="3" t="s">
        <v>43</v>
      </c>
      <c r="Z122" s="3"/>
      <c r="AA122" s="3" t="s">
        <v>43</v>
      </c>
      <c r="AB122" s="3"/>
      <c r="AC122" s="3"/>
      <c r="AD122" s="3"/>
      <c r="AE122" s="3"/>
      <c r="AF122" s="3"/>
      <c r="AG122" s="3"/>
      <c r="AH122" s="3"/>
    </row>
    <row r="123" spans="1:34">
      <c r="A123" t="s">
        <v>878</v>
      </c>
      <c r="B123" t="s">
        <v>879</v>
      </c>
      <c r="C123" s="3">
        <v>2.2999999999999998</v>
      </c>
      <c r="D123" s="3"/>
      <c r="E123" s="3" t="s">
        <v>43</v>
      </c>
      <c r="F123" s="3" t="s">
        <v>44</v>
      </c>
      <c r="G123" s="3" t="s">
        <v>43</v>
      </c>
      <c r="H123" s="3" t="s">
        <v>44</v>
      </c>
      <c r="I123" s="3" t="s">
        <v>43</v>
      </c>
      <c r="J123" s="3" t="s">
        <v>44</v>
      </c>
      <c r="K123" s="3">
        <v>2</v>
      </c>
      <c r="L123" s="3"/>
      <c r="M123" s="3" t="s">
        <v>43</v>
      </c>
      <c r="N123" s="3"/>
      <c r="O123" s="3" t="s">
        <v>43</v>
      </c>
      <c r="P123" s="3"/>
      <c r="Q123" s="3" t="s">
        <v>43</v>
      </c>
      <c r="R123" s="3"/>
      <c r="S123" s="3" t="s">
        <v>43</v>
      </c>
      <c r="T123" s="3"/>
      <c r="U123" s="3" t="s">
        <v>43</v>
      </c>
      <c r="V123" s="3"/>
      <c r="W123" s="3" t="s">
        <v>43</v>
      </c>
      <c r="X123" s="3"/>
      <c r="Y123" s="3" t="s">
        <v>43</v>
      </c>
      <c r="Z123" s="3"/>
      <c r="AA123" s="3" t="s">
        <v>43</v>
      </c>
      <c r="AB123" s="3"/>
      <c r="AC123" s="3"/>
      <c r="AD123" s="3"/>
      <c r="AE123" s="3"/>
      <c r="AF123" s="3"/>
      <c r="AG123" s="3"/>
      <c r="AH123" s="3"/>
    </row>
    <row r="124" spans="1:34">
      <c r="A124" t="s">
        <v>880</v>
      </c>
      <c r="B124" t="s">
        <v>881</v>
      </c>
      <c r="C124" s="3">
        <v>2.5</v>
      </c>
      <c r="D124" s="3"/>
      <c r="E124" s="3" t="s">
        <v>43</v>
      </c>
      <c r="F124" s="3" t="s">
        <v>44</v>
      </c>
      <c r="G124" s="3">
        <v>0</v>
      </c>
      <c r="H124" s="3"/>
      <c r="I124" s="3" t="s">
        <v>43</v>
      </c>
      <c r="J124" s="3" t="s">
        <v>44</v>
      </c>
      <c r="K124" s="3" t="s">
        <v>43</v>
      </c>
      <c r="L124" s="3" t="s">
        <v>44</v>
      </c>
      <c r="M124" s="3" t="s">
        <v>43</v>
      </c>
      <c r="N124" s="3"/>
      <c r="O124" s="3" t="s">
        <v>43</v>
      </c>
      <c r="P124" s="3"/>
      <c r="Q124" s="3" t="s">
        <v>43</v>
      </c>
      <c r="R124" s="3"/>
      <c r="S124" s="3" t="s">
        <v>43</v>
      </c>
      <c r="T124" s="3"/>
      <c r="U124" s="3" t="s">
        <v>43</v>
      </c>
      <c r="V124" s="3"/>
      <c r="W124" s="3" t="s">
        <v>43</v>
      </c>
      <c r="X124" s="3"/>
      <c r="Y124" s="3" t="s">
        <v>43</v>
      </c>
      <c r="Z124" s="3"/>
      <c r="AA124" s="3" t="s">
        <v>43</v>
      </c>
      <c r="AB124" s="3"/>
      <c r="AC124" s="3"/>
      <c r="AD124" s="3"/>
      <c r="AE124" s="3"/>
      <c r="AF124" s="3"/>
      <c r="AG124" s="3"/>
      <c r="AH124" s="3"/>
    </row>
    <row r="125" spans="1:34">
      <c r="A125" t="s">
        <v>882</v>
      </c>
      <c r="B125" t="s">
        <v>883</v>
      </c>
      <c r="C125" s="3">
        <v>1.7</v>
      </c>
      <c r="D125" s="3"/>
      <c r="E125" s="3" t="s">
        <v>43</v>
      </c>
      <c r="F125" s="3"/>
      <c r="G125" s="3">
        <v>0</v>
      </c>
      <c r="H125" s="3"/>
      <c r="I125" s="3" t="s">
        <v>43</v>
      </c>
      <c r="J125" s="3" t="s">
        <v>44</v>
      </c>
      <c r="K125" s="3">
        <v>1.1000000000000001</v>
      </c>
      <c r="L125" s="3"/>
      <c r="M125" s="3" t="s">
        <v>43</v>
      </c>
      <c r="N125" s="3"/>
      <c r="O125" s="3" t="s">
        <v>43</v>
      </c>
      <c r="P125" s="3"/>
      <c r="Q125" s="3" t="s">
        <v>43</v>
      </c>
      <c r="R125" s="3"/>
      <c r="S125" s="3" t="s">
        <v>43</v>
      </c>
      <c r="T125" s="3"/>
      <c r="U125" s="3" t="s">
        <v>43</v>
      </c>
      <c r="V125" s="3"/>
      <c r="W125" s="3" t="s">
        <v>43</v>
      </c>
      <c r="X125" s="3"/>
      <c r="Y125" s="3" t="s">
        <v>43</v>
      </c>
      <c r="Z125" s="3"/>
      <c r="AA125" s="3" t="s">
        <v>43</v>
      </c>
      <c r="AB125" s="3"/>
      <c r="AC125" s="3"/>
      <c r="AD125" s="3"/>
      <c r="AE125" s="3"/>
      <c r="AF125" s="3"/>
      <c r="AG125" s="3"/>
      <c r="AH125" s="3"/>
    </row>
    <row r="126" spans="1:34">
      <c r="A126" t="s">
        <v>245</v>
      </c>
      <c r="B126" t="s">
        <v>246</v>
      </c>
      <c r="C126" s="3">
        <v>30.5</v>
      </c>
      <c r="D126" s="3"/>
      <c r="E126" s="3">
        <v>23.3</v>
      </c>
      <c r="F126" s="3"/>
      <c r="G126" s="3">
        <v>20.8</v>
      </c>
      <c r="H126" s="3"/>
      <c r="I126" s="3" t="s">
        <v>43</v>
      </c>
      <c r="J126" s="3" t="s">
        <v>44</v>
      </c>
      <c r="K126" s="3">
        <v>18.600000000000001</v>
      </c>
      <c r="L126" s="3"/>
      <c r="M126" s="3">
        <v>14.1</v>
      </c>
      <c r="N126" s="3"/>
      <c r="O126" s="3">
        <v>12</v>
      </c>
      <c r="P126" s="3"/>
      <c r="Q126" s="3">
        <v>11.3</v>
      </c>
      <c r="R126" s="3"/>
      <c r="S126" s="3">
        <v>11.8</v>
      </c>
      <c r="T126" s="3"/>
      <c r="U126" s="3">
        <v>11.1</v>
      </c>
      <c r="V126" s="3"/>
      <c r="W126" s="3">
        <v>11.7</v>
      </c>
      <c r="X126" s="3" t="s">
        <v>334</v>
      </c>
      <c r="Y126" s="3">
        <v>13.1</v>
      </c>
      <c r="Z126" s="3"/>
      <c r="AA126" s="3">
        <v>13.9</v>
      </c>
      <c r="AB126" s="3"/>
      <c r="AC126" s="3">
        <v>11.91</v>
      </c>
      <c r="AD126" s="3"/>
      <c r="AE126" s="3">
        <v>12.63</v>
      </c>
      <c r="AF126" s="3"/>
      <c r="AG126" s="3">
        <v>14.2</v>
      </c>
      <c r="AH126" s="3"/>
    </row>
    <row r="127" spans="1:34">
      <c r="A127" t="s">
        <v>247</v>
      </c>
      <c r="B127" t="s">
        <v>246</v>
      </c>
      <c r="C127" s="3">
        <v>30.5</v>
      </c>
      <c r="D127" s="3"/>
      <c r="E127" s="3">
        <v>23.3</v>
      </c>
      <c r="F127" s="3"/>
      <c r="G127" s="3">
        <v>20.8</v>
      </c>
      <c r="H127" s="3"/>
      <c r="I127" s="3">
        <v>20.9</v>
      </c>
      <c r="J127" s="3"/>
      <c r="K127" s="3">
        <v>18.600000000000001</v>
      </c>
      <c r="L127" s="3"/>
      <c r="M127" s="3">
        <v>14.1</v>
      </c>
      <c r="N127" s="3"/>
      <c r="O127" s="3">
        <v>12</v>
      </c>
      <c r="P127" s="3"/>
      <c r="Q127" s="3">
        <v>11.3</v>
      </c>
      <c r="R127" s="3"/>
      <c r="S127" s="3">
        <v>11.8</v>
      </c>
      <c r="T127" s="3"/>
      <c r="U127" s="3">
        <v>11.1</v>
      </c>
      <c r="V127" s="3"/>
      <c r="W127" s="3">
        <v>11.7</v>
      </c>
      <c r="X127" s="3" t="s">
        <v>334</v>
      </c>
      <c r="Y127" s="3">
        <v>13.1</v>
      </c>
      <c r="Z127" s="3"/>
      <c r="AA127" s="3">
        <v>13.9</v>
      </c>
      <c r="AB127" s="3"/>
      <c r="AC127" s="3">
        <v>11.91</v>
      </c>
      <c r="AD127" s="3"/>
      <c r="AE127" s="3">
        <v>12.63</v>
      </c>
      <c r="AF127" s="3"/>
      <c r="AG127" s="3">
        <v>14.2</v>
      </c>
      <c r="AH127" s="3"/>
    </row>
    <row r="128" spans="1:34">
      <c r="A128" t="s">
        <v>248</v>
      </c>
      <c r="B128" t="s">
        <v>249</v>
      </c>
      <c r="C128" s="3">
        <v>1.8</v>
      </c>
      <c r="D128" s="3"/>
      <c r="E128" s="3" t="s">
        <v>43</v>
      </c>
      <c r="F128" s="3"/>
      <c r="G128" s="3" t="s">
        <v>43</v>
      </c>
      <c r="H128" s="3" t="s">
        <v>44</v>
      </c>
      <c r="I128" s="3" t="s">
        <v>43</v>
      </c>
      <c r="J128" s="3" t="s">
        <v>44</v>
      </c>
      <c r="K128" s="3">
        <v>2.1</v>
      </c>
      <c r="L128" s="3"/>
      <c r="M128" s="3" t="s">
        <v>43</v>
      </c>
      <c r="N128" s="3" t="s">
        <v>44</v>
      </c>
      <c r="O128" s="3">
        <v>0.1</v>
      </c>
      <c r="P128" s="3"/>
      <c r="Q128" s="3">
        <v>0.1</v>
      </c>
      <c r="R128" s="3"/>
      <c r="S128" s="3">
        <v>0.1</v>
      </c>
      <c r="T128" s="3"/>
      <c r="U128" s="3">
        <v>0.1</v>
      </c>
      <c r="V128" s="3"/>
      <c r="W128" s="3">
        <v>0.2</v>
      </c>
      <c r="X128" s="3" t="s">
        <v>334</v>
      </c>
      <c r="Y128" s="3">
        <v>0.1</v>
      </c>
      <c r="Z128" s="3"/>
      <c r="AA128" s="3">
        <v>0.2</v>
      </c>
      <c r="AB128" s="3"/>
      <c r="AC128" s="3">
        <v>0.17</v>
      </c>
      <c r="AD128" s="3"/>
      <c r="AE128" s="3">
        <v>0.22</v>
      </c>
      <c r="AF128" s="3"/>
      <c r="AG128" s="3">
        <v>0.27</v>
      </c>
      <c r="AH128" s="3"/>
    </row>
    <row r="129" spans="1:34">
      <c r="A129" t="s">
        <v>250</v>
      </c>
      <c r="B129" t="s">
        <v>251</v>
      </c>
      <c r="C129" s="3">
        <v>0.3</v>
      </c>
      <c r="D129" s="3"/>
      <c r="E129" s="3" t="s">
        <v>43</v>
      </c>
      <c r="F129" s="3"/>
      <c r="G129" s="3">
        <v>0</v>
      </c>
      <c r="H129" s="3"/>
      <c r="I129" s="3" t="s">
        <v>43</v>
      </c>
      <c r="J129" s="3" t="s">
        <v>44</v>
      </c>
      <c r="K129" s="3">
        <v>0.3</v>
      </c>
      <c r="L129" s="3"/>
      <c r="M129" s="3" t="s">
        <v>43</v>
      </c>
      <c r="N129" s="3" t="s">
        <v>44</v>
      </c>
      <c r="O129" s="3" t="s">
        <v>43</v>
      </c>
      <c r="P129" s="3" t="s">
        <v>44</v>
      </c>
      <c r="Q129" s="3">
        <v>0</v>
      </c>
      <c r="R129" s="3"/>
      <c r="S129" s="3">
        <v>0</v>
      </c>
      <c r="T129" s="3"/>
      <c r="U129" s="3">
        <v>0</v>
      </c>
      <c r="V129" s="3"/>
      <c r="W129" s="3">
        <v>0.1</v>
      </c>
      <c r="X129" s="3" t="s">
        <v>334</v>
      </c>
      <c r="Y129" s="3">
        <v>0</v>
      </c>
      <c r="Z129" s="3"/>
      <c r="AA129" s="3" t="s">
        <v>43</v>
      </c>
      <c r="AB129" s="3" t="s">
        <v>44</v>
      </c>
      <c r="AC129" s="3">
        <v>0.06</v>
      </c>
      <c r="AD129" s="3"/>
      <c r="AE129" s="3">
        <v>7.0000000000000007E-2</v>
      </c>
      <c r="AF129" s="3"/>
      <c r="AG129" s="3">
        <v>7.0000000000000007E-2</v>
      </c>
      <c r="AH129" s="3"/>
    </row>
    <row r="130" spans="1:34">
      <c r="A130" t="s">
        <v>252</v>
      </c>
      <c r="B130" t="s">
        <v>253</v>
      </c>
      <c r="C130" s="3">
        <v>0.2</v>
      </c>
      <c r="D130" s="3"/>
      <c r="E130" s="3" t="s">
        <v>43</v>
      </c>
      <c r="F130" s="3"/>
      <c r="G130" s="3">
        <v>0</v>
      </c>
      <c r="H130" s="3"/>
      <c r="I130" s="3" t="s">
        <v>43</v>
      </c>
      <c r="J130" s="3" t="s">
        <v>44</v>
      </c>
      <c r="K130" s="3">
        <v>0.3</v>
      </c>
      <c r="L130" s="3"/>
      <c r="M130" s="3" t="s">
        <v>43</v>
      </c>
      <c r="N130" s="3" t="s">
        <v>44</v>
      </c>
      <c r="O130" s="3" t="s">
        <v>43</v>
      </c>
      <c r="P130" s="3" t="s">
        <v>44</v>
      </c>
      <c r="Q130" s="3">
        <v>0</v>
      </c>
      <c r="R130" s="3"/>
      <c r="S130" s="3">
        <v>0</v>
      </c>
      <c r="T130" s="3"/>
      <c r="U130" s="3">
        <v>0</v>
      </c>
      <c r="V130" s="3"/>
      <c r="W130" s="3">
        <v>0</v>
      </c>
      <c r="X130" s="3" t="s">
        <v>334</v>
      </c>
      <c r="Y130" s="3">
        <v>0</v>
      </c>
      <c r="Z130" s="3"/>
      <c r="AA130" s="3" t="s">
        <v>43</v>
      </c>
      <c r="AB130" s="3" t="s">
        <v>44</v>
      </c>
      <c r="AC130" s="3">
        <v>0</v>
      </c>
      <c r="AD130" s="3"/>
      <c r="AE130" s="3">
        <v>0</v>
      </c>
      <c r="AF130" s="3"/>
      <c r="AG130" s="3">
        <v>0</v>
      </c>
      <c r="AH130" s="3"/>
    </row>
    <row r="131" spans="1:34">
      <c r="A131" t="s">
        <v>254</v>
      </c>
      <c r="B131" t="s">
        <v>255</v>
      </c>
      <c r="C131" s="3">
        <v>1.3</v>
      </c>
      <c r="D131" s="3"/>
      <c r="E131" s="3" t="s">
        <v>43</v>
      </c>
      <c r="F131" s="3"/>
      <c r="G131" s="3" t="s">
        <v>43</v>
      </c>
      <c r="H131" s="3" t="s">
        <v>44</v>
      </c>
      <c r="I131" s="3" t="s">
        <v>43</v>
      </c>
      <c r="J131" s="3" t="s">
        <v>44</v>
      </c>
      <c r="K131" s="3">
        <v>1.5</v>
      </c>
      <c r="L131" s="3"/>
      <c r="M131" s="3">
        <v>0.9</v>
      </c>
      <c r="N131" s="3"/>
      <c r="O131" s="3">
        <v>0.1</v>
      </c>
      <c r="P131" s="3"/>
      <c r="Q131" s="3">
        <v>0.1</v>
      </c>
      <c r="R131" s="3"/>
      <c r="S131" s="3">
        <v>0.1</v>
      </c>
      <c r="T131" s="3"/>
      <c r="U131" s="3">
        <v>0.1</v>
      </c>
      <c r="V131" s="3"/>
      <c r="W131" s="3">
        <v>0.1</v>
      </c>
      <c r="X131" s="3" t="s">
        <v>334</v>
      </c>
      <c r="Y131" s="3">
        <v>0.1</v>
      </c>
      <c r="Z131" s="3"/>
      <c r="AA131" s="3">
        <v>0.1</v>
      </c>
      <c r="AB131" s="3"/>
      <c r="AC131" s="3">
        <v>0.11</v>
      </c>
      <c r="AD131" s="3"/>
      <c r="AE131" s="3">
        <v>0.15</v>
      </c>
      <c r="AF131" s="3"/>
      <c r="AG131" s="3">
        <v>0.21</v>
      </c>
      <c r="AH131" s="3"/>
    </row>
    <row r="132" spans="1:34">
      <c r="A132" t="s">
        <v>256</v>
      </c>
      <c r="B132" t="s">
        <v>257</v>
      </c>
      <c r="C132" s="3" t="s">
        <v>43</v>
      </c>
      <c r="D132" s="3"/>
      <c r="E132" s="3" t="s">
        <v>43</v>
      </c>
      <c r="F132" s="3"/>
      <c r="G132" s="3" t="s">
        <v>43</v>
      </c>
      <c r="H132" s="3"/>
      <c r="I132" s="3" t="s">
        <v>43</v>
      </c>
      <c r="J132" s="3"/>
      <c r="K132" s="3" t="s">
        <v>43</v>
      </c>
      <c r="L132" s="3"/>
      <c r="M132" s="3">
        <v>13.1</v>
      </c>
      <c r="N132" s="3"/>
      <c r="O132" s="3">
        <v>12.5</v>
      </c>
      <c r="P132" s="3"/>
      <c r="Q132" s="3">
        <v>10.8</v>
      </c>
      <c r="R132" s="3"/>
      <c r="S132" s="3">
        <v>11</v>
      </c>
      <c r="T132" s="3"/>
      <c r="U132" s="3">
        <v>11</v>
      </c>
      <c r="V132" s="3"/>
      <c r="W132" s="3">
        <v>11.2</v>
      </c>
      <c r="X132" s="3" t="s">
        <v>334</v>
      </c>
      <c r="Y132" s="3">
        <v>5.6</v>
      </c>
      <c r="Z132" s="3"/>
      <c r="AA132" s="3">
        <v>5.8</v>
      </c>
      <c r="AB132" s="3"/>
      <c r="AC132" s="3">
        <v>6.6</v>
      </c>
      <c r="AD132" s="3"/>
      <c r="AE132" s="3">
        <v>7.35</v>
      </c>
      <c r="AF132" s="3"/>
      <c r="AG132" s="3">
        <v>7.4</v>
      </c>
      <c r="AH132" s="3"/>
    </row>
    <row r="133" spans="1:34">
      <c r="A133" t="s">
        <v>258</v>
      </c>
      <c r="B133" t="s">
        <v>259</v>
      </c>
      <c r="C133" s="3" t="s">
        <v>43</v>
      </c>
      <c r="D133" s="3"/>
      <c r="E133" s="3" t="s">
        <v>43</v>
      </c>
      <c r="F133" s="3"/>
      <c r="G133" s="3" t="s">
        <v>43</v>
      </c>
      <c r="H133" s="3"/>
      <c r="I133" s="3" t="s">
        <v>43</v>
      </c>
      <c r="J133" s="3"/>
      <c r="K133" s="3" t="s">
        <v>43</v>
      </c>
      <c r="L133" s="3"/>
      <c r="M133" s="3">
        <v>1.7</v>
      </c>
      <c r="N133" s="3"/>
      <c r="O133" s="3">
        <v>1.3</v>
      </c>
      <c r="P133" s="3"/>
      <c r="Q133" s="3">
        <v>1.1000000000000001</v>
      </c>
      <c r="R133" s="3"/>
      <c r="S133" s="3">
        <v>1.2</v>
      </c>
      <c r="T133" s="3"/>
      <c r="U133" s="3">
        <v>1.1000000000000001</v>
      </c>
      <c r="V133" s="3"/>
      <c r="W133" s="3">
        <v>1.1000000000000001</v>
      </c>
      <c r="X133" s="3" t="s">
        <v>334</v>
      </c>
      <c r="Y133" s="3">
        <v>1.2</v>
      </c>
      <c r="Z133" s="3"/>
      <c r="AA133" s="3">
        <v>1.3</v>
      </c>
      <c r="AB133" s="3"/>
      <c r="AC133" s="3">
        <v>1.21</v>
      </c>
      <c r="AD133" s="3"/>
      <c r="AE133" s="3">
        <v>1.23</v>
      </c>
      <c r="AF133" s="3"/>
      <c r="AG133" s="3">
        <v>1.17</v>
      </c>
      <c r="AH133" s="3"/>
    </row>
    <row r="134" spans="1:34">
      <c r="A134" t="s">
        <v>260</v>
      </c>
      <c r="B134" t="s">
        <v>261</v>
      </c>
      <c r="C134" s="3" t="s">
        <v>43</v>
      </c>
      <c r="D134" s="3"/>
      <c r="E134" s="3" t="s">
        <v>43</v>
      </c>
      <c r="F134" s="3"/>
      <c r="G134" s="3" t="s">
        <v>43</v>
      </c>
      <c r="H134" s="3"/>
      <c r="I134" s="3" t="s">
        <v>43</v>
      </c>
      <c r="J134" s="3"/>
      <c r="K134" s="3" t="s">
        <v>43</v>
      </c>
      <c r="L134" s="3"/>
      <c r="M134" s="3">
        <v>10.8</v>
      </c>
      <c r="N134" s="3"/>
      <c r="O134" s="3">
        <v>11.1</v>
      </c>
      <c r="P134" s="3"/>
      <c r="Q134" s="3">
        <v>9.6</v>
      </c>
      <c r="R134" s="3"/>
      <c r="S134" s="3">
        <v>9.6</v>
      </c>
      <c r="T134" s="3"/>
      <c r="U134" s="3">
        <v>9.9</v>
      </c>
      <c r="V134" s="3"/>
      <c r="W134" s="3">
        <v>10</v>
      </c>
      <c r="X134" s="3" t="s">
        <v>334</v>
      </c>
      <c r="Y134" s="3">
        <v>4.3</v>
      </c>
      <c r="Z134" s="3"/>
      <c r="AA134" s="3">
        <v>4.4000000000000004</v>
      </c>
      <c r="AB134" s="3"/>
      <c r="AC134" s="3">
        <v>5.17</v>
      </c>
      <c r="AD134" s="3"/>
      <c r="AE134" s="3">
        <v>5.92</v>
      </c>
      <c r="AF134" s="3"/>
      <c r="AG134" s="3">
        <v>6.04</v>
      </c>
      <c r="AH134" s="3"/>
    </row>
    <row r="135" spans="1:34">
      <c r="A135" t="s">
        <v>262</v>
      </c>
      <c r="B135" t="s">
        <v>263</v>
      </c>
      <c r="C135" s="3" t="s">
        <v>43</v>
      </c>
      <c r="D135" s="3"/>
      <c r="E135" s="3" t="s">
        <v>43</v>
      </c>
      <c r="F135" s="3"/>
      <c r="G135" s="3" t="s">
        <v>43</v>
      </c>
      <c r="H135" s="3"/>
      <c r="I135" s="3" t="s">
        <v>43</v>
      </c>
      <c r="J135" s="3"/>
      <c r="K135" s="3" t="s">
        <v>43</v>
      </c>
      <c r="L135" s="3"/>
      <c r="M135" s="3">
        <v>0.3</v>
      </c>
      <c r="N135" s="3"/>
      <c r="O135" s="3" t="s">
        <v>43</v>
      </c>
      <c r="P135" s="3" t="s">
        <v>44</v>
      </c>
      <c r="Q135" s="3">
        <v>0.1</v>
      </c>
      <c r="R135" s="3"/>
      <c r="S135" s="3">
        <v>0.1</v>
      </c>
      <c r="T135" s="3"/>
      <c r="U135" s="3">
        <v>0</v>
      </c>
      <c r="V135" s="3"/>
      <c r="W135" s="3">
        <v>0</v>
      </c>
      <c r="X135" s="3" t="s">
        <v>334</v>
      </c>
      <c r="Y135" s="3">
        <v>0</v>
      </c>
      <c r="Z135" s="3"/>
      <c r="AA135" s="3" t="s">
        <v>43</v>
      </c>
      <c r="AB135" s="3" t="s">
        <v>44</v>
      </c>
      <c r="AC135" s="3">
        <v>0.06</v>
      </c>
      <c r="AD135" s="3"/>
      <c r="AE135" s="3">
        <v>0.05</v>
      </c>
      <c r="AF135" s="3"/>
      <c r="AG135" s="3">
        <v>0.04</v>
      </c>
      <c r="AH135" s="3"/>
    </row>
    <row r="136" spans="1:34">
      <c r="A136" t="s">
        <v>264</v>
      </c>
      <c r="B136" t="s">
        <v>265</v>
      </c>
      <c r="C136" s="3" t="s">
        <v>43</v>
      </c>
      <c r="D136" s="3"/>
      <c r="E136" s="3" t="s">
        <v>43</v>
      </c>
      <c r="F136" s="3"/>
      <c r="G136" s="3" t="s">
        <v>43</v>
      </c>
      <c r="H136" s="3"/>
      <c r="I136" s="3" t="s">
        <v>43</v>
      </c>
      <c r="J136" s="3"/>
      <c r="K136" s="3" t="s">
        <v>43</v>
      </c>
      <c r="L136" s="3"/>
      <c r="M136" s="3">
        <v>0.3</v>
      </c>
      <c r="N136" s="3"/>
      <c r="O136" s="3" t="s">
        <v>43</v>
      </c>
      <c r="P136" s="3" t="s">
        <v>44</v>
      </c>
      <c r="Q136" s="3">
        <v>0</v>
      </c>
      <c r="R136" s="3"/>
      <c r="S136" s="3">
        <v>0.1</v>
      </c>
      <c r="T136" s="3"/>
      <c r="U136" s="3">
        <v>0</v>
      </c>
      <c r="V136" s="3"/>
      <c r="W136" s="3">
        <v>0.1</v>
      </c>
      <c r="X136" s="3" t="s">
        <v>334</v>
      </c>
      <c r="Y136" s="3">
        <v>0.1</v>
      </c>
      <c r="Z136" s="3"/>
      <c r="AA136" s="3" t="s">
        <v>43</v>
      </c>
      <c r="AB136" s="3" t="s">
        <v>44</v>
      </c>
      <c r="AC136" s="3">
        <v>0.15</v>
      </c>
      <c r="AD136" s="3"/>
      <c r="AE136" s="3">
        <v>0.16</v>
      </c>
      <c r="AF136" s="3"/>
      <c r="AG136" s="3">
        <v>0.15</v>
      </c>
      <c r="AH136" s="3"/>
    </row>
    <row r="137" spans="1:34">
      <c r="A137" t="s">
        <v>266</v>
      </c>
      <c r="B137" t="s">
        <v>267</v>
      </c>
      <c r="C137" s="3" t="s">
        <v>43</v>
      </c>
      <c r="D137" s="3"/>
      <c r="E137" s="3" t="s">
        <v>43</v>
      </c>
      <c r="F137" s="3"/>
      <c r="G137" s="3" t="s">
        <v>43</v>
      </c>
      <c r="H137" s="3"/>
      <c r="I137" s="3" t="s">
        <v>43</v>
      </c>
      <c r="J137" s="3"/>
      <c r="K137" s="3" t="s">
        <v>43</v>
      </c>
      <c r="L137" s="3"/>
      <c r="M137" s="3" t="s">
        <v>43</v>
      </c>
      <c r="N137" s="3" t="s">
        <v>44</v>
      </c>
      <c r="O137" s="3">
        <v>1.1000000000000001</v>
      </c>
      <c r="P137" s="3"/>
      <c r="Q137" s="3">
        <v>0.8</v>
      </c>
      <c r="R137" s="3"/>
      <c r="S137" s="3">
        <v>1.5</v>
      </c>
      <c r="T137" s="3"/>
      <c r="U137" s="3">
        <v>1</v>
      </c>
      <c r="V137" s="3"/>
      <c r="W137" s="3">
        <v>1</v>
      </c>
      <c r="X137" s="3" t="s">
        <v>334</v>
      </c>
      <c r="Y137" s="3">
        <v>1.2</v>
      </c>
      <c r="Z137" s="3"/>
      <c r="AA137" s="3">
        <v>1.2</v>
      </c>
      <c r="AB137" s="3"/>
      <c r="AC137" s="3">
        <v>1.51</v>
      </c>
      <c r="AD137" s="3"/>
      <c r="AE137" s="3">
        <v>1.79</v>
      </c>
      <c r="AF137" s="3"/>
      <c r="AG137" s="3">
        <v>2.12</v>
      </c>
      <c r="AH137" s="3"/>
    </row>
    <row r="138" spans="1:34">
      <c r="A138" t="s">
        <v>268</v>
      </c>
      <c r="B138" t="s">
        <v>269</v>
      </c>
      <c r="C138" s="3" t="s">
        <v>43</v>
      </c>
      <c r="D138" s="3"/>
      <c r="E138" s="3" t="s">
        <v>43</v>
      </c>
      <c r="F138" s="3"/>
      <c r="G138" s="3" t="s">
        <v>43</v>
      </c>
      <c r="H138" s="3"/>
      <c r="I138" s="3" t="s">
        <v>43</v>
      </c>
      <c r="J138" s="3"/>
      <c r="K138" s="3" t="s">
        <v>43</v>
      </c>
      <c r="L138" s="3"/>
      <c r="M138" s="3">
        <v>3</v>
      </c>
      <c r="N138" s="3"/>
      <c r="O138" s="3">
        <v>0.2</v>
      </c>
      <c r="P138" s="3"/>
      <c r="Q138" s="3">
        <v>0.2</v>
      </c>
      <c r="R138" s="3"/>
      <c r="S138" s="3">
        <v>0.4</v>
      </c>
      <c r="T138" s="3"/>
      <c r="U138" s="3">
        <v>0.3</v>
      </c>
      <c r="V138" s="3"/>
      <c r="W138" s="3">
        <v>0.3</v>
      </c>
      <c r="X138" s="3" t="s">
        <v>334</v>
      </c>
      <c r="Y138" s="3">
        <v>0.3</v>
      </c>
      <c r="Z138" s="3"/>
      <c r="AA138" s="3">
        <v>0.3</v>
      </c>
      <c r="AB138" s="3"/>
      <c r="AC138" s="3">
        <v>0.45</v>
      </c>
      <c r="AD138" s="3"/>
      <c r="AE138" s="3">
        <v>0.69</v>
      </c>
      <c r="AF138" s="3"/>
      <c r="AG138" s="3">
        <v>0.87</v>
      </c>
      <c r="AH138" s="3"/>
    </row>
    <row r="139" spans="1:34">
      <c r="A139" t="s">
        <v>270</v>
      </c>
      <c r="B139" t="s">
        <v>271</v>
      </c>
      <c r="C139" s="3" t="s">
        <v>43</v>
      </c>
      <c r="D139" s="3"/>
      <c r="E139" s="3" t="s">
        <v>43</v>
      </c>
      <c r="F139" s="3"/>
      <c r="G139" s="3" t="s">
        <v>43</v>
      </c>
      <c r="H139" s="3"/>
      <c r="I139" s="3" t="s">
        <v>43</v>
      </c>
      <c r="J139" s="3"/>
      <c r="K139" s="3" t="s">
        <v>43</v>
      </c>
      <c r="L139" s="3"/>
      <c r="M139" s="3" t="s">
        <v>43</v>
      </c>
      <c r="N139" s="3" t="s">
        <v>44</v>
      </c>
      <c r="O139" s="3" t="s">
        <v>43</v>
      </c>
      <c r="P139" s="3" t="s">
        <v>44</v>
      </c>
      <c r="Q139" s="3">
        <v>0</v>
      </c>
      <c r="R139" s="3"/>
      <c r="S139" s="3">
        <v>0.1</v>
      </c>
      <c r="T139" s="3"/>
      <c r="U139" s="3">
        <v>0.1</v>
      </c>
      <c r="V139" s="3"/>
      <c r="W139" s="3">
        <v>0</v>
      </c>
      <c r="X139" s="3" t="s">
        <v>334</v>
      </c>
      <c r="Y139" s="3">
        <v>0</v>
      </c>
      <c r="Z139" s="3"/>
      <c r="AA139" s="3" t="s">
        <v>43</v>
      </c>
      <c r="AB139" s="3" t="s">
        <v>44</v>
      </c>
      <c r="AC139" s="3">
        <v>0.05</v>
      </c>
      <c r="AD139" s="3"/>
      <c r="AE139" s="3">
        <v>0.06</v>
      </c>
      <c r="AF139" s="3"/>
      <c r="AG139" s="3">
        <v>0.09</v>
      </c>
      <c r="AH139" s="3"/>
    </row>
    <row r="140" spans="1:34">
      <c r="A140" t="s">
        <v>272</v>
      </c>
      <c r="B140" t="s">
        <v>273</v>
      </c>
      <c r="C140" s="3" t="s">
        <v>43</v>
      </c>
      <c r="D140" s="3"/>
      <c r="E140" s="3" t="s">
        <v>43</v>
      </c>
      <c r="F140" s="3"/>
      <c r="G140" s="3" t="s">
        <v>43</v>
      </c>
      <c r="H140" s="3"/>
      <c r="I140" s="3" t="s">
        <v>43</v>
      </c>
      <c r="J140" s="3"/>
      <c r="K140" s="3" t="s">
        <v>43</v>
      </c>
      <c r="L140" s="3"/>
      <c r="M140" s="3">
        <v>1.1000000000000001</v>
      </c>
      <c r="N140" s="3"/>
      <c r="O140" s="3">
        <v>0.4</v>
      </c>
      <c r="P140" s="3"/>
      <c r="Q140" s="3">
        <v>0.2</v>
      </c>
      <c r="R140" s="3"/>
      <c r="S140" s="3">
        <v>0.4</v>
      </c>
      <c r="T140" s="3"/>
      <c r="U140" s="3">
        <v>0.2</v>
      </c>
      <c r="V140" s="3"/>
      <c r="W140" s="3">
        <v>0.3</v>
      </c>
      <c r="X140" s="3" t="s">
        <v>334</v>
      </c>
      <c r="Y140" s="3">
        <v>0.4</v>
      </c>
      <c r="Z140" s="3"/>
      <c r="AA140" s="3" t="s">
        <v>43</v>
      </c>
      <c r="AB140" s="3" t="s">
        <v>44</v>
      </c>
      <c r="AC140" s="3">
        <v>0.49</v>
      </c>
      <c r="AD140" s="3"/>
      <c r="AE140" s="3">
        <v>0.51</v>
      </c>
      <c r="AF140" s="3"/>
      <c r="AG140" s="3">
        <v>0.57999999999999996</v>
      </c>
      <c r="AH140" s="3"/>
    </row>
    <row r="141" spans="1:34">
      <c r="A141" t="s">
        <v>274</v>
      </c>
      <c r="B141" t="s">
        <v>275</v>
      </c>
      <c r="C141" s="3" t="s">
        <v>43</v>
      </c>
      <c r="D141" s="3"/>
      <c r="E141" s="3" t="s">
        <v>43</v>
      </c>
      <c r="F141" s="3"/>
      <c r="G141" s="3" t="s">
        <v>43</v>
      </c>
      <c r="H141" s="3"/>
      <c r="I141" s="3" t="s">
        <v>43</v>
      </c>
      <c r="J141" s="3"/>
      <c r="K141" s="3" t="s">
        <v>43</v>
      </c>
      <c r="L141" s="3"/>
      <c r="M141" s="3">
        <v>0.6</v>
      </c>
      <c r="N141" s="3"/>
      <c r="O141" s="3" t="s">
        <v>43</v>
      </c>
      <c r="P141" s="3" t="s">
        <v>44</v>
      </c>
      <c r="Q141" s="3">
        <v>0.1</v>
      </c>
      <c r="R141" s="3"/>
      <c r="S141" s="3">
        <v>0.2</v>
      </c>
      <c r="T141" s="3"/>
      <c r="U141" s="3">
        <v>0.1</v>
      </c>
      <c r="V141" s="3"/>
      <c r="W141" s="3">
        <v>0.1</v>
      </c>
      <c r="X141" s="3" t="s">
        <v>334</v>
      </c>
      <c r="Y141" s="3">
        <v>0.1</v>
      </c>
      <c r="Z141" s="3"/>
      <c r="AA141" s="3">
        <v>0.2</v>
      </c>
      <c r="AB141" s="3"/>
      <c r="AC141" s="3">
        <v>0.19</v>
      </c>
      <c r="AD141" s="3"/>
      <c r="AE141" s="3">
        <v>0.21</v>
      </c>
      <c r="AF141" s="3"/>
      <c r="AG141" s="3">
        <v>0.23</v>
      </c>
      <c r="AH141" s="3"/>
    </row>
    <row r="142" spans="1:34">
      <c r="A142" t="s">
        <v>276</v>
      </c>
      <c r="B142" t="s">
        <v>277</v>
      </c>
      <c r="C142" s="3" t="s">
        <v>43</v>
      </c>
      <c r="D142" s="3"/>
      <c r="E142" s="3" t="s">
        <v>43</v>
      </c>
      <c r="F142" s="3"/>
      <c r="G142" s="3" t="s">
        <v>43</v>
      </c>
      <c r="H142" s="3"/>
      <c r="I142" s="3" t="s">
        <v>43</v>
      </c>
      <c r="J142" s="3"/>
      <c r="K142" s="3" t="s">
        <v>43</v>
      </c>
      <c r="L142" s="3"/>
      <c r="M142" s="3">
        <v>0.7</v>
      </c>
      <c r="N142" s="3"/>
      <c r="O142" s="3">
        <v>0.3</v>
      </c>
      <c r="P142" s="3"/>
      <c r="Q142" s="3">
        <v>0.3</v>
      </c>
      <c r="R142" s="3"/>
      <c r="S142" s="3">
        <v>0.4</v>
      </c>
      <c r="T142" s="3"/>
      <c r="U142" s="3">
        <v>0.3</v>
      </c>
      <c r="V142" s="3"/>
      <c r="W142" s="3">
        <v>0.3</v>
      </c>
      <c r="X142" s="3" t="s">
        <v>334</v>
      </c>
      <c r="Y142" s="3">
        <v>0.3</v>
      </c>
      <c r="Z142" s="3"/>
      <c r="AA142" s="3">
        <v>0.3</v>
      </c>
      <c r="AB142" s="3"/>
      <c r="AC142" s="3">
        <v>0.34</v>
      </c>
      <c r="AD142" s="3"/>
      <c r="AE142" s="3">
        <v>0.33</v>
      </c>
      <c r="AF142" s="3"/>
      <c r="AG142" s="3">
        <v>0.36</v>
      </c>
      <c r="AH142" s="3"/>
    </row>
    <row r="143" spans="1:34">
      <c r="A143" t="s">
        <v>278</v>
      </c>
      <c r="B143" t="s">
        <v>68</v>
      </c>
      <c r="C143" s="3">
        <v>0</v>
      </c>
      <c r="D143" s="3"/>
      <c r="E143" s="3" t="s">
        <v>43</v>
      </c>
      <c r="F143" s="3"/>
      <c r="G143" s="3" t="s">
        <v>43</v>
      </c>
      <c r="H143" s="3"/>
      <c r="I143" s="3" t="s">
        <v>43</v>
      </c>
      <c r="J143" s="3"/>
      <c r="K143" s="3" t="s">
        <v>43</v>
      </c>
      <c r="L143" s="3"/>
      <c r="M143" s="3" t="s">
        <v>43</v>
      </c>
      <c r="N143" s="3"/>
      <c r="O143" s="3">
        <v>0</v>
      </c>
      <c r="P143" s="3"/>
      <c r="Q143" s="3">
        <v>0</v>
      </c>
      <c r="R143" s="3" t="s">
        <v>334</v>
      </c>
      <c r="S143" s="3">
        <v>0</v>
      </c>
      <c r="T143" s="3"/>
      <c r="U143" s="3">
        <v>0</v>
      </c>
      <c r="V143" s="3"/>
      <c r="W143" s="3">
        <v>0</v>
      </c>
      <c r="X143" s="3" t="s">
        <v>334</v>
      </c>
      <c r="Y143" s="3" t="s">
        <v>43</v>
      </c>
      <c r="Z143" s="3"/>
      <c r="AA143" s="3" t="s">
        <v>43</v>
      </c>
      <c r="AB143" s="3"/>
      <c r="AC143" s="3">
        <v>0</v>
      </c>
      <c r="AD143" s="3"/>
      <c r="AE143" s="3">
        <v>0</v>
      </c>
      <c r="AF143" s="3"/>
      <c r="AG143" s="3">
        <v>0</v>
      </c>
      <c r="AH143" s="3"/>
    </row>
    <row r="144" spans="1:34">
      <c r="A144" t="s">
        <v>279</v>
      </c>
      <c r="B144" t="s">
        <v>70</v>
      </c>
      <c r="C144" s="3">
        <v>0</v>
      </c>
      <c r="D144" s="3"/>
      <c r="E144" s="3" t="s">
        <v>43</v>
      </c>
      <c r="F144" s="3"/>
      <c r="G144" s="3" t="s">
        <v>43</v>
      </c>
      <c r="H144" s="3"/>
      <c r="I144" s="3" t="s">
        <v>43</v>
      </c>
      <c r="J144" s="3"/>
      <c r="K144" s="3" t="s">
        <v>43</v>
      </c>
      <c r="L144" s="3"/>
      <c r="M144" s="3" t="s">
        <v>43</v>
      </c>
      <c r="N144" s="3"/>
      <c r="O144" s="3">
        <v>0</v>
      </c>
      <c r="P144" s="3"/>
      <c r="Q144" s="3">
        <v>0</v>
      </c>
      <c r="R144" s="3" t="s">
        <v>334</v>
      </c>
      <c r="S144" s="3">
        <v>0</v>
      </c>
      <c r="T144" s="3"/>
      <c r="U144" s="3">
        <v>0</v>
      </c>
      <c r="V144" s="3"/>
      <c r="W144" s="3">
        <v>0</v>
      </c>
      <c r="X144" s="3" t="s">
        <v>334</v>
      </c>
      <c r="Y144" s="3" t="s">
        <v>43</v>
      </c>
      <c r="Z144" s="3"/>
      <c r="AA144" s="3" t="s">
        <v>43</v>
      </c>
      <c r="AB144" s="3"/>
      <c r="AC144" s="3">
        <v>0</v>
      </c>
      <c r="AD144" s="3"/>
      <c r="AE144" s="3">
        <v>0</v>
      </c>
      <c r="AF144" s="3"/>
      <c r="AG144" s="3">
        <v>0</v>
      </c>
      <c r="AH144" s="3"/>
    </row>
    <row r="145" spans="1:34">
      <c r="A145" t="s">
        <v>280</v>
      </c>
      <c r="B145" t="s">
        <v>281</v>
      </c>
      <c r="C145" s="3">
        <v>4969.1000000000004</v>
      </c>
      <c r="D145" s="3"/>
      <c r="E145" s="3">
        <v>4563.1000000000004</v>
      </c>
      <c r="F145" s="3"/>
      <c r="G145" s="3">
        <v>4487.5</v>
      </c>
      <c r="H145" s="3"/>
      <c r="I145" s="3">
        <v>4451.8</v>
      </c>
      <c r="J145" s="3"/>
      <c r="K145" s="3">
        <v>4275.8</v>
      </c>
      <c r="L145" s="3"/>
      <c r="M145" s="3">
        <v>4337.6000000000004</v>
      </c>
      <c r="N145" s="3"/>
      <c r="O145" s="3">
        <v>4488.3999999999996</v>
      </c>
      <c r="P145" s="3"/>
      <c r="Q145" s="3">
        <v>4788.8999999999996</v>
      </c>
      <c r="R145" s="3"/>
      <c r="S145" s="3">
        <v>5021.8999999999996</v>
      </c>
      <c r="T145" s="3"/>
      <c r="U145" s="3">
        <v>5125.8</v>
      </c>
      <c r="V145" s="3"/>
      <c r="W145" s="3">
        <v>5166.8999999999996</v>
      </c>
      <c r="X145" s="3" t="s">
        <v>334</v>
      </c>
      <c r="Y145" s="3">
        <v>5455.5</v>
      </c>
      <c r="Z145" s="3"/>
      <c r="AA145" s="3">
        <v>5090.2</v>
      </c>
      <c r="AB145" s="3"/>
      <c r="AC145" s="3">
        <v>5706.46</v>
      </c>
      <c r="AD145" s="3"/>
      <c r="AE145" s="3">
        <v>5463.59</v>
      </c>
      <c r="AF145" s="3"/>
      <c r="AG145" s="3">
        <v>5716.65</v>
      </c>
      <c r="AH145" s="3"/>
    </row>
    <row r="146" spans="1:34">
      <c r="A146" t="s">
        <v>282</v>
      </c>
      <c r="B146" t="s">
        <v>283</v>
      </c>
      <c r="C146" s="3">
        <v>626.9</v>
      </c>
      <c r="D146" s="3"/>
      <c r="E146" s="3">
        <v>558.6</v>
      </c>
      <c r="F146" s="3"/>
      <c r="G146" s="3">
        <v>518.1</v>
      </c>
      <c r="H146" s="3"/>
      <c r="I146" s="3">
        <v>507</v>
      </c>
      <c r="J146" s="3"/>
      <c r="K146" s="3">
        <v>487.4</v>
      </c>
      <c r="L146" s="3"/>
      <c r="M146" s="3">
        <v>520.1</v>
      </c>
      <c r="N146" s="3"/>
      <c r="O146" s="3">
        <v>475.8</v>
      </c>
      <c r="P146" s="3"/>
      <c r="Q146" s="3">
        <v>519.79999999999995</v>
      </c>
      <c r="R146" s="3"/>
      <c r="S146" s="3">
        <v>546.70000000000005</v>
      </c>
      <c r="T146" s="3"/>
      <c r="U146" s="3">
        <v>578.4</v>
      </c>
      <c r="V146" s="3"/>
      <c r="W146" s="3">
        <v>586.29999999999995</v>
      </c>
      <c r="X146" s="3" t="s">
        <v>334</v>
      </c>
      <c r="Y146" s="3">
        <v>608.29999999999995</v>
      </c>
      <c r="Z146" s="3"/>
      <c r="AA146" s="3">
        <v>595.4</v>
      </c>
      <c r="AB146" s="3"/>
      <c r="AC146" s="3">
        <v>711.08</v>
      </c>
      <c r="AD146" s="3"/>
      <c r="AE146" s="3">
        <v>645.57000000000005</v>
      </c>
      <c r="AF146" s="3"/>
      <c r="AG146" s="3">
        <v>715.47</v>
      </c>
      <c r="AH146" s="3"/>
    </row>
    <row r="147" spans="1:34">
      <c r="A147" t="s">
        <v>284</v>
      </c>
      <c r="B147" t="s">
        <v>285</v>
      </c>
      <c r="C147" s="3">
        <v>505.1</v>
      </c>
      <c r="D147" s="3"/>
      <c r="E147" s="3">
        <v>442.5</v>
      </c>
      <c r="F147" s="3"/>
      <c r="G147" s="3">
        <v>415.4</v>
      </c>
      <c r="H147" s="3"/>
      <c r="I147" s="3">
        <v>398.3</v>
      </c>
      <c r="J147" s="3"/>
      <c r="K147" s="3">
        <v>380.8</v>
      </c>
      <c r="L147" s="3"/>
      <c r="M147" s="3">
        <v>407.8</v>
      </c>
      <c r="N147" s="3"/>
      <c r="O147" s="3">
        <v>373.7</v>
      </c>
      <c r="P147" s="3"/>
      <c r="Q147" s="3">
        <v>410.9</v>
      </c>
      <c r="R147" s="3"/>
      <c r="S147" s="3">
        <v>420.6</v>
      </c>
      <c r="T147" s="3"/>
      <c r="U147" s="3">
        <v>440.8</v>
      </c>
      <c r="V147" s="3"/>
      <c r="W147" s="3">
        <v>447.8</v>
      </c>
      <c r="X147" s="3" t="s">
        <v>334</v>
      </c>
      <c r="Y147" s="3">
        <v>457.5</v>
      </c>
      <c r="Z147" s="3"/>
      <c r="AA147" s="3">
        <v>469.6</v>
      </c>
      <c r="AB147" s="3"/>
      <c r="AC147" s="3">
        <v>511.54</v>
      </c>
      <c r="AD147" s="3"/>
      <c r="AE147" s="3">
        <v>500.47</v>
      </c>
      <c r="AF147" s="3"/>
      <c r="AG147" s="3">
        <v>574.6</v>
      </c>
      <c r="AH147" s="3"/>
    </row>
    <row r="148" spans="1:34">
      <c r="A148" t="s">
        <v>286</v>
      </c>
      <c r="B148" t="s">
        <v>287</v>
      </c>
      <c r="C148" s="3">
        <v>24.3</v>
      </c>
      <c r="D148" s="3"/>
      <c r="E148" s="3">
        <v>20.7</v>
      </c>
      <c r="F148" s="3"/>
      <c r="G148" s="3">
        <v>22.4</v>
      </c>
      <c r="H148" s="3"/>
      <c r="I148" s="3">
        <v>23.9</v>
      </c>
      <c r="J148" s="3"/>
      <c r="K148" s="3">
        <v>22.5</v>
      </c>
      <c r="L148" s="3"/>
      <c r="M148" s="3">
        <v>24.8</v>
      </c>
      <c r="N148" s="3"/>
      <c r="O148" s="3">
        <v>15.6</v>
      </c>
      <c r="P148" s="3"/>
      <c r="Q148" s="3">
        <v>19</v>
      </c>
      <c r="R148" s="3"/>
      <c r="S148" s="3">
        <v>20.399999999999999</v>
      </c>
      <c r="T148" s="3"/>
      <c r="U148" s="3">
        <v>23.3</v>
      </c>
      <c r="V148" s="3"/>
      <c r="W148" s="3">
        <v>22.7</v>
      </c>
      <c r="X148" s="3" t="s">
        <v>334</v>
      </c>
      <c r="Y148" s="3">
        <v>22.4</v>
      </c>
      <c r="Z148" s="3"/>
      <c r="AA148" s="3">
        <v>22.9</v>
      </c>
      <c r="AB148" s="3"/>
      <c r="AC148" s="3">
        <v>17.670000000000002</v>
      </c>
      <c r="AD148" s="3"/>
      <c r="AE148" s="3">
        <v>17.989999999999998</v>
      </c>
      <c r="AF148" s="3"/>
      <c r="AG148" s="3">
        <v>20.87</v>
      </c>
      <c r="AH148" s="3"/>
    </row>
    <row r="149" spans="1:34">
      <c r="A149" t="s">
        <v>288</v>
      </c>
      <c r="B149" t="s">
        <v>289</v>
      </c>
      <c r="C149" s="3">
        <v>97.5</v>
      </c>
      <c r="D149" s="3"/>
      <c r="E149" s="3">
        <v>95.5</v>
      </c>
      <c r="F149" s="3"/>
      <c r="G149" s="3">
        <v>80.400000000000006</v>
      </c>
      <c r="H149" s="3"/>
      <c r="I149" s="3">
        <v>84.8</v>
      </c>
      <c r="J149" s="3"/>
      <c r="K149" s="3">
        <v>84.1</v>
      </c>
      <c r="L149" s="3"/>
      <c r="M149" s="3">
        <v>87.5</v>
      </c>
      <c r="N149" s="3"/>
      <c r="O149" s="3">
        <v>86.5</v>
      </c>
      <c r="P149" s="3"/>
      <c r="Q149" s="3">
        <v>89.9</v>
      </c>
      <c r="R149" s="3"/>
      <c r="S149" s="3">
        <v>105.6</v>
      </c>
      <c r="T149" s="3"/>
      <c r="U149" s="3">
        <v>114.3</v>
      </c>
      <c r="V149" s="3"/>
      <c r="W149" s="3">
        <v>115.8</v>
      </c>
      <c r="X149" s="3" t="s">
        <v>334</v>
      </c>
      <c r="Y149" s="3">
        <v>128.4</v>
      </c>
      <c r="Z149" s="3"/>
      <c r="AA149" s="3">
        <v>102.8</v>
      </c>
      <c r="AB149" s="3"/>
      <c r="AC149" s="3">
        <v>181.86</v>
      </c>
      <c r="AD149" s="3"/>
      <c r="AE149" s="3">
        <v>127.1</v>
      </c>
      <c r="AF149" s="3"/>
      <c r="AG149" s="3">
        <v>119.99</v>
      </c>
      <c r="AH149" s="3"/>
    </row>
    <row r="150" spans="1:34">
      <c r="A150" t="s">
        <v>290</v>
      </c>
      <c r="B150" t="s">
        <v>291</v>
      </c>
      <c r="C150" s="3">
        <v>1385.4</v>
      </c>
      <c r="D150" s="3"/>
      <c r="E150" s="3">
        <v>1256.7</v>
      </c>
      <c r="F150" s="3"/>
      <c r="G150" s="3">
        <v>1376.4</v>
      </c>
      <c r="H150" s="3"/>
      <c r="I150" s="3">
        <v>1349.2</v>
      </c>
      <c r="J150" s="3"/>
      <c r="K150" s="3">
        <v>1272.9000000000001</v>
      </c>
      <c r="L150" s="3"/>
      <c r="M150" s="3">
        <v>1221</v>
      </c>
      <c r="N150" s="3"/>
      <c r="O150" s="3">
        <v>1271.0999999999999</v>
      </c>
      <c r="P150" s="3"/>
      <c r="Q150" s="3">
        <v>1330.4</v>
      </c>
      <c r="R150" s="3"/>
      <c r="S150" s="3">
        <v>1400.7</v>
      </c>
      <c r="T150" s="3"/>
      <c r="U150" s="3">
        <v>1478.5</v>
      </c>
      <c r="V150" s="3"/>
      <c r="W150" s="3">
        <v>1498.8</v>
      </c>
      <c r="X150" s="3" t="s">
        <v>334</v>
      </c>
      <c r="Y150" s="3">
        <v>1544.1</v>
      </c>
      <c r="Z150" s="3"/>
      <c r="AA150" s="3">
        <v>1443.2</v>
      </c>
      <c r="AB150" s="3"/>
      <c r="AC150" s="3">
        <v>1418.29</v>
      </c>
      <c r="AD150" s="3"/>
      <c r="AE150" s="3">
        <v>1581.49</v>
      </c>
      <c r="AF150" s="3"/>
      <c r="AG150" s="3">
        <v>1656.84</v>
      </c>
      <c r="AH150" s="3"/>
    </row>
    <row r="151" spans="1:34">
      <c r="A151" t="s">
        <v>292</v>
      </c>
      <c r="B151" t="s">
        <v>293</v>
      </c>
      <c r="C151" s="3">
        <v>448.8</v>
      </c>
      <c r="D151" s="3"/>
      <c r="E151" s="3">
        <v>390.4</v>
      </c>
      <c r="F151" s="3"/>
      <c r="G151" s="3">
        <v>434.8</v>
      </c>
      <c r="H151" s="3"/>
      <c r="I151" s="3">
        <v>426.4</v>
      </c>
      <c r="J151" s="3"/>
      <c r="K151" s="3">
        <v>437.3</v>
      </c>
      <c r="L151" s="3"/>
      <c r="M151" s="3">
        <v>446.5</v>
      </c>
      <c r="N151" s="3"/>
      <c r="O151" s="3">
        <v>451.6</v>
      </c>
      <c r="P151" s="3"/>
      <c r="Q151" s="3">
        <v>452.1</v>
      </c>
      <c r="R151" s="3"/>
      <c r="S151" s="3">
        <v>504.9</v>
      </c>
      <c r="T151" s="3"/>
      <c r="U151" s="3">
        <v>522.4</v>
      </c>
      <c r="V151" s="3"/>
      <c r="W151" s="3">
        <v>522</v>
      </c>
      <c r="X151" s="3" t="s">
        <v>334</v>
      </c>
      <c r="Y151" s="3">
        <v>524.9</v>
      </c>
      <c r="Z151" s="3"/>
      <c r="AA151" s="3">
        <v>487.3</v>
      </c>
      <c r="AB151" s="3"/>
      <c r="AC151" s="3">
        <v>510.3</v>
      </c>
      <c r="AD151" s="3"/>
      <c r="AE151" s="3">
        <v>560.49</v>
      </c>
      <c r="AF151" s="3"/>
      <c r="AG151" s="3">
        <v>608.94000000000005</v>
      </c>
      <c r="AH151" s="3"/>
    </row>
    <row r="152" spans="1:34">
      <c r="A152" t="s">
        <v>294</v>
      </c>
      <c r="B152" t="s">
        <v>295</v>
      </c>
      <c r="C152" s="3">
        <v>384.1</v>
      </c>
      <c r="D152" s="3"/>
      <c r="E152" s="3">
        <v>397.8</v>
      </c>
      <c r="F152" s="3"/>
      <c r="G152" s="3">
        <v>413.1</v>
      </c>
      <c r="H152" s="3"/>
      <c r="I152" s="3">
        <v>427.2</v>
      </c>
      <c r="J152" s="3"/>
      <c r="K152" s="3">
        <v>406.5</v>
      </c>
      <c r="L152" s="3"/>
      <c r="M152" s="3">
        <v>403</v>
      </c>
      <c r="N152" s="3"/>
      <c r="O152" s="3">
        <v>402.2</v>
      </c>
      <c r="P152" s="3"/>
      <c r="Q152" s="3">
        <v>423.6</v>
      </c>
      <c r="R152" s="3"/>
      <c r="S152" s="3">
        <v>431.2</v>
      </c>
      <c r="T152" s="3"/>
      <c r="U152" s="3">
        <v>443.7</v>
      </c>
      <c r="V152" s="3"/>
      <c r="W152" s="3">
        <v>440.2</v>
      </c>
      <c r="X152" s="3" t="s">
        <v>334</v>
      </c>
      <c r="Y152" s="3">
        <v>465</v>
      </c>
      <c r="Z152" s="3"/>
      <c r="AA152" s="3">
        <v>440.2</v>
      </c>
      <c r="AB152" s="3"/>
      <c r="AC152" s="3">
        <v>435.47</v>
      </c>
      <c r="AD152" s="3"/>
      <c r="AE152" s="3">
        <v>449.72</v>
      </c>
      <c r="AF152" s="3"/>
      <c r="AG152" s="3">
        <v>468.29</v>
      </c>
      <c r="AH152" s="3"/>
    </row>
    <row r="153" spans="1:34">
      <c r="A153" t="s">
        <v>296</v>
      </c>
      <c r="B153" t="s">
        <v>297</v>
      </c>
      <c r="C153" s="3">
        <v>34.6</v>
      </c>
      <c r="D153" s="3"/>
      <c r="E153" s="3">
        <v>34.200000000000003</v>
      </c>
      <c r="F153" s="3"/>
      <c r="G153" s="3">
        <v>34.700000000000003</v>
      </c>
      <c r="H153" s="3"/>
      <c r="I153" s="3">
        <v>63.7</v>
      </c>
      <c r="J153" s="3"/>
      <c r="K153" s="3">
        <v>61.1</v>
      </c>
      <c r="L153" s="3"/>
      <c r="M153" s="3">
        <v>25.6</v>
      </c>
      <c r="N153" s="3"/>
      <c r="O153" s="3">
        <v>24</v>
      </c>
      <c r="P153" s="3"/>
      <c r="Q153" s="3">
        <v>33.299999999999997</v>
      </c>
      <c r="R153" s="3"/>
      <c r="S153" s="3">
        <v>33.1</v>
      </c>
      <c r="T153" s="3"/>
      <c r="U153" s="3">
        <v>36.700000000000003</v>
      </c>
      <c r="V153" s="3"/>
      <c r="W153" s="3">
        <v>32.1</v>
      </c>
      <c r="X153" s="3" t="s">
        <v>334</v>
      </c>
      <c r="Y153" s="3">
        <v>33.299999999999997</v>
      </c>
      <c r="Z153" s="3"/>
      <c r="AA153" s="3">
        <v>30.8</v>
      </c>
      <c r="AB153" s="3"/>
      <c r="AC153" s="3">
        <v>30.14</v>
      </c>
      <c r="AD153" s="3"/>
      <c r="AE153" s="3">
        <v>32.68</v>
      </c>
      <c r="AF153" s="3"/>
      <c r="AG153" s="3">
        <v>33.58</v>
      </c>
      <c r="AH153" s="3"/>
    </row>
    <row r="154" spans="1:34">
      <c r="A154" t="s">
        <v>298</v>
      </c>
      <c r="B154" t="s">
        <v>299</v>
      </c>
      <c r="C154" s="3">
        <v>517.79999999999995</v>
      </c>
      <c r="D154" s="3"/>
      <c r="E154" s="3">
        <v>434.2</v>
      </c>
      <c r="F154" s="3"/>
      <c r="G154" s="3">
        <v>493.7</v>
      </c>
      <c r="H154" s="3"/>
      <c r="I154" s="3">
        <v>431.9</v>
      </c>
      <c r="J154" s="3"/>
      <c r="K154" s="3">
        <v>368</v>
      </c>
      <c r="L154" s="3"/>
      <c r="M154" s="3">
        <v>345.9</v>
      </c>
      <c r="N154" s="3"/>
      <c r="O154" s="3">
        <v>393.3</v>
      </c>
      <c r="P154" s="3"/>
      <c r="Q154" s="3">
        <v>421.5</v>
      </c>
      <c r="R154" s="3"/>
      <c r="S154" s="3">
        <v>431.5</v>
      </c>
      <c r="T154" s="3"/>
      <c r="U154" s="3">
        <v>475.7</v>
      </c>
      <c r="V154" s="3"/>
      <c r="W154" s="3">
        <v>504.5</v>
      </c>
      <c r="X154" s="3" t="s">
        <v>334</v>
      </c>
      <c r="Y154" s="3">
        <v>520.9</v>
      </c>
      <c r="Z154" s="3"/>
      <c r="AA154" s="3">
        <v>484.9</v>
      </c>
      <c r="AB154" s="3"/>
      <c r="AC154" s="3">
        <v>442.38</v>
      </c>
      <c r="AD154" s="3"/>
      <c r="AE154" s="3">
        <v>538.61</v>
      </c>
      <c r="AF154" s="3"/>
      <c r="AG154" s="3">
        <v>546.03</v>
      </c>
      <c r="AH154" s="3"/>
    </row>
    <row r="155" spans="1:34">
      <c r="A155" t="s">
        <v>300</v>
      </c>
      <c r="B155" t="s">
        <v>301</v>
      </c>
      <c r="C155" s="3">
        <v>355.7</v>
      </c>
      <c r="D155" s="3"/>
      <c r="E155" s="3">
        <v>405.5</v>
      </c>
      <c r="F155" s="3"/>
      <c r="G155" s="3">
        <v>325.5</v>
      </c>
      <c r="H155" s="3"/>
      <c r="I155" s="3">
        <v>360</v>
      </c>
      <c r="J155" s="3"/>
      <c r="K155" s="3">
        <v>309.3</v>
      </c>
      <c r="L155" s="3"/>
      <c r="M155" s="3">
        <v>322.8</v>
      </c>
      <c r="N155" s="3"/>
      <c r="O155" s="3">
        <v>321.2</v>
      </c>
      <c r="P155" s="3"/>
      <c r="Q155" s="3">
        <v>331.7</v>
      </c>
      <c r="R155" s="3"/>
      <c r="S155" s="3">
        <v>334.3</v>
      </c>
      <c r="T155" s="3"/>
      <c r="U155" s="3">
        <v>355</v>
      </c>
      <c r="V155" s="3"/>
      <c r="W155" s="3">
        <v>339</v>
      </c>
      <c r="X155" s="3" t="s">
        <v>334</v>
      </c>
      <c r="Y155" s="3">
        <v>314.5</v>
      </c>
      <c r="Z155" s="3"/>
      <c r="AA155" s="3">
        <v>303.3</v>
      </c>
      <c r="AB155" s="3"/>
      <c r="AC155" s="3">
        <v>363.45</v>
      </c>
      <c r="AD155" s="3"/>
      <c r="AE155" s="3">
        <v>350.98</v>
      </c>
      <c r="AF155" s="3"/>
      <c r="AG155" s="3">
        <v>437.93</v>
      </c>
      <c r="AH155" s="3"/>
    </row>
    <row r="156" spans="1:34">
      <c r="A156" t="s">
        <v>302</v>
      </c>
      <c r="B156" t="s">
        <v>301</v>
      </c>
      <c r="C156" s="3">
        <v>355.7</v>
      </c>
      <c r="D156" s="3"/>
      <c r="E156" s="3">
        <v>405.5</v>
      </c>
      <c r="F156" s="3"/>
      <c r="G156" s="3">
        <v>325.5</v>
      </c>
      <c r="H156" s="3"/>
      <c r="I156" s="3">
        <v>360</v>
      </c>
      <c r="J156" s="3"/>
      <c r="K156" s="3">
        <v>309.3</v>
      </c>
      <c r="L156" s="3"/>
      <c r="M156" s="3">
        <v>322.8</v>
      </c>
      <c r="N156" s="3"/>
      <c r="O156" s="3">
        <v>321.2</v>
      </c>
      <c r="P156" s="3"/>
      <c r="Q156" s="3">
        <v>331.7</v>
      </c>
      <c r="R156" s="3"/>
      <c r="S156" s="3">
        <v>334.3</v>
      </c>
      <c r="T156" s="3"/>
      <c r="U156" s="3">
        <v>355</v>
      </c>
      <c r="V156" s="3"/>
      <c r="W156" s="3">
        <v>339</v>
      </c>
      <c r="X156" s="3" t="s">
        <v>334</v>
      </c>
      <c r="Y156" s="3">
        <v>314.5</v>
      </c>
      <c r="Z156" s="3"/>
      <c r="AA156" s="3">
        <v>303.3</v>
      </c>
      <c r="AB156" s="3"/>
      <c r="AC156" s="3">
        <v>363.45</v>
      </c>
      <c r="AD156" s="3"/>
      <c r="AE156" s="3">
        <v>350.98</v>
      </c>
      <c r="AF156" s="3"/>
      <c r="AG156" s="3">
        <v>437.93</v>
      </c>
      <c r="AH156" s="3"/>
    </row>
    <row r="157" spans="1:34">
      <c r="A157" t="s">
        <v>303</v>
      </c>
      <c r="B157" t="s">
        <v>304</v>
      </c>
      <c r="C157" s="3">
        <v>556</v>
      </c>
      <c r="D157" s="3"/>
      <c r="E157" s="3">
        <v>594.9</v>
      </c>
      <c r="F157" s="3"/>
      <c r="G157" s="3">
        <v>516.20000000000005</v>
      </c>
      <c r="H157" s="3"/>
      <c r="I157" s="3">
        <v>499</v>
      </c>
      <c r="J157" s="3"/>
      <c r="K157" s="3">
        <v>488.3</v>
      </c>
      <c r="L157" s="3"/>
      <c r="M157" s="3">
        <v>485.6</v>
      </c>
      <c r="N157" s="3"/>
      <c r="O157" s="3">
        <v>500.5</v>
      </c>
      <c r="P157" s="3"/>
      <c r="Q157" s="3">
        <v>581.5</v>
      </c>
      <c r="R157" s="3"/>
      <c r="S157" s="3">
        <v>649.20000000000005</v>
      </c>
      <c r="T157" s="3"/>
      <c r="U157" s="3">
        <v>625.4</v>
      </c>
      <c r="V157" s="3"/>
      <c r="W157" s="3">
        <v>629.79999999999995</v>
      </c>
      <c r="X157" s="3" t="s">
        <v>334</v>
      </c>
      <c r="Y157" s="3">
        <v>682.1</v>
      </c>
      <c r="Z157" s="3"/>
      <c r="AA157" s="3">
        <v>608.9</v>
      </c>
      <c r="AB157" s="3"/>
      <c r="AC157" s="3">
        <v>657.5</v>
      </c>
      <c r="AD157" s="3"/>
      <c r="AE157" s="3">
        <v>685.83</v>
      </c>
      <c r="AF157" s="3"/>
      <c r="AG157" s="3">
        <v>676.92</v>
      </c>
      <c r="AH157" s="3"/>
    </row>
    <row r="158" spans="1:34">
      <c r="A158" t="s">
        <v>305</v>
      </c>
      <c r="B158" t="s">
        <v>306</v>
      </c>
      <c r="C158" s="3">
        <v>494.5</v>
      </c>
      <c r="D158" s="3"/>
      <c r="E158" s="3">
        <v>542.79999999999995</v>
      </c>
      <c r="F158" s="3"/>
      <c r="G158" s="3">
        <v>461.9</v>
      </c>
      <c r="H158" s="3"/>
      <c r="I158" s="3">
        <v>436.2</v>
      </c>
      <c r="J158" s="3"/>
      <c r="K158" s="3">
        <v>427</v>
      </c>
      <c r="L158" s="3"/>
      <c r="M158" s="3">
        <v>424.5</v>
      </c>
      <c r="N158" s="3"/>
      <c r="O158" s="3">
        <v>440.2</v>
      </c>
      <c r="P158" s="3"/>
      <c r="Q158" s="3">
        <v>519.20000000000005</v>
      </c>
      <c r="R158" s="3"/>
      <c r="S158" s="3">
        <v>584.70000000000005</v>
      </c>
      <c r="T158" s="3"/>
      <c r="U158" s="3">
        <v>552.20000000000005</v>
      </c>
      <c r="V158" s="3"/>
      <c r="W158" s="3">
        <v>542.1</v>
      </c>
      <c r="X158" s="3" t="s">
        <v>334</v>
      </c>
      <c r="Y158" s="3">
        <v>584.79999999999995</v>
      </c>
      <c r="Z158" s="3"/>
      <c r="AA158" s="3">
        <v>506.6</v>
      </c>
      <c r="AB158" s="3"/>
      <c r="AC158" s="3">
        <v>537.32000000000005</v>
      </c>
      <c r="AD158" s="3"/>
      <c r="AE158" s="3">
        <v>556.71</v>
      </c>
      <c r="AF158" s="3"/>
      <c r="AG158" s="3">
        <v>531.84</v>
      </c>
      <c r="AH158" s="3"/>
    </row>
    <row r="159" spans="1:34">
      <c r="A159" t="s">
        <v>307</v>
      </c>
      <c r="B159" t="s">
        <v>308</v>
      </c>
      <c r="C159" s="3">
        <v>58.8</v>
      </c>
      <c r="D159" s="3"/>
      <c r="E159" s="3">
        <v>49.6</v>
      </c>
      <c r="F159" s="3"/>
      <c r="G159" s="3">
        <v>52.1</v>
      </c>
      <c r="H159" s="3"/>
      <c r="I159" s="3">
        <v>57.2</v>
      </c>
      <c r="J159" s="3"/>
      <c r="K159" s="3">
        <v>58.9</v>
      </c>
      <c r="L159" s="3"/>
      <c r="M159" s="3">
        <v>59.7</v>
      </c>
      <c r="N159" s="3"/>
      <c r="O159" s="3">
        <v>59</v>
      </c>
      <c r="P159" s="3"/>
      <c r="Q159" s="3">
        <v>60.8</v>
      </c>
      <c r="R159" s="3"/>
      <c r="S159" s="3">
        <v>62.9</v>
      </c>
      <c r="T159" s="3"/>
      <c r="U159" s="3">
        <v>71.400000000000006</v>
      </c>
      <c r="V159" s="3"/>
      <c r="W159" s="3">
        <v>86.1</v>
      </c>
      <c r="X159" s="3" t="s">
        <v>334</v>
      </c>
      <c r="Y159" s="3">
        <v>95.2</v>
      </c>
      <c r="Z159" s="3"/>
      <c r="AA159" s="3">
        <v>100.7</v>
      </c>
      <c r="AB159" s="3"/>
      <c r="AC159" s="3">
        <v>118.79</v>
      </c>
      <c r="AD159" s="3"/>
      <c r="AE159" s="3">
        <v>126.88</v>
      </c>
      <c r="AF159" s="3"/>
      <c r="AG159" s="3">
        <v>142.76</v>
      </c>
      <c r="AH159" s="3"/>
    </row>
    <row r="160" spans="1:34">
      <c r="A160" t="s">
        <v>309</v>
      </c>
      <c r="B160" t="s">
        <v>310</v>
      </c>
      <c r="C160" s="3">
        <v>2.8</v>
      </c>
      <c r="D160" s="3"/>
      <c r="E160" s="3">
        <v>2.5</v>
      </c>
      <c r="F160" s="3"/>
      <c r="G160" s="3">
        <v>2.2000000000000002</v>
      </c>
      <c r="H160" s="3"/>
      <c r="I160" s="3">
        <v>5.6</v>
      </c>
      <c r="J160" s="3"/>
      <c r="K160" s="3">
        <v>2.4</v>
      </c>
      <c r="L160" s="3"/>
      <c r="M160" s="3">
        <v>1.4</v>
      </c>
      <c r="N160" s="3"/>
      <c r="O160" s="3">
        <v>1.3</v>
      </c>
      <c r="P160" s="3"/>
      <c r="Q160" s="3">
        <v>1.4</v>
      </c>
      <c r="R160" s="3"/>
      <c r="S160" s="3">
        <v>1.6</v>
      </c>
      <c r="T160" s="3"/>
      <c r="U160" s="3">
        <v>1.8</v>
      </c>
      <c r="V160" s="3"/>
      <c r="W160" s="3">
        <v>1.6</v>
      </c>
      <c r="X160" s="3" t="s">
        <v>334</v>
      </c>
      <c r="Y160" s="3">
        <v>2.1</v>
      </c>
      <c r="Z160" s="3"/>
      <c r="AA160" s="3">
        <v>1.6</v>
      </c>
      <c r="AB160" s="3"/>
      <c r="AC160" s="3">
        <v>1.39</v>
      </c>
      <c r="AD160" s="3"/>
      <c r="AE160" s="3">
        <v>2.2400000000000002</v>
      </c>
      <c r="AF160" s="3"/>
      <c r="AG160" s="3">
        <v>2.3199999999999998</v>
      </c>
      <c r="AH160" s="3"/>
    </row>
    <row r="161" spans="1:34">
      <c r="A161" t="s">
        <v>311</v>
      </c>
      <c r="B161" t="s">
        <v>312</v>
      </c>
      <c r="C161" s="3">
        <v>1881.2</v>
      </c>
      <c r="D161" s="3"/>
      <c r="E161" s="3">
        <v>1616.8</v>
      </c>
      <c r="F161" s="3"/>
      <c r="G161" s="3">
        <v>1615.6</v>
      </c>
      <c r="H161" s="3"/>
      <c r="I161" s="3">
        <v>1625.1</v>
      </c>
      <c r="J161" s="3"/>
      <c r="K161" s="3">
        <v>1621.8</v>
      </c>
      <c r="L161" s="3"/>
      <c r="M161" s="3">
        <v>1695.5</v>
      </c>
      <c r="N161" s="3"/>
      <c r="O161" s="3">
        <v>1829.4</v>
      </c>
      <c r="P161" s="3"/>
      <c r="Q161" s="3">
        <v>1941</v>
      </c>
      <c r="R161" s="3"/>
      <c r="S161" s="3">
        <v>1996.7</v>
      </c>
      <c r="T161" s="3"/>
      <c r="U161" s="3">
        <v>1982</v>
      </c>
      <c r="V161" s="3"/>
      <c r="W161" s="3">
        <v>1989.7</v>
      </c>
      <c r="X161" s="3" t="s">
        <v>334</v>
      </c>
      <c r="Y161" s="3">
        <v>2184.6999999999998</v>
      </c>
      <c r="Z161" s="3"/>
      <c r="AA161" s="3">
        <v>2029.3</v>
      </c>
      <c r="AB161" s="3"/>
      <c r="AC161" s="3">
        <v>2433.06</v>
      </c>
      <c r="AD161" s="3"/>
      <c r="AE161" s="3">
        <v>2078.2800000000002</v>
      </c>
      <c r="AF161" s="3"/>
      <c r="AG161" s="3">
        <v>2088.39</v>
      </c>
      <c r="AH161" s="3"/>
    </row>
    <row r="162" spans="1:34">
      <c r="A162" t="s">
        <v>313</v>
      </c>
      <c r="B162" t="s">
        <v>314</v>
      </c>
      <c r="C162" s="3">
        <v>1472.1</v>
      </c>
      <c r="D162" s="3"/>
      <c r="E162" s="3">
        <v>1266.7</v>
      </c>
      <c r="F162" s="3"/>
      <c r="G162" s="3">
        <v>1248.3</v>
      </c>
      <c r="H162" s="3"/>
      <c r="I162" s="3">
        <v>1250.9000000000001</v>
      </c>
      <c r="J162" s="3"/>
      <c r="K162" s="3">
        <v>1275.3</v>
      </c>
      <c r="L162" s="3"/>
      <c r="M162" s="3">
        <v>1295.3</v>
      </c>
      <c r="N162" s="3"/>
      <c r="O162" s="3">
        <v>1379.4</v>
      </c>
      <c r="P162" s="3"/>
      <c r="Q162" s="3">
        <v>1440.9</v>
      </c>
      <c r="R162" s="3"/>
      <c r="S162" s="3">
        <v>1516.4</v>
      </c>
      <c r="T162" s="3"/>
      <c r="U162" s="3">
        <v>1459.5</v>
      </c>
      <c r="V162" s="3"/>
      <c r="W162" s="3">
        <v>1486.1</v>
      </c>
      <c r="X162" s="3" t="s">
        <v>334</v>
      </c>
      <c r="Y162" s="3">
        <v>1677.8</v>
      </c>
      <c r="Z162" s="3"/>
      <c r="AA162" s="3">
        <v>1512.6</v>
      </c>
      <c r="AB162" s="3"/>
      <c r="AC162" s="3">
        <v>1825.64</v>
      </c>
      <c r="AD162" s="3"/>
      <c r="AE162" s="3">
        <v>1590.31</v>
      </c>
      <c r="AF162" s="3"/>
      <c r="AG162" s="3">
        <v>1364.16</v>
      </c>
      <c r="AH162" s="3"/>
    </row>
    <row r="163" spans="1:34">
      <c r="A163" t="s">
        <v>315</v>
      </c>
      <c r="B163" t="s">
        <v>316</v>
      </c>
      <c r="C163" s="3" t="s">
        <v>43</v>
      </c>
      <c r="D163" s="3" t="s">
        <v>44</v>
      </c>
      <c r="E163" s="3">
        <v>349.1</v>
      </c>
      <c r="F163" s="3"/>
      <c r="G163" s="3" t="s">
        <v>43</v>
      </c>
      <c r="H163" s="3" t="s">
        <v>44</v>
      </c>
      <c r="I163" s="3" t="s">
        <v>43</v>
      </c>
      <c r="J163" s="3" t="s">
        <v>44</v>
      </c>
      <c r="K163" s="3" t="s">
        <v>43</v>
      </c>
      <c r="L163" s="3" t="s">
        <v>44</v>
      </c>
      <c r="M163" s="3">
        <v>399.2</v>
      </c>
      <c r="N163" s="3"/>
      <c r="O163" s="3">
        <v>449.3</v>
      </c>
      <c r="P163" s="3"/>
      <c r="Q163" s="3">
        <v>499.2</v>
      </c>
      <c r="R163" s="3"/>
      <c r="S163" s="3">
        <v>479.6</v>
      </c>
      <c r="T163" s="3"/>
      <c r="U163" s="3">
        <v>521.1</v>
      </c>
      <c r="V163" s="3"/>
      <c r="W163" s="3">
        <v>502.2</v>
      </c>
      <c r="X163" s="3" t="s">
        <v>334</v>
      </c>
      <c r="Y163" s="3">
        <v>505.3</v>
      </c>
      <c r="Z163" s="3"/>
      <c r="AA163" s="3">
        <v>515.4</v>
      </c>
      <c r="AB163" s="3"/>
      <c r="AC163" s="3" t="s">
        <v>43</v>
      </c>
      <c r="AD163" s="3" t="s">
        <v>44</v>
      </c>
      <c r="AE163" s="3">
        <v>485.11</v>
      </c>
      <c r="AF163" s="3"/>
      <c r="AG163" s="3">
        <v>723.14</v>
      </c>
      <c r="AH163" s="3"/>
    </row>
    <row r="164" spans="1:34">
      <c r="A164" t="s">
        <v>317</v>
      </c>
      <c r="B164" t="s">
        <v>318</v>
      </c>
      <c r="C164" s="3" t="s">
        <v>43</v>
      </c>
      <c r="D164" s="3" t="s">
        <v>44</v>
      </c>
      <c r="E164" s="3">
        <v>1.1000000000000001</v>
      </c>
      <c r="F164" s="3"/>
      <c r="G164" s="3" t="s">
        <v>43</v>
      </c>
      <c r="H164" s="3" t="s">
        <v>44</v>
      </c>
      <c r="I164" s="3" t="s">
        <v>43</v>
      </c>
      <c r="J164" s="3" t="s">
        <v>44</v>
      </c>
      <c r="K164" s="3" t="s">
        <v>43</v>
      </c>
      <c r="L164" s="3" t="s">
        <v>44</v>
      </c>
      <c r="M164" s="3">
        <v>0.9</v>
      </c>
      <c r="N164" s="3"/>
      <c r="O164" s="3">
        <v>0.7</v>
      </c>
      <c r="P164" s="3"/>
      <c r="Q164" s="3">
        <v>1</v>
      </c>
      <c r="R164" s="3"/>
      <c r="S164" s="3">
        <v>0.7</v>
      </c>
      <c r="T164" s="3"/>
      <c r="U164" s="3">
        <v>1.4</v>
      </c>
      <c r="V164" s="3"/>
      <c r="W164" s="3">
        <v>1.4</v>
      </c>
      <c r="X164" s="3" t="s">
        <v>334</v>
      </c>
      <c r="Y164" s="3">
        <v>1.6</v>
      </c>
      <c r="Z164" s="3"/>
      <c r="AA164" s="3">
        <v>1.3</v>
      </c>
      <c r="AB164" s="3"/>
      <c r="AC164" s="3" t="s">
        <v>43</v>
      </c>
      <c r="AD164" s="3" t="s">
        <v>44</v>
      </c>
      <c r="AE164" s="3">
        <v>2.86</v>
      </c>
      <c r="AF164" s="3"/>
      <c r="AG164" s="3">
        <v>1.0900000000000001</v>
      </c>
      <c r="AH164" s="3"/>
    </row>
    <row r="165" spans="1:34">
      <c r="A165" t="s">
        <v>319</v>
      </c>
      <c r="B165" t="s">
        <v>320</v>
      </c>
      <c r="C165" s="3">
        <v>160.80000000000001</v>
      </c>
      <c r="D165" s="3"/>
      <c r="E165" s="3">
        <v>127.7</v>
      </c>
      <c r="F165" s="3"/>
      <c r="G165" s="3">
        <v>132.6</v>
      </c>
      <c r="H165" s="3"/>
      <c r="I165" s="3">
        <v>109.5</v>
      </c>
      <c r="J165" s="3"/>
      <c r="K165" s="3">
        <v>94.3</v>
      </c>
      <c r="L165" s="3"/>
      <c r="M165" s="3">
        <v>90.7</v>
      </c>
      <c r="N165" s="3"/>
      <c r="O165" s="3">
        <v>88.7</v>
      </c>
      <c r="P165" s="3"/>
      <c r="Q165" s="3">
        <v>83.1</v>
      </c>
      <c r="R165" s="3"/>
      <c r="S165" s="3">
        <v>92.1</v>
      </c>
      <c r="T165" s="3"/>
      <c r="U165" s="3">
        <v>104.2</v>
      </c>
      <c r="V165" s="3"/>
      <c r="W165" s="3">
        <v>121</v>
      </c>
      <c r="X165" s="3" t="s">
        <v>334</v>
      </c>
      <c r="Y165" s="3">
        <v>119.4</v>
      </c>
      <c r="Z165" s="3"/>
      <c r="AA165" s="3">
        <v>108.1</v>
      </c>
      <c r="AB165" s="3"/>
      <c r="AC165" s="3">
        <v>121.35</v>
      </c>
      <c r="AD165" s="3"/>
      <c r="AE165" s="3">
        <v>119.21</v>
      </c>
      <c r="AF165" s="3"/>
      <c r="AG165" s="3">
        <v>138.56</v>
      </c>
      <c r="AH165" s="3"/>
    </row>
    <row r="166" spans="1:34">
      <c r="A166" t="s">
        <v>321</v>
      </c>
      <c r="B166" t="s">
        <v>322</v>
      </c>
      <c r="C166" s="3">
        <v>148.9</v>
      </c>
      <c r="D166" s="3"/>
      <c r="E166" s="3">
        <v>118.8</v>
      </c>
      <c r="F166" s="3"/>
      <c r="G166" s="3">
        <v>122.4</v>
      </c>
      <c r="H166" s="3"/>
      <c r="I166" s="3">
        <v>101.1</v>
      </c>
      <c r="J166" s="3"/>
      <c r="K166" s="3">
        <v>84.8</v>
      </c>
      <c r="L166" s="3"/>
      <c r="M166" s="3">
        <v>84.3</v>
      </c>
      <c r="N166" s="3"/>
      <c r="O166" s="3">
        <v>82.4</v>
      </c>
      <c r="P166" s="3"/>
      <c r="Q166" s="3">
        <v>76.5</v>
      </c>
      <c r="R166" s="3"/>
      <c r="S166" s="3">
        <v>86.4</v>
      </c>
      <c r="T166" s="3"/>
      <c r="U166" s="3">
        <v>97.2</v>
      </c>
      <c r="V166" s="3"/>
      <c r="W166" s="3">
        <v>111.5</v>
      </c>
      <c r="X166" s="3" t="s">
        <v>334</v>
      </c>
      <c r="Y166" s="3">
        <v>109.6</v>
      </c>
      <c r="Z166" s="3"/>
      <c r="AA166" s="3">
        <v>98.4</v>
      </c>
      <c r="AB166" s="3"/>
      <c r="AC166" s="3">
        <v>110.84</v>
      </c>
      <c r="AD166" s="3"/>
      <c r="AE166" s="3">
        <v>107.43</v>
      </c>
      <c r="AF166" s="3"/>
      <c r="AG166" s="3">
        <v>125.47</v>
      </c>
      <c r="AH166" s="3"/>
    </row>
    <row r="167" spans="1:34">
      <c r="A167" t="s">
        <v>323</v>
      </c>
      <c r="B167" t="s">
        <v>324</v>
      </c>
      <c r="C167" s="3">
        <v>11.9</v>
      </c>
      <c r="D167" s="3"/>
      <c r="E167" s="3">
        <v>8.9</v>
      </c>
      <c r="F167" s="3"/>
      <c r="G167" s="3">
        <v>10.199999999999999</v>
      </c>
      <c r="H167" s="3"/>
      <c r="I167" s="3">
        <v>8.4</v>
      </c>
      <c r="J167" s="3"/>
      <c r="K167" s="3">
        <v>9.4</v>
      </c>
      <c r="L167" s="3"/>
      <c r="M167" s="3">
        <v>6.4</v>
      </c>
      <c r="N167" s="3"/>
      <c r="O167" s="3">
        <v>6.3</v>
      </c>
      <c r="P167" s="3"/>
      <c r="Q167" s="3">
        <v>6.6</v>
      </c>
      <c r="R167" s="3"/>
      <c r="S167" s="3">
        <v>5.6</v>
      </c>
      <c r="T167" s="3"/>
      <c r="U167" s="3">
        <v>7</v>
      </c>
      <c r="V167" s="3"/>
      <c r="W167" s="3">
        <v>9.6</v>
      </c>
      <c r="X167" s="3" t="s">
        <v>334</v>
      </c>
      <c r="Y167" s="3">
        <v>9.8000000000000007</v>
      </c>
      <c r="Z167" s="3"/>
      <c r="AA167" s="3">
        <v>9.6999999999999993</v>
      </c>
      <c r="AB167" s="3"/>
      <c r="AC167" s="3">
        <v>10.51</v>
      </c>
      <c r="AD167" s="3"/>
      <c r="AE167" s="3">
        <v>11.78</v>
      </c>
      <c r="AF167" s="3"/>
      <c r="AG167" s="3">
        <v>13.09</v>
      </c>
      <c r="AH167" s="3"/>
    </row>
    <row r="168" spans="1:34">
      <c r="A168" t="s">
        <v>325</v>
      </c>
      <c r="B168" t="s">
        <v>326</v>
      </c>
      <c r="C168" s="3">
        <v>0</v>
      </c>
      <c r="D168" s="3"/>
      <c r="E168" s="3">
        <v>0</v>
      </c>
      <c r="F168" s="3"/>
      <c r="G168" s="3">
        <v>0</v>
      </c>
      <c r="H168" s="3"/>
      <c r="I168" s="3">
        <v>0</v>
      </c>
      <c r="J168" s="3"/>
      <c r="K168" s="3">
        <v>0</v>
      </c>
      <c r="L168" s="3"/>
      <c r="M168" s="3">
        <v>0</v>
      </c>
      <c r="N168" s="3"/>
      <c r="O168" s="3">
        <v>0</v>
      </c>
      <c r="P168" s="3"/>
      <c r="Q168" s="3">
        <v>0</v>
      </c>
      <c r="R168" s="3"/>
      <c r="S168" s="3">
        <v>0</v>
      </c>
      <c r="T168" s="3"/>
      <c r="U168" s="3">
        <v>0</v>
      </c>
      <c r="V168" s="3"/>
      <c r="W168" s="3">
        <v>0</v>
      </c>
      <c r="X168" s="3" t="s">
        <v>334</v>
      </c>
      <c r="Y168" s="3">
        <v>0</v>
      </c>
      <c r="Z168" s="3"/>
      <c r="AA168" s="3">
        <v>0</v>
      </c>
      <c r="AB168" s="3"/>
      <c r="AC168" s="3">
        <v>0</v>
      </c>
      <c r="AD168" s="3"/>
      <c r="AE168" s="3">
        <v>0</v>
      </c>
      <c r="AF168" s="3"/>
      <c r="AG168" s="3">
        <v>0</v>
      </c>
      <c r="AH168" s="3"/>
    </row>
    <row r="169" spans="1:34">
      <c r="A169" t="s">
        <v>327</v>
      </c>
      <c r="B169" t="s">
        <v>328</v>
      </c>
      <c r="C169" s="3">
        <v>0</v>
      </c>
      <c r="D169" s="3"/>
      <c r="E169" s="3">
        <v>0</v>
      </c>
      <c r="F169" s="3"/>
      <c r="G169" s="3">
        <v>0</v>
      </c>
      <c r="H169" s="3"/>
      <c r="I169" s="3">
        <v>0</v>
      </c>
      <c r="J169" s="3"/>
      <c r="K169" s="3">
        <v>0</v>
      </c>
      <c r="L169" s="3"/>
      <c r="M169" s="3">
        <v>0</v>
      </c>
      <c r="N169" s="3"/>
      <c r="O169" s="3">
        <v>0</v>
      </c>
      <c r="P169" s="3"/>
      <c r="Q169" s="3">
        <v>0</v>
      </c>
      <c r="R169" s="3"/>
      <c r="S169" s="3">
        <v>0</v>
      </c>
      <c r="T169" s="3"/>
      <c r="U169" s="3">
        <v>0</v>
      </c>
      <c r="V169" s="3"/>
      <c r="W169" s="3">
        <v>0</v>
      </c>
      <c r="X169" s="3" t="s">
        <v>334</v>
      </c>
      <c r="Y169" s="3">
        <v>0</v>
      </c>
      <c r="Z169" s="3"/>
      <c r="AA169" s="3">
        <v>0</v>
      </c>
      <c r="AB169" s="3"/>
      <c r="AC169" s="3">
        <v>0</v>
      </c>
      <c r="AD169" s="3"/>
      <c r="AE169" s="3">
        <v>0</v>
      </c>
      <c r="AF169" s="3"/>
      <c r="AG169" s="3">
        <v>0</v>
      </c>
      <c r="AH169" s="3"/>
    </row>
    <row r="170" spans="1:34">
      <c r="A170" t="s">
        <v>329</v>
      </c>
      <c r="B170" t="s">
        <v>330</v>
      </c>
      <c r="C170" s="3">
        <v>3.1</v>
      </c>
      <c r="D170" s="3"/>
      <c r="E170" s="3">
        <v>3</v>
      </c>
      <c r="F170" s="3"/>
      <c r="G170" s="3">
        <v>3</v>
      </c>
      <c r="H170" s="3"/>
      <c r="I170" s="3">
        <v>2.1</v>
      </c>
      <c r="J170" s="3"/>
      <c r="K170" s="3">
        <v>1.8</v>
      </c>
      <c r="L170" s="3"/>
      <c r="M170" s="3">
        <v>1.9</v>
      </c>
      <c r="N170" s="3"/>
      <c r="O170" s="3">
        <v>1.6</v>
      </c>
      <c r="P170" s="3"/>
      <c r="Q170" s="3">
        <v>1.5</v>
      </c>
      <c r="R170" s="3"/>
      <c r="S170" s="3">
        <v>2.2999999999999998</v>
      </c>
      <c r="T170" s="3"/>
      <c r="U170" s="3">
        <v>2.2000000000000002</v>
      </c>
      <c r="V170" s="3"/>
      <c r="W170" s="3">
        <v>2.2999999999999998</v>
      </c>
      <c r="X170" s="3" t="s">
        <v>334</v>
      </c>
      <c r="Y170" s="3">
        <v>2.2999999999999998</v>
      </c>
      <c r="Z170" s="3"/>
      <c r="AA170" s="3">
        <v>2.1</v>
      </c>
      <c r="AB170" s="3"/>
      <c r="AC170" s="3">
        <v>1.75</v>
      </c>
      <c r="AD170" s="3"/>
      <c r="AE170" s="3">
        <v>2.23</v>
      </c>
      <c r="AF170" s="3"/>
      <c r="AG170" s="3">
        <v>2.5499999999999998</v>
      </c>
      <c r="AH170" s="3"/>
    </row>
    <row r="171" spans="1:34">
      <c r="A171" t="s">
        <v>331</v>
      </c>
      <c r="B171" t="s">
        <v>330</v>
      </c>
      <c r="C171" s="3">
        <v>3.1</v>
      </c>
      <c r="D171" s="3"/>
      <c r="E171" s="3">
        <v>3</v>
      </c>
      <c r="F171" s="3"/>
      <c r="G171" s="3">
        <v>3</v>
      </c>
      <c r="H171" s="3"/>
      <c r="I171" s="3">
        <v>2.1</v>
      </c>
      <c r="J171" s="3"/>
      <c r="K171" s="3">
        <v>1.8</v>
      </c>
      <c r="L171" s="3"/>
      <c r="M171" s="3">
        <v>1.9</v>
      </c>
      <c r="N171" s="3"/>
      <c r="O171" s="3">
        <v>1.6</v>
      </c>
      <c r="P171" s="3"/>
      <c r="Q171" s="3">
        <v>1.5</v>
      </c>
      <c r="R171" s="3"/>
      <c r="S171" s="3">
        <v>2.2999999999999998</v>
      </c>
      <c r="T171" s="3"/>
      <c r="U171" s="3">
        <v>2.2000000000000002</v>
      </c>
      <c r="V171" s="3"/>
      <c r="W171" s="3">
        <v>2.2999999999999998</v>
      </c>
      <c r="X171" s="3" t="s">
        <v>334</v>
      </c>
      <c r="Y171" s="3">
        <v>2.2999999999999998</v>
      </c>
      <c r="Z171" s="3"/>
      <c r="AA171" s="3">
        <v>2.1</v>
      </c>
      <c r="AB171" s="3"/>
      <c r="AC171" s="3">
        <v>1.75</v>
      </c>
      <c r="AD171" s="3"/>
      <c r="AE171" s="3">
        <v>2.23</v>
      </c>
      <c r="AF171" s="3"/>
      <c r="AG171" s="3">
        <v>2.5499999999999998</v>
      </c>
      <c r="AH171" s="3"/>
    </row>
    <row r="172" spans="1:34">
      <c r="A172" t="s">
        <v>884</v>
      </c>
      <c r="B172" t="s">
        <v>68</v>
      </c>
      <c r="C172" s="3" t="s">
        <v>43</v>
      </c>
      <c r="D172" s="3"/>
      <c r="E172" s="3" t="s">
        <v>43</v>
      </c>
      <c r="F172" s="3"/>
      <c r="G172" s="3" t="s">
        <v>43</v>
      </c>
      <c r="H172" s="3"/>
      <c r="I172" s="3" t="s">
        <v>43</v>
      </c>
      <c r="J172" s="3"/>
      <c r="K172" s="3" t="s">
        <v>43</v>
      </c>
      <c r="L172" s="3"/>
      <c r="M172" s="3" t="s">
        <v>43</v>
      </c>
      <c r="N172" s="3"/>
      <c r="O172" s="3" t="s">
        <v>43</v>
      </c>
      <c r="P172" s="3"/>
      <c r="Q172" s="3" t="s">
        <v>43</v>
      </c>
      <c r="R172" s="3"/>
      <c r="S172" s="3" t="s">
        <v>43</v>
      </c>
      <c r="T172" s="3"/>
      <c r="U172" s="3" t="s">
        <v>43</v>
      </c>
      <c r="V172" s="3"/>
      <c r="W172" s="3" t="s">
        <v>43</v>
      </c>
      <c r="X172" s="3"/>
      <c r="Y172" s="3" t="s">
        <v>43</v>
      </c>
      <c r="Z172" s="3"/>
      <c r="AA172" s="3" t="s">
        <v>43</v>
      </c>
      <c r="AB172" s="3"/>
      <c r="AC172" s="3"/>
      <c r="AD172" s="3"/>
      <c r="AE172" s="3"/>
      <c r="AF172" s="3"/>
      <c r="AG172" s="3"/>
      <c r="AH172" s="3"/>
    </row>
    <row r="173" spans="1:34">
      <c r="A173" t="s">
        <v>885</v>
      </c>
      <c r="B173" t="s">
        <v>70</v>
      </c>
      <c r="C173" s="3" t="s">
        <v>43</v>
      </c>
      <c r="D173" s="3"/>
      <c r="E173" s="3" t="s">
        <v>43</v>
      </c>
      <c r="F173" s="3"/>
      <c r="G173" s="3" t="s">
        <v>43</v>
      </c>
      <c r="H173" s="3"/>
      <c r="I173" s="3" t="s">
        <v>43</v>
      </c>
      <c r="J173" s="3"/>
      <c r="K173" s="3" t="s">
        <v>43</v>
      </c>
      <c r="L173" s="3"/>
      <c r="M173" s="3" t="s">
        <v>43</v>
      </c>
      <c r="N173" s="3"/>
      <c r="O173" s="3" t="s">
        <v>43</v>
      </c>
      <c r="P173" s="3"/>
      <c r="Q173" s="3" t="s">
        <v>43</v>
      </c>
      <c r="R173" s="3"/>
      <c r="S173" s="3" t="s">
        <v>43</v>
      </c>
      <c r="T173" s="3"/>
      <c r="U173" s="3" t="s">
        <v>43</v>
      </c>
      <c r="V173" s="3"/>
      <c r="W173" s="3" t="s">
        <v>43</v>
      </c>
      <c r="X173" s="3"/>
      <c r="Y173" s="3" t="s">
        <v>43</v>
      </c>
      <c r="Z173" s="3"/>
      <c r="AA173" s="3" t="s">
        <v>43</v>
      </c>
      <c r="AB173" s="3"/>
      <c r="AC173" s="3"/>
      <c r="AD173" s="3"/>
      <c r="AE173" s="3"/>
      <c r="AF173" s="3"/>
      <c r="AG173" s="3"/>
      <c r="AH173" s="3"/>
    </row>
    <row r="174" spans="1:34">
      <c r="A174" t="s">
        <v>332</v>
      </c>
      <c r="B174" t="s">
        <v>333</v>
      </c>
      <c r="C174" s="3" t="s">
        <v>43</v>
      </c>
      <c r="D174" s="3" t="s">
        <v>886</v>
      </c>
      <c r="E174" s="3">
        <v>8797</v>
      </c>
      <c r="F174" s="3"/>
      <c r="G174" s="3">
        <v>8689.2999999999993</v>
      </c>
      <c r="H174" s="3"/>
      <c r="I174" s="3">
        <v>8507.7999999999993</v>
      </c>
      <c r="J174" s="3"/>
      <c r="K174" s="3">
        <v>9283.1</v>
      </c>
      <c r="L174" s="3"/>
      <c r="M174" s="3">
        <v>9329.9</v>
      </c>
      <c r="N174" s="3"/>
      <c r="O174" s="3">
        <v>9304</v>
      </c>
      <c r="P174" s="3" t="s">
        <v>334</v>
      </c>
      <c r="Q174" s="3">
        <v>9078.6</v>
      </c>
      <c r="R174" s="3" t="s">
        <v>334</v>
      </c>
      <c r="S174" s="3">
        <v>9061.2999999999993</v>
      </c>
      <c r="T174" s="3"/>
      <c r="U174" s="3">
        <v>9958</v>
      </c>
      <c r="V174" s="3" t="s">
        <v>334</v>
      </c>
      <c r="W174" s="3">
        <v>10744.3</v>
      </c>
      <c r="X174" s="3"/>
      <c r="Y174" s="3">
        <v>10697.1</v>
      </c>
      <c r="Z174" s="3"/>
      <c r="AA174" s="3">
        <v>9942.1</v>
      </c>
      <c r="AB174" s="3"/>
      <c r="AC174" s="3">
        <v>8138.96</v>
      </c>
      <c r="AD174" s="3" t="s">
        <v>334</v>
      </c>
      <c r="AE174" s="3">
        <v>8216.82</v>
      </c>
      <c r="AF174" s="3"/>
      <c r="AG174" s="3">
        <v>8579.93</v>
      </c>
      <c r="AH174" s="3"/>
    </row>
    <row r="175" spans="1:34">
      <c r="A175" t="s">
        <v>335</v>
      </c>
      <c r="B175" t="s">
        <v>336</v>
      </c>
      <c r="C175" s="3" t="s">
        <v>43</v>
      </c>
      <c r="D175" s="3" t="s">
        <v>886</v>
      </c>
      <c r="E175" s="3">
        <v>6185.7</v>
      </c>
      <c r="F175" s="3"/>
      <c r="G175" s="3">
        <v>6104.9</v>
      </c>
      <c r="H175" s="3"/>
      <c r="I175" s="3">
        <v>5892.9</v>
      </c>
      <c r="J175" s="3"/>
      <c r="K175" s="3">
        <v>6130.8</v>
      </c>
      <c r="L175" s="3"/>
      <c r="M175" s="3">
        <v>6111.2</v>
      </c>
      <c r="N175" s="3"/>
      <c r="O175" s="3">
        <v>6155.6</v>
      </c>
      <c r="P175" s="3" t="s">
        <v>334</v>
      </c>
      <c r="Q175" s="3">
        <v>5929.9</v>
      </c>
      <c r="R175" s="3" t="s">
        <v>334</v>
      </c>
      <c r="S175" s="3">
        <v>6001.4</v>
      </c>
      <c r="T175" s="3"/>
      <c r="U175" s="3">
        <v>6608.2</v>
      </c>
      <c r="V175" s="3" t="s">
        <v>334</v>
      </c>
      <c r="W175" s="3">
        <v>7449.4</v>
      </c>
      <c r="X175" s="3"/>
      <c r="Y175" s="3">
        <v>7388.3</v>
      </c>
      <c r="Z175" s="3"/>
      <c r="AA175" s="3">
        <v>6747.2</v>
      </c>
      <c r="AB175" s="3"/>
      <c r="AC175" s="3">
        <v>2552.64</v>
      </c>
      <c r="AD175" s="3" t="s">
        <v>334</v>
      </c>
      <c r="AE175" s="3">
        <v>2647.21</v>
      </c>
      <c r="AF175" s="3"/>
      <c r="AG175" s="3">
        <v>2622.68</v>
      </c>
      <c r="AH175" s="3"/>
    </row>
    <row r="176" spans="1:34">
      <c r="A176" t="s">
        <v>337</v>
      </c>
      <c r="B176" t="s">
        <v>336</v>
      </c>
      <c r="C176" s="3" t="s">
        <v>43</v>
      </c>
      <c r="D176" s="3" t="s">
        <v>886</v>
      </c>
      <c r="E176" s="3">
        <v>6185.7</v>
      </c>
      <c r="F176" s="3"/>
      <c r="G176" s="3">
        <v>6104.9</v>
      </c>
      <c r="H176" s="3"/>
      <c r="I176" s="3">
        <v>5892.9</v>
      </c>
      <c r="J176" s="3"/>
      <c r="K176" s="3">
        <v>6130.8</v>
      </c>
      <c r="L176" s="3"/>
      <c r="M176" s="3">
        <v>6111.2</v>
      </c>
      <c r="N176" s="3"/>
      <c r="O176" s="3">
        <v>6155.6</v>
      </c>
      <c r="P176" s="3" t="s">
        <v>334</v>
      </c>
      <c r="Q176" s="3">
        <v>5929.9</v>
      </c>
      <c r="R176" s="3" t="s">
        <v>334</v>
      </c>
      <c r="S176" s="3">
        <v>6001.4</v>
      </c>
      <c r="T176" s="3"/>
      <c r="U176" s="3">
        <v>6608.2</v>
      </c>
      <c r="V176" s="3" t="s">
        <v>334</v>
      </c>
      <c r="W176" s="3">
        <v>7449.4</v>
      </c>
      <c r="X176" s="3"/>
      <c r="Y176" s="3">
        <v>7388.3</v>
      </c>
      <c r="Z176" s="3"/>
      <c r="AA176" s="3">
        <v>6747.2</v>
      </c>
      <c r="AB176" s="3"/>
      <c r="AC176" s="3">
        <v>2552.64</v>
      </c>
      <c r="AD176" s="3" t="s">
        <v>334</v>
      </c>
      <c r="AE176" s="3">
        <v>2647.21</v>
      </c>
      <c r="AF176" s="3"/>
      <c r="AG176" s="3">
        <v>2622.68</v>
      </c>
      <c r="AH176" s="3"/>
    </row>
    <row r="177" spans="1:34">
      <c r="A177" t="s">
        <v>338</v>
      </c>
      <c r="B177" t="s">
        <v>339</v>
      </c>
      <c r="C177" s="3" t="s">
        <v>43</v>
      </c>
      <c r="D177" s="3"/>
      <c r="E177" s="3" t="s">
        <v>43</v>
      </c>
      <c r="F177" s="3"/>
      <c r="G177" s="3" t="s">
        <v>43</v>
      </c>
      <c r="H177" s="3"/>
      <c r="I177" s="3" t="s">
        <v>43</v>
      </c>
      <c r="J177" s="3"/>
      <c r="K177" s="3" t="s">
        <v>43</v>
      </c>
      <c r="L177" s="3"/>
      <c r="M177" s="3" t="s">
        <v>43</v>
      </c>
      <c r="N177" s="3"/>
      <c r="O177" s="3" t="s">
        <v>43</v>
      </c>
      <c r="P177" s="3"/>
      <c r="Q177" s="3" t="s">
        <v>43</v>
      </c>
      <c r="R177" s="3"/>
      <c r="S177" s="3">
        <v>112.4</v>
      </c>
      <c r="T177" s="3"/>
      <c r="U177" s="3">
        <v>130.69999999999999</v>
      </c>
      <c r="V177" s="3" t="s">
        <v>334</v>
      </c>
      <c r="W177" s="3">
        <v>126</v>
      </c>
      <c r="X177" s="3"/>
      <c r="Y177" s="3" t="s">
        <v>43</v>
      </c>
      <c r="Z177" s="3" t="s">
        <v>44</v>
      </c>
      <c r="AA177" s="3">
        <v>190.8</v>
      </c>
      <c r="AB177" s="3"/>
      <c r="AC177" s="3">
        <v>222.7</v>
      </c>
      <c r="AD177" s="3" t="s">
        <v>334</v>
      </c>
      <c r="AE177" s="3">
        <v>163.41</v>
      </c>
      <c r="AF177" s="3"/>
      <c r="AG177" s="3">
        <v>175.22</v>
      </c>
      <c r="AH177" s="3"/>
    </row>
    <row r="178" spans="1:34">
      <c r="A178" t="s">
        <v>340</v>
      </c>
      <c r="B178" t="s">
        <v>339</v>
      </c>
      <c r="C178" s="3" t="s">
        <v>43</v>
      </c>
      <c r="D178" s="3"/>
      <c r="E178" s="3" t="s">
        <v>43</v>
      </c>
      <c r="F178" s="3"/>
      <c r="G178" s="3" t="s">
        <v>43</v>
      </c>
      <c r="H178" s="3"/>
      <c r="I178" s="3" t="s">
        <v>43</v>
      </c>
      <c r="J178" s="3"/>
      <c r="K178" s="3" t="s">
        <v>43</v>
      </c>
      <c r="L178" s="3"/>
      <c r="M178" s="3" t="s">
        <v>43</v>
      </c>
      <c r="N178" s="3"/>
      <c r="O178" s="3" t="s">
        <v>43</v>
      </c>
      <c r="P178" s="3"/>
      <c r="Q178" s="3" t="s">
        <v>43</v>
      </c>
      <c r="R178" s="3"/>
      <c r="S178" s="3">
        <v>112.4</v>
      </c>
      <c r="T178" s="3"/>
      <c r="U178" s="3">
        <v>130.69999999999999</v>
      </c>
      <c r="V178" s="3" t="s">
        <v>334</v>
      </c>
      <c r="W178" s="3">
        <v>126</v>
      </c>
      <c r="X178" s="3"/>
      <c r="Y178" s="3" t="s">
        <v>43</v>
      </c>
      <c r="Z178" s="3" t="s">
        <v>44</v>
      </c>
      <c r="AA178" s="3">
        <v>190.8</v>
      </c>
      <c r="AB178" s="3"/>
      <c r="AC178" s="3">
        <v>222.7</v>
      </c>
      <c r="AD178" s="3" t="s">
        <v>334</v>
      </c>
      <c r="AE178" s="3">
        <v>163.41</v>
      </c>
      <c r="AF178" s="3"/>
      <c r="AG178" s="3">
        <v>175.22</v>
      </c>
      <c r="AH178" s="3"/>
    </row>
    <row r="179" spans="1:34">
      <c r="A179" t="s">
        <v>341</v>
      </c>
      <c r="B179" t="s">
        <v>342</v>
      </c>
      <c r="C179" s="3" t="s">
        <v>43</v>
      </c>
      <c r="D179" s="3"/>
      <c r="E179" s="3" t="s">
        <v>43</v>
      </c>
      <c r="F179" s="3"/>
      <c r="G179" s="3" t="s">
        <v>43</v>
      </c>
      <c r="H179" s="3"/>
      <c r="I179" s="3" t="s">
        <v>43</v>
      </c>
      <c r="J179" s="3"/>
      <c r="K179" s="3" t="s">
        <v>43</v>
      </c>
      <c r="L179" s="3"/>
      <c r="M179" s="3" t="s">
        <v>43</v>
      </c>
      <c r="N179" s="3"/>
      <c r="O179" s="3" t="s">
        <v>43</v>
      </c>
      <c r="P179" s="3"/>
      <c r="Q179" s="3" t="s">
        <v>43</v>
      </c>
      <c r="R179" s="3"/>
      <c r="S179" s="3">
        <v>294.5</v>
      </c>
      <c r="T179" s="3"/>
      <c r="U179" s="3">
        <v>173.8</v>
      </c>
      <c r="V179" s="3" t="s">
        <v>334</v>
      </c>
      <c r="W179" s="3">
        <v>226.4</v>
      </c>
      <c r="X179" s="3"/>
      <c r="Y179" s="3">
        <v>197.2</v>
      </c>
      <c r="Z179" s="3"/>
      <c r="AA179" s="3">
        <v>164.9</v>
      </c>
      <c r="AB179" s="3"/>
      <c r="AC179" s="3">
        <v>748.73</v>
      </c>
      <c r="AD179" s="3" t="s">
        <v>334</v>
      </c>
      <c r="AE179" s="3">
        <v>762.86</v>
      </c>
      <c r="AF179" s="3"/>
      <c r="AG179" s="3">
        <v>785.9</v>
      </c>
      <c r="AH179" s="3"/>
    </row>
    <row r="180" spans="1:34">
      <c r="A180" t="s">
        <v>343</v>
      </c>
      <c r="B180" t="s">
        <v>344</v>
      </c>
      <c r="C180" s="3" t="s">
        <v>43</v>
      </c>
      <c r="D180" s="3"/>
      <c r="E180" s="3" t="s">
        <v>43</v>
      </c>
      <c r="F180" s="3"/>
      <c r="G180" s="3" t="s">
        <v>43</v>
      </c>
      <c r="H180" s="3"/>
      <c r="I180" s="3" t="s">
        <v>43</v>
      </c>
      <c r="J180" s="3"/>
      <c r="K180" s="3" t="s">
        <v>43</v>
      </c>
      <c r="L180" s="3"/>
      <c r="M180" s="3" t="s">
        <v>43</v>
      </c>
      <c r="N180" s="3"/>
      <c r="O180" s="3" t="s">
        <v>43</v>
      </c>
      <c r="P180" s="3"/>
      <c r="Q180" s="3" t="s">
        <v>43</v>
      </c>
      <c r="R180" s="3"/>
      <c r="S180" s="3" t="s">
        <v>43</v>
      </c>
      <c r="T180" s="3" t="s">
        <v>44</v>
      </c>
      <c r="U180" s="3" t="s">
        <v>43</v>
      </c>
      <c r="V180" s="3" t="s">
        <v>403</v>
      </c>
      <c r="W180" s="3" t="s">
        <v>43</v>
      </c>
      <c r="X180" s="3" t="s">
        <v>44</v>
      </c>
      <c r="Y180" s="3">
        <v>72</v>
      </c>
      <c r="Z180" s="3"/>
      <c r="AA180" s="3" t="s">
        <v>43</v>
      </c>
      <c r="AB180" s="3" t="s">
        <v>44</v>
      </c>
      <c r="AC180" s="3">
        <v>150.19999999999999</v>
      </c>
      <c r="AD180" s="3" t="s">
        <v>334</v>
      </c>
      <c r="AE180" s="3">
        <v>164.1</v>
      </c>
      <c r="AF180" s="3"/>
      <c r="AG180" s="3">
        <v>172.13</v>
      </c>
      <c r="AH180" s="3"/>
    </row>
    <row r="181" spans="1:34">
      <c r="A181" t="s">
        <v>345</v>
      </c>
      <c r="B181" t="s">
        <v>346</v>
      </c>
      <c r="C181" s="3" t="s">
        <v>43</v>
      </c>
      <c r="D181" s="3"/>
      <c r="E181" s="3" t="s">
        <v>43</v>
      </c>
      <c r="F181" s="3"/>
      <c r="G181" s="3" t="s">
        <v>43</v>
      </c>
      <c r="H181" s="3"/>
      <c r="I181" s="3" t="s">
        <v>43</v>
      </c>
      <c r="J181" s="3"/>
      <c r="K181" s="3" t="s">
        <v>43</v>
      </c>
      <c r="L181" s="3"/>
      <c r="M181" s="3" t="s">
        <v>43</v>
      </c>
      <c r="N181" s="3"/>
      <c r="O181" s="3" t="s">
        <v>43</v>
      </c>
      <c r="P181" s="3"/>
      <c r="Q181" s="3" t="s">
        <v>43</v>
      </c>
      <c r="R181" s="3"/>
      <c r="S181" s="3" t="s">
        <v>43</v>
      </c>
      <c r="T181" s="3" t="s">
        <v>44</v>
      </c>
      <c r="U181" s="3" t="s">
        <v>43</v>
      </c>
      <c r="V181" s="3" t="s">
        <v>403</v>
      </c>
      <c r="W181" s="3" t="s">
        <v>43</v>
      </c>
      <c r="X181" s="3" t="s">
        <v>44</v>
      </c>
      <c r="Y181" s="3">
        <v>125.1</v>
      </c>
      <c r="Z181" s="3"/>
      <c r="AA181" s="3" t="s">
        <v>43</v>
      </c>
      <c r="AB181" s="3" t="s">
        <v>44</v>
      </c>
      <c r="AC181" s="3">
        <v>598.53</v>
      </c>
      <c r="AD181" s="3" t="s">
        <v>334</v>
      </c>
      <c r="AE181" s="3">
        <v>598.76</v>
      </c>
      <c r="AF181" s="3"/>
      <c r="AG181" s="3">
        <v>613.77</v>
      </c>
      <c r="AH181" s="3"/>
    </row>
    <row r="182" spans="1:34">
      <c r="A182" t="s">
        <v>347</v>
      </c>
      <c r="B182" t="s">
        <v>348</v>
      </c>
      <c r="C182" s="3" t="s">
        <v>43</v>
      </c>
      <c r="D182" s="3"/>
      <c r="E182" s="3" t="s">
        <v>43</v>
      </c>
      <c r="F182" s="3"/>
      <c r="G182" s="3" t="s">
        <v>43</v>
      </c>
      <c r="H182" s="3"/>
      <c r="I182" s="3" t="s">
        <v>43</v>
      </c>
      <c r="J182" s="3"/>
      <c r="K182" s="3" t="s">
        <v>43</v>
      </c>
      <c r="L182" s="3"/>
      <c r="M182" s="3" t="s">
        <v>43</v>
      </c>
      <c r="N182" s="3"/>
      <c r="O182" s="3" t="s">
        <v>43</v>
      </c>
      <c r="P182" s="3"/>
      <c r="Q182" s="3" t="s">
        <v>43</v>
      </c>
      <c r="R182" s="3"/>
      <c r="S182" s="3">
        <v>140.19999999999999</v>
      </c>
      <c r="T182" s="3"/>
      <c r="U182" s="3">
        <v>236.4</v>
      </c>
      <c r="V182" s="3" t="s">
        <v>334</v>
      </c>
      <c r="W182" s="3">
        <v>223.4</v>
      </c>
      <c r="X182" s="3"/>
      <c r="Y182" s="3">
        <v>115.9</v>
      </c>
      <c r="Z182" s="3"/>
      <c r="AA182" s="3">
        <v>105</v>
      </c>
      <c r="AB182" s="3"/>
      <c r="AC182" s="3">
        <v>675.11</v>
      </c>
      <c r="AD182" s="3" t="s">
        <v>334</v>
      </c>
      <c r="AE182" s="3">
        <v>667.03</v>
      </c>
      <c r="AF182" s="3"/>
      <c r="AG182" s="3">
        <v>697.59</v>
      </c>
      <c r="AH182" s="3"/>
    </row>
    <row r="183" spans="1:34">
      <c r="A183" t="s">
        <v>349</v>
      </c>
      <c r="B183" t="s">
        <v>350</v>
      </c>
      <c r="C183" s="3" t="s">
        <v>43</v>
      </c>
      <c r="D183" s="3"/>
      <c r="E183" s="3" t="s">
        <v>43</v>
      </c>
      <c r="F183" s="3"/>
      <c r="G183" s="3" t="s">
        <v>43</v>
      </c>
      <c r="H183" s="3"/>
      <c r="I183" s="3" t="s">
        <v>43</v>
      </c>
      <c r="J183" s="3"/>
      <c r="K183" s="3" t="s">
        <v>43</v>
      </c>
      <c r="L183" s="3"/>
      <c r="M183" s="3" t="s">
        <v>43</v>
      </c>
      <c r="N183" s="3"/>
      <c r="O183" s="3" t="s">
        <v>43</v>
      </c>
      <c r="P183" s="3"/>
      <c r="Q183" s="3" t="s">
        <v>43</v>
      </c>
      <c r="R183" s="3"/>
      <c r="S183" s="3">
        <v>109.7</v>
      </c>
      <c r="T183" s="3"/>
      <c r="U183" s="3" t="s">
        <v>43</v>
      </c>
      <c r="V183" s="3" t="s">
        <v>403</v>
      </c>
      <c r="W183" s="3" t="s">
        <v>43</v>
      </c>
      <c r="X183" s="3" t="s">
        <v>44</v>
      </c>
      <c r="Y183" s="3" t="s">
        <v>43</v>
      </c>
      <c r="Z183" s="3" t="s">
        <v>44</v>
      </c>
      <c r="AA183" s="3" t="s">
        <v>43</v>
      </c>
      <c r="AB183" s="3" t="s">
        <v>44</v>
      </c>
      <c r="AC183" s="3">
        <v>344.71</v>
      </c>
      <c r="AD183" s="3" t="s">
        <v>334</v>
      </c>
      <c r="AE183" s="3">
        <v>349.09</v>
      </c>
      <c r="AF183" s="3"/>
      <c r="AG183" s="3">
        <v>381.22</v>
      </c>
      <c r="AH183" s="3"/>
    </row>
    <row r="184" spans="1:34">
      <c r="A184" t="s">
        <v>351</v>
      </c>
      <c r="B184" t="s">
        <v>352</v>
      </c>
      <c r="C184" s="3" t="s">
        <v>43</v>
      </c>
      <c r="D184" s="3"/>
      <c r="E184" s="3" t="s">
        <v>43</v>
      </c>
      <c r="F184" s="3"/>
      <c r="G184" s="3" t="s">
        <v>43</v>
      </c>
      <c r="H184" s="3"/>
      <c r="I184" s="3" t="s">
        <v>43</v>
      </c>
      <c r="J184" s="3"/>
      <c r="K184" s="3" t="s">
        <v>43</v>
      </c>
      <c r="L184" s="3"/>
      <c r="M184" s="3" t="s">
        <v>43</v>
      </c>
      <c r="N184" s="3"/>
      <c r="O184" s="3" t="s">
        <v>43</v>
      </c>
      <c r="P184" s="3"/>
      <c r="Q184" s="3" t="s">
        <v>43</v>
      </c>
      <c r="R184" s="3"/>
      <c r="S184" s="3">
        <v>30.5</v>
      </c>
      <c r="T184" s="3"/>
      <c r="U184" s="3" t="s">
        <v>43</v>
      </c>
      <c r="V184" s="3" t="s">
        <v>403</v>
      </c>
      <c r="W184" s="3" t="s">
        <v>43</v>
      </c>
      <c r="X184" s="3" t="s">
        <v>44</v>
      </c>
      <c r="Y184" s="3" t="s">
        <v>43</v>
      </c>
      <c r="Z184" s="3" t="s">
        <v>44</v>
      </c>
      <c r="AA184" s="3" t="s">
        <v>43</v>
      </c>
      <c r="AB184" s="3" t="s">
        <v>44</v>
      </c>
      <c r="AC184" s="3">
        <v>330.41</v>
      </c>
      <c r="AD184" s="3" t="s">
        <v>334</v>
      </c>
      <c r="AE184" s="3">
        <v>317.94</v>
      </c>
      <c r="AF184" s="3"/>
      <c r="AG184" s="3">
        <v>316.37</v>
      </c>
      <c r="AH184" s="3"/>
    </row>
    <row r="185" spans="1:34">
      <c r="A185" t="s">
        <v>353</v>
      </c>
      <c r="B185" t="s">
        <v>354</v>
      </c>
      <c r="C185" s="3" t="s">
        <v>43</v>
      </c>
      <c r="D185" s="3"/>
      <c r="E185" s="3" t="s">
        <v>43</v>
      </c>
      <c r="F185" s="3"/>
      <c r="G185" s="3" t="s">
        <v>43</v>
      </c>
      <c r="H185" s="3"/>
      <c r="I185" s="3" t="s">
        <v>43</v>
      </c>
      <c r="J185" s="3"/>
      <c r="K185" s="3" t="s">
        <v>43</v>
      </c>
      <c r="L185" s="3"/>
      <c r="M185" s="3" t="s">
        <v>43</v>
      </c>
      <c r="N185" s="3"/>
      <c r="O185" s="3" t="s">
        <v>43</v>
      </c>
      <c r="P185" s="3"/>
      <c r="Q185" s="3" t="s">
        <v>43</v>
      </c>
      <c r="R185" s="3"/>
      <c r="S185" s="3">
        <v>401.8</v>
      </c>
      <c r="T185" s="3"/>
      <c r="U185" s="3" t="s">
        <v>43</v>
      </c>
      <c r="V185" s="3" t="s">
        <v>403</v>
      </c>
      <c r="W185" s="3">
        <v>372.5</v>
      </c>
      <c r="X185" s="3"/>
      <c r="Y185" s="3">
        <v>266.8</v>
      </c>
      <c r="Z185" s="3"/>
      <c r="AA185" s="3" t="s">
        <v>43</v>
      </c>
      <c r="AB185" s="3" t="s">
        <v>44</v>
      </c>
      <c r="AC185" s="3">
        <v>1001.34</v>
      </c>
      <c r="AD185" s="3" t="s">
        <v>334</v>
      </c>
      <c r="AE185" s="3">
        <v>1029.1500000000001</v>
      </c>
      <c r="AF185" s="3"/>
      <c r="AG185" s="3">
        <v>1072.82</v>
      </c>
      <c r="AH185" s="3"/>
    </row>
    <row r="186" spans="1:34">
      <c r="A186" t="s">
        <v>355</v>
      </c>
      <c r="B186" t="s">
        <v>356</v>
      </c>
      <c r="C186" s="3" t="s">
        <v>43</v>
      </c>
      <c r="D186" s="3"/>
      <c r="E186" s="3" t="s">
        <v>43</v>
      </c>
      <c r="F186" s="3"/>
      <c r="G186" s="3" t="s">
        <v>43</v>
      </c>
      <c r="H186" s="3"/>
      <c r="I186" s="3" t="s">
        <v>43</v>
      </c>
      <c r="J186" s="3"/>
      <c r="K186" s="3" t="s">
        <v>43</v>
      </c>
      <c r="L186" s="3"/>
      <c r="M186" s="3" t="s">
        <v>43</v>
      </c>
      <c r="N186" s="3"/>
      <c r="O186" s="3" t="s">
        <v>43</v>
      </c>
      <c r="P186" s="3"/>
      <c r="Q186" s="3" t="s">
        <v>43</v>
      </c>
      <c r="R186" s="3"/>
      <c r="S186" s="3">
        <v>295.3</v>
      </c>
      <c r="T186" s="3"/>
      <c r="U186" s="3">
        <v>294.5</v>
      </c>
      <c r="V186" s="3" t="s">
        <v>334</v>
      </c>
      <c r="W186" s="3" t="s">
        <v>43</v>
      </c>
      <c r="X186" s="3" t="s">
        <v>44</v>
      </c>
      <c r="Y186" s="3" t="s">
        <v>43</v>
      </c>
      <c r="Z186" s="3" t="s">
        <v>44</v>
      </c>
      <c r="AA186" s="3" t="s">
        <v>43</v>
      </c>
      <c r="AB186" s="3" t="s">
        <v>44</v>
      </c>
      <c r="AC186" s="3">
        <v>765.74</v>
      </c>
      <c r="AD186" s="3" t="s">
        <v>334</v>
      </c>
      <c r="AE186" s="3">
        <v>790.44</v>
      </c>
      <c r="AF186" s="3"/>
      <c r="AG186" s="3">
        <v>820.71</v>
      </c>
      <c r="AH186" s="3"/>
    </row>
    <row r="187" spans="1:34">
      <c r="A187" t="s">
        <v>357</v>
      </c>
      <c r="B187" t="s">
        <v>358</v>
      </c>
      <c r="C187" s="3" t="s">
        <v>43</v>
      </c>
      <c r="D187" s="3"/>
      <c r="E187" s="3" t="s">
        <v>43</v>
      </c>
      <c r="F187" s="3"/>
      <c r="G187" s="3" t="s">
        <v>43</v>
      </c>
      <c r="H187" s="3"/>
      <c r="I187" s="3" t="s">
        <v>43</v>
      </c>
      <c r="J187" s="3"/>
      <c r="K187" s="3" t="s">
        <v>43</v>
      </c>
      <c r="L187" s="3"/>
      <c r="M187" s="3" t="s">
        <v>43</v>
      </c>
      <c r="N187" s="3"/>
      <c r="O187" s="3" t="s">
        <v>43</v>
      </c>
      <c r="P187" s="3"/>
      <c r="Q187" s="3" t="s">
        <v>43</v>
      </c>
      <c r="R187" s="3"/>
      <c r="S187" s="3">
        <v>106.4</v>
      </c>
      <c r="T187" s="3"/>
      <c r="U187" s="3" t="s">
        <v>43</v>
      </c>
      <c r="V187" s="3" t="s">
        <v>403</v>
      </c>
      <c r="W187" s="3" t="s">
        <v>43</v>
      </c>
      <c r="X187" s="3" t="s">
        <v>44</v>
      </c>
      <c r="Y187" s="3" t="s">
        <v>43</v>
      </c>
      <c r="Z187" s="3" t="s">
        <v>44</v>
      </c>
      <c r="AA187" s="3">
        <v>86.6</v>
      </c>
      <c r="AB187" s="3"/>
      <c r="AC187" s="3">
        <v>235.6</v>
      </c>
      <c r="AD187" s="3" t="s">
        <v>334</v>
      </c>
      <c r="AE187" s="3">
        <v>238.71</v>
      </c>
      <c r="AF187" s="3"/>
      <c r="AG187" s="3">
        <v>252.1</v>
      </c>
      <c r="AH187" s="3"/>
    </row>
    <row r="188" spans="1:34">
      <c r="A188" t="s">
        <v>359</v>
      </c>
      <c r="B188" t="s">
        <v>360</v>
      </c>
      <c r="C188" s="3" t="s">
        <v>43</v>
      </c>
      <c r="D188" s="3"/>
      <c r="E188" s="3" t="s">
        <v>43</v>
      </c>
      <c r="F188" s="3"/>
      <c r="G188" s="3" t="s">
        <v>43</v>
      </c>
      <c r="H188" s="3"/>
      <c r="I188" s="3" t="s">
        <v>43</v>
      </c>
      <c r="J188" s="3"/>
      <c r="K188" s="3" t="s">
        <v>43</v>
      </c>
      <c r="L188" s="3"/>
      <c r="M188" s="3" t="s">
        <v>43</v>
      </c>
      <c r="N188" s="3"/>
      <c r="O188" s="3" t="s">
        <v>43</v>
      </c>
      <c r="P188" s="3"/>
      <c r="Q188" s="3" t="s">
        <v>43</v>
      </c>
      <c r="R188" s="3"/>
      <c r="S188" s="3">
        <v>534.20000000000005</v>
      </c>
      <c r="T188" s="3"/>
      <c r="U188" s="3">
        <v>481.3</v>
      </c>
      <c r="V188" s="3" t="s">
        <v>334</v>
      </c>
      <c r="W188" s="3">
        <v>476.7</v>
      </c>
      <c r="X188" s="3"/>
      <c r="Y188" s="3">
        <v>471.2</v>
      </c>
      <c r="Z188" s="3"/>
      <c r="AA188" s="3">
        <v>428.5</v>
      </c>
      <c r="AB188" s="3"/>
      <c r="AC188" s="3">
        <v>896.96</v>
      </c>
      <c r="AD188" s="3" t="s">
        <v>334</v>
      </c>
      <c r="AE188" s="3">
        <v>890.98</v>
      </c>
      <c r="AF188" s="3"/>
      <c r="AG188" s="3">
        <v>978.62</v>
      </c>
      <c r="AH188" s="3"/>
    </row>
    <row r="189" spans="1:34">
      <c r="A189" t="s">
        <v>361</v>
      </c>
      <c r="B189" t="s">
        <v>362</v>
      </c>
      <c r="C189" s="3" t="s">
        <v>43</v>
      </c>
      <c r="D189" s="3"/>
      <c r="E189" s="3" t="s">
        <v>43</v>
      </c>
      <c r="F189" s="3"/>
      <c r="G189" s="3" t="s">
        <v>43</v>
      </c>
      <c r="H189" s="3"/>
      <c r="I189" s="3" t="s">
        <v>43</v>
      </c>
      <c r="J189" s="3"/>
      <c r="K189" s="3" t="s">
        <v>43</v>
      </c>
      <c r="L189" s="3"/>
      <c r="M189" s="3" t="s">
        <v>43</v>
      </c>
      <c r="N189" s="3"/>
      <c r="O189" s="3" t="s">
        <v>43</v>
      </c>
      <c r="P189" s="3"/>
      <c r="Q189" s="3" t="s">
        <v>43</v>
      </c>
      <c r="R189" s="3"/>
      <c r="S189" s="3">
        <v>291.89999999999998</v>
      </c>
      <c r="T189" s="3"/>
      <c r="U189" s="3">
        <v>278.39999999999998</v>
      </c>
      <c r="V189" s="3" t="s">
        <v>334</v>
      </c>
      <c r="W189" s="3">
        <v>291.5</v>
      </c>
      <c r="X189" s="3"/>
      <c r="Y189" s="3">
        <v>301.5</v>
      </c>
      <c r="Z189" s="3"/>
      <c r="AA189" s="3">
        <v>257.89999999999998</v>
      </c>
      <c r="AB189" s="3"/>
      <c r="AC189" s="3">
        <v>421.18</v>
      </c>
      <c r="AD189" s="3" t="s">
        <v>334</v>
      </c>
      <c r="AE189" s="3">
        <v>422.41</v>
      </c>
      <c r="AF189" s="3"/>
      <c r="AG189" s="3">
        <v>442.5</v>
      </c>
      <c r="AH189" s="3"/>
    </row>
    <row r="190" spans="1:34">
      <c r="A190" t="s">
        <v>363</v>
      </c>
      <c r="B190" t="s">
        <v>364</v>
      </c>
      <c r="C190" s="3" t="s">
        <v>43</v>
      </c>
      <c r="D190" s="3"/>
      <c r="E190" s="3" t="s">
        <v>43</v>
      </c>
      <c r="F190" s="3"/>
      <c r="G190" s="3" t="s">
        <v>43</v>
      </c>
      <c r="H190" s="3"/>
      <c r="I190" s="3" t="s">
        <v>43</v>
      </c>
      <c r="J190" s="3"/>
      <c r="K190" s="3" t="s">
        <v>43</v>
      </c>
      <c r="L190" s="3"/>
      <c r="M190" s="3" t="s">
        <v>43</v>
      </c>
      <c r="N190" s="3"/>
      <c r="O190" s="3" t="s">
        <v>43</v>
      </c>
      <c r="P190" s="3"/>
      <c r="Q190" s="3" t="s">
        <v>43</v>
      </c>
      <c r="R190" s="3"/>
      <c r="S190" s="3">
        <v>61.5</v>
      </c>
      <c r="T190" s="3"/>
      <c r="U190" s="3" t="s">
        <v>43</v>
      </c>
      <c r="V190" s="3" t="s">
        <v>403</v>
      </c>
      <c r="W190" s="3">
        <v>47.5</v>
      </c>
      <c r="X190" s="3"/>
      <c r="Y190" s="3">
        <v>45.7</v>
      </c>
      <c r="Z190" s="3"/>
      <c r="AA190" s="3">
        <v>55.7</v>
      </c>
      <c r="AB190" s="3"/>
      <c r="AC190" s="3">
        <v>87.7</v>
      </c>
      <c r="AD190" s="3" t="s">
        <v>334</v>
      </c>
      <c r="AE190" s="3">
        <v>85.62</v>
      </c>
      <c r="AF190" s="3"/>
      <c r="AG190" s="3">
        <v>90.64</v>
      </c>
      <c r="AH190" s="3"/>
    </row>
    <row r="191" spans="1:34">
      <c r="A191" t="s">
        <v>365</v>
      </c>
      <c r="B191" t="s">
        <v>366</v>
      </c>
      <c r="C191" s="3" t="s">
        <v>43</v>
      </c>
      <c r="D191" s="3"/>
      <c r="E191" s="3" t="s">
        <v>43</v>
      </c>
      <c r="F191" s="3"/>
      <c r="G191" s="3" t="s">
        <v>43</v>
      </c>
      <c r="H191" s="3"/>
      <c r="I191" s="3" t="s">
        <v>43</v>
      </c>
      <c r="J191" s="3"/>
      <c r="K191" s="3" t="s">
        <v>43</v>
      </c>
      <c r="L191" s="3"/>
      <c r="M191" s="3" t="s">
        <v>43</v>
      </c>
      <c r="N191" s="3"/>
      <c r="O191" s="3" t="s">
        <v>43</v>
      </c>
      <c r="P191" s="3"/>
      <c r="Q191" s="3" t="s">
        <v>43</v>
      </c>
      <c r="R191" s="3"/>
      <c r="S191" s="3">
        <v>180.8</v>
      </c>
      <c r="T191" s="3"/>
      <c r="U191" s="3" t="s">
        <v>43</v>
      </c>
      <c r="V191" s="3" t="s">
        <v>403</v>
      </c>
      <c r="W191" s="3">
        <v>137.69999999999999</v>
      </c>
      <c r="X191" s="3"/>
      <c r="Y191" s="3">
        <v>123.9</v>
      </c>
      <c r="Z191" s="3"/>
      <c r="AA191" s="3">
        <v>114.8</v>
      </c>
      <c r="AB191" s="3"/>
      <c r="AC191" s="3">
        <v>388.08</v>
      </c>
      <c r="AD191" s="3" t="s">
        <v>334</v>
      </c>
      <c r="AE191" s="3">
        <v>382.95</v>
      </c>
      <c r="AF191" s="3"/>
      <c r="AG191" s="3">
        <v>445.48</v>
      </c>
      <c r="AH191" s="3"/>
    </row>
    <row r="192" spans="1:34">
      <c r="A192" t="s">
        <v>367</v>
      </c>
      <c r="B192" t="s">
        <v>368</v>
      </c>
      <c r="C192" s="3" t="s">
        <v>43</v>
      </c>
      <c r="D192" s="3"/>
      <c r="E192" s="3" t="s">
        <v>43</v>
      </c>
      <c r="F192" s="3"/>
      <c r="G192" s="3" t="s">
        <v>43</v>
      </c>
      <c r="H192" s="3"/>
      <c r="I192" s="3" t="s">
        <v>43</v>
      </c>
      <c r="J192" s="3"/>
      <c r="K192" s="3" t="s">
        <v>43</v>
      </c>
      <c r="L192" s="3"/>
      <c r="M192" s="3" t="s">
        <v>43</v>
      </c>
      <c r="N192" s="3"/>
      <c r="O192" s="3" t="s">
        <v>43</v>
      </c>
      <c r="P192" s="3"/>
      <c r="Q192" s="3" t="s">
        <v>43</v>
      </c>
      <c r="R192" s="3"/>
      <c r="S192" s="3">
        <v>309.7</v>
      </c>
      <c r="T192" s="3"/>
      <c r="U192" s="3">
        <v>316.39999999999998</v>
      </c>
      <c r="V192" s="3" t="s">
        <v>334</v>
      </c>
      <c r="W192" s="3" t="s">
        <v>43</v>
      </c>
      <c r="X192" s="3" t="s">
        <v>44</v>
      </c>
      <c r="Y192" s="3">
        <v>260.89999999999998</v>
      </c>
      <c r="Z192" s="3"/>
      <c r="AA192" s="3">
        <v>226.3</v>
      </c>
      <c r="AB192" s="3"/>
      <c r="AC192" s="3">
        <v>471.16</v>
      </c>
      <c r="AD192" s="3" t="s">
        <v>334</v>
      </c>
      <c r="AE192" s="3">
        <v>482.18</v>
      </c>
      <c r="AF192" s="3"/>
      <c r="AG192" s="3">
        <v>508.19</v>
      </c>
      <c r="AH192" s="3"/>
    </row>
    <row r="193" spans="1:34">
      <c r="A193" t="s">
        <v>369</v>
      </c>
      <c r="B193" t="s">
        <v>368</v>
      </c>
      <c r="C193" s="3" t="s">
        <v>43</v>
      </c>
      <c r="D193" s="3"/>
      <c r="E193" s="3" t="s">
        <v>43</v>
      </c>
      <c r="F193" s="3"/>
      <c r="G193" s="3" t="s">
        <v>43</v>
      </c>
      <c r="H193" s="3"/>
      <c r="I193" s="3" t="s">
        <v>43</v>
      </c>
      <c r="J193" s="3"/>
      <c r="K193" s="3" t="s">
        <v>43</v>
      </c>
      <c r="L193" s="3"/>
      <c r="M193" s="3" t="s">
        <v>43</v>
      </c>
      <c r="N193" s="3"/>
      <c r="O193" s="3" t="s">
        <v>43</v>
      </c>
      <c r="P193" s="3"/>
      <c r="Q193" s="3" t="s">
        <v>43</v>
      </c>
      <c r="R193" s="3"/>
      <c r="S193" s="3">
        <v>309.7</v>
      </c>
      <c r="T193" s="3"/>
      <c r="U193" s="3">
        <v>316.39999999999998</v>
      </c>
      <c r="V193" s="3" t="s">
        <v>334</v>
      </c>
      <c r="W193" s="3" t="s">
        <v>43</v>
      </c>
      <c r="X193" s="3" t="s">
        <v>44</v>
      </c>
      <c r="Y193" s="3">
        <v>260.89999999999998</v>
      </c>
      <c r="Z193" s="3"/>
      <c r="AA193" s="3">
        <v>226.3</v>
      </c>
      <c r="AB193" s="3"/>
      <c r="AC193" s="3">
        <v>471.16</v>
      </c>
      <c r="AD193" s="3" t="s">
        <v>334</v>
      </c>
      <c r="AE193" s="3">
        <v>482.18</v>
      </c>
      <c r="AF193" s="3"/>
      <c r="AG193" s="3">
        <v>508.19</v>
      </c>
      <c r="AH193" s="3"/>
    </row>
    <row r="194" spans="1:34">
      <c r="A194" t="s">
        <v>370</v>
      </c>
      <c r="B194" t="s">
        <v>371</v>
      </c>
      <c r="C194" s="3" t="s">
        <v>43</v>
      </c>
      <c r="D194" s="3"/>
      <c r="E194" s="3" t="s">
        <v>43</v>
      </c>
      <c r="F194" s="3"/>
      <c r="G194" s="3" t="s">
        <v>43</v>
      </c>
      <c r="H194" s="3"/>
      <c r="I194" s="3" t="s">
        <v>43</v>
      </c>
      <c r="J194" s="3"/>
      <c r="K194" s="3" t="s">
        <v>43</v>
      </c>
      <c r="L194" s="3"/>
      <c r="M194" s="3" t="s">
        <v>43</v>
      </c>
      <c r="N194" s="3"/>
      <c r="O194" s="3" t="s">
        <v>43</v>
      </c>
      <c r="P194" s="3"/>
      <c r="Q194" s="3" t="s">
        <v>43</v>
      </c>
      <c r="R194" s="3"/>
      <c r="S194" s="3">
        <v>56.8</v>
      </c>
      <c r="T194" s="3"/>
      <c r="U194" s="3">
        <v>37.299999999999997</v>
      </c>
      <c r="V194" s="3" t="s">
        <v>334</v>
      </c>
      <c r="W194" s="3">
        <v>48.3</v>
      </c>
      <c r="X194" s="3"/>
      <c r="Y194" s="3">
        <v>65</v>
      </c>
      <c r="Z194" s="3"/>
      <c r="AA194" s="3">
        <v>53.3</v>
      </c>
      <c r="AB194" s="3"/>
      <c r="AC194" s="3">
        <v>189.26</v>
      </c>
      <c r="AD194" s="3" t="s">
        <v>334</v>
      </c>
      <c r="AE194" s="3">
        <v>187.05</v>
      </c>
      <c r="AF194" s="3"/>
      <c r="AG194" s="3">
        <v>195.05</v>
      </c>
      <c r="AH194" s="3"/>
    </row>
    <row r="195" spans="1:34">
      <c r="A195" t="s">
        <v>372</v>
      </c>
      <c r="B195" t="s">
        <v>371</v>
      </c>
      <c r="C195" s="3" t="s">
        <v>43</v>
      </c>
      <c r="D195" s="3"/>
      <c r="E195" s="3" t="s">
        <v>43</v>
      </c>
      <c r="F195" s="3"/>
      <c r="G195" s="3" t="s">
        <v>43</v>
      </c>
      <c r="H195" s="3"/>
      <c r="I195" s="3" t="s">
        <v>43</v>
      </c>
      <c r="J195" s="3"/>
      <c r="K195" s="3" t="s">
        <v>43</v>
      </c>
      <c r="L195" s="3"/>
      <c r="M195" s="3" t="s">
        <v>43</v>
      </c>
      <c r="N195" s="3"/>
      <c r="O195" s="3" t="s">
        <v>43</v>
      </c>
      <c r="P195" s="3"/>
      <c r="Q195" s="3" t="s">
        <v>43</v>
      </c>
      <c r="R195" s="3"/>
      <c r="S195" s="3">
        <v>56.8</v>
      </c>
      <c r="T195" s="3"/>
      <c r="U195" s="3">
        <v>37.299999999999997</v>
      </c>
      <c r="V195" s="3" t="s">
        <v>334</v>
      </c>
      <c r="W195" s="3">
        <v>48.3</v>
      </c>
      <c r="X195" s="3"/>
      <c r="Y195" s="3">
        <v>65</v>
      </c>
      <c r="Z195" s="3"/>
      <c r="AA195" s="3">
        <v>53.3</v>
      </c>
      <c r="AB195" s="3"/>
      <c r="AC195" s="3">
        <v>189.26</v>
      </c>
      <c r="AD195" s="3" t="s">
        <v>334</v>
      </c>
      <c r="AE195" s="3">
        <v>187.05</v>
      </c>
      <c r="AF195" s="3"/>
      <c r="AG195" s="3">
        <v>195.05</v>
      </c>
      <c r="AH195" s="3"/>
    </row>
    <row r="196" spans="1:34">
      <c r="A196" t="s">
        <v>373</v>
      </c>
      <c r="B196" t="s">
        <v>374</v>
      </c>
      <c r="C196" s="3" t="s">
        <v>43</v>
      </c>
      <c r="D196" s="3"/>
      <c r="E196" s="3" t="s">
        <v>43</v>
      </c>
      <c r="F196" s="3"/>
      <c r="G196" s="3" t="s">
        <v>43</v>
      </c>
      <c r="H196" s="3"/>
      <c r="I196" s="3" t="s">
        <v>43</v>
      </c>
      <c r="J196" s="3"/>
      <c r="K196" s="3" t="s">
        <v>43</v>
      </c>
      <c r="L196" s="3"/>
      <c r="M196" s="3" t="s">
        <v>43</v>
      </c>
      <c r="N196" s="3"/>
      <c r="O196" s="3" t="s">
        <v>43</v>
      </c>
      <c r="P196" s="3"/>
      <c r="Q196" s="3" t="s">
        <v>43</v>
      </c>
      <c r="R196" s="3"/>
      <c r="S196" s="3">
        <v>185</v>
      </c>
      <c r="T196" s="3"/>
      <c r="U196" s="3">
        <v>104.4</v>
      </c>
      <c r="V196" s="3" t="s">
        <v>334</v>
      </c>
      <c r="W196" s="3">
        <v>118.4</v>
      </c>
      <c r="X196" s="3"/>
      <c r="Y196" s="3" t="s">
        <v>43</v>
      </c>
      <c r="Z196" s="3" t="s">
        <v>44</v>
      </c>
      <c r="AA196" s="3">
        <v>113.4</v>
      </c>
      <c r="AB196" s="3"/>
      <c r="AC196" s="3">
        <v>263.75</v>
      </c>
      <c r="AD196" s="3" t="s">
        <v>334</v>
      </c>
      <c r="AE196" s="3">
        <v>256.33999999999997</v>
      </c>
      <c r="AF196" s="3"/>
      <c r="AG196" s="3">
        <v>266.37</v>
      </c>
      <c r="AH196" s="3"/>
    </row>
    <row r="197" spans="1:34">
      <c r="A197" t="s">
        <v>375</v>
      </c>
      <c r="B197" t="s">
        <v>376</v>
      </c>
      <c r="C197" s="3" t="s">
        <v>43</v>
      </c>
      <c r="D197" s="3"/>
      <c r="E197" s="3" t="s">
        <v>43</v>
      </c>
      <c r="F197" s="3"/>
      <c r="G197" s="3" t="s">
        <v>43</v>
      </c>
      <c r="H197" s="3"/>
      <c r="I197" s="3" t="s">
        <v>43</v>
      </c>
      <c r="J197" s="3"/>
      <c r="K197" s="3" t="s">
        <v>43</v>
      </c>
      <c r="L197" s="3"/>
      <c r="M197" s="3" t="s">
        <v>43</v>
      </c>
      <c r="N197" s="3"/>
      <c r="O197" s="3" t="s">
        <v>43</v>
      </c>
      <c r="P197" s="3"/>
      <c r="Q197" s="3" t="s">
        <v>43</v>
      </c>
      <c r="R197" s="3"/>
      <c r="S197" s="3" t="s">
        <v>43</v>
      </c>
      <c r="T197" s="3" t="s">
        <v>44</v>
      </c>
      <c r="U197" s="3" t="s">
        <v>43</v>
      </c>
      <c r="V197" s="3" t="s">
        <v>403</v>
      </c>
      <c r="W197" s="3" t="s">
        <v>43</v>
      </c>
      <c r="X197" s="3" t="s">
        <v>44</v>
      </c>
      <c r="Y197" s="3" t="s">
        <v>43</v>
      </c>
      <c r="Z197" s="3" t="s">
        <v>44</v>
      </c>
      <c r="AA197" s="3">
        <v>33.4</v>
      </c>
      <c r="AB197" s="3"/>
      <c r="AC197" s="3">
        <v>86.34</v>
      </c>
      <c r="AD197" s="3" t="s">
        <v>334</v>
      </c>
      <c r="AE197" s="3">
        <v>89.41</v>
      </c>
      <c r="AF197" s="3"/>
      <c r="AG197" s="3">
        <v>95.1</v>
      </c>
      <c r="AH197" s="3"/>
    </row>
    <row r="198" spans="1:34">
      <c r="A198" t="s">
        <v>377</v>
      </c>
      <c r="B198" t="s">
        <v>378</v>
      </c>
      <c r="C198" s="3" t="s">
        <v>43</v>
      </c>
      <c r="D198" s="3"/>
      <c r="E198" s="3" t="s">
        <v>43</v>
      </c>
      <c r="F198" s="3"/>
      <c r="G198" s="3" t="s">
        <v>43</v>
      </c>
      <c r="H198" s="3"/>
      <c r="I198" s="3" t="s">
        <v>43</v>
      </c>
      <c r="J198" s="3"/>
      <c r="K198" s="3" t="s">
        <v>43</v>
      </c>
      <c r="L198" s="3"/>
      <c r="M198" s="3" t="s">
        <v>43</v>
      </c>
      <c r="N198" s="3"/>
      <c r="O198" s="3" t="s">
        <v>43</v>
      </c>
      <c r="P198" s="3"/>
      <c r="Q198" s="3" t="s">
        <v>43</v>
      </c>
      <c r="R198" s="3"/>
      <c r="S198" s="3" t="s">
        <v>43</v>
      </c>
      <c r="T198" s="3" t="s">
        <v>44</v>
      </c>
      <c r="U198" s="3" t="s">
        <v>43</v>
      </c>
      <c r="V198" s="3" t="s">
        <v>403</v>
      </c>
      <c r="W198" s="3" t="s">
        <v>43</v>
      </c>
      <c r="X198" s="3" t="s">
        <v>44</v>
      </c>
      <c r="Y198" s="3" t="s">
        <v>43</v>
      </c>
      <c r="Z198" s="3" t="s">
        <v>44</v>
      </c>
      <c r="AA198" s="3">
        <v>33.1</v>
      </c>
      <c r="AB198" s="3"/>
      <c r="AC198" s="3">
        <v>60.82</v>
      </c>
      <c r="AD198" s="3" t="s">
        <v>334</v>
      </c>
      <c r="AE198" s="3">
        <v>46.09</v>
      </c>
      <c r="AF198" s="3"/>
      <c r="AG198" s="3">
        <v>49.16</v>
      </c>
      <c r="AH198" s="3"/>
    </row>
    <row r="199" spans="1:34">
      <c r="A199" t="s">
        <v>379</v>
      </c>
      <c r="B199" t="s">
        <v>380</v>
      </c>
      <c r="C199" s="3" t="s">
        <v>43</v>
      </c>
      <c r="D199" s="3"/>
      <c r="E199" s="3" t="s">
        <v>43</v>
      </c>
      <c r="F199" s="3"/>
      <c r="G199" s="3" t="s">
        <v>43</v>
      </c>
      <c r="H199" s="3"/>
      <c r="I199" s="3" t="s">
        <v>43</v>
      </c>
      <c r="J199" s="3"/>
      <c r="K199" s="3" t="s">
        <v>43</v>
      </c>
      <c r="L199" s="3"/>
      <c r="M199" s="3" t="s">
        <v>43</v>
      </c>
      <c r="N199" s="3"/>
      <c r="O199" s="3" t="s">
        <v>43</v>
      </c>
      <c r="P199" s="3"/>
      <c r="Q199" s="3" t="s">
        <v>43</v>
      </c>
      <c r="R199" s="3"/>
      <c r="S199" s="3" t="s">
        <v>43</v>
      </c>
      <c r="T199" s="3" t="s">
        <v>44</v>
      </c>
      <c r="U199" s="3">
        <v>52.2</v>
      </c>
      <c r="V199" s="3" t="s">
        <v>334</v>
      </c>
      <c r="W199" s="3">
        <v>52.8</v>
      </c>
      <c r="X199" s="3"/>
      <c r="Y199" s="3">
        <v>56.2</v>
      </c>
      <c r="Z199" s="3"/>
      <c r="AA199" s="3">
        <v>46.9</v>
      </c>
      <c r="AB199" s="3"/>
      <c r="AC199" s="3">
        <v>116.59</v>
      </c>
      <c r="AD199" s="3" t="s">
        <v>334</v>
      </c>
      <c r="AE199" s="3">
        <v>120.85</v>
      </c>
      <c r="AF199" s="3"/>
      <c r="AG199" s="3">
        <v>122.11</v>
      </c>
      <c r="AH199" s="3"/>
    </row>
    <row r="200" spans="1:34">
      <c r="A200" t="s">
        <v>381</v>
      </c>
      <c r="B200" t="s">
        <v>382</v>
      </c>
      <c r="C200" s="3" t="s">
        <v>43</v>
      </c>
      <c r="D200" s="3"/>
      <c r="E200" s="3" t="s">
        <v>43</v>
      </c>
      <c r="F200" s="3"/>
      <c r="G200" s="3" t="s">
        <v>43</v>
      </c>
      <c r="H200" s="3"/>
      <c r="I200" s="3" t="s">
        <v>43</v>
      </c>
      <c r="J200" s="3"/>
      <c r="K200" s="3" t="s">
        <v>43</v>
      </c>
      <c r="L200" s="3"/>
      <c r="M200" s="3" t="s">
        <v>43</v>
      </c>
      <c r="N200" s="3"/>
      <c r="O200" s="3" t="s">
        <v>43</v>
      </c>
      <c r="P200" s="3"/>
      <c r="Q200" s="3" t="s">
        <v>43</v>
      </c>
      <c r="R200" s="3"/>
      <c r="S200" s="3">
        <v>33.9</v>
      </c>
      <c r="T200" s="3"/>
      <c r="U200" s="3">
        <v>37.9</v>
      </c>
      <c r="V200" s="3" t="s">
        <v>334</v>
      </c>
      <c r="W200" s="3">
        <v>37.700000000000003</v>
      </c>
      <c r="X200" s="3"/>
      <c r="Y200" s="3">
        <v>38.9</v>
      </c>
      <c r="Z200" s="3"/>
      <c r="AA200" s="3">
        <v>38.200000000000003</v>
      </c>
      <c r="AB200" s="3"/>
      <c r="AC200" s="3">
        <v>185.84</v>
      </c>
      <c r="AD200" s="3" t="s">
        <v>334</v>
      </c>
      <c r="AE200" s="3">
        <v>191.64</v>
      </c>
      <c r="AF200" s="3"/>
      <c r="AG200" s="3">
        <v>206.94</v>
      </c>
      <c r="AH200" s="3"/>
    </row>
    <row r="201" spans="1:34">
      <c r="A201" t="s">
        <v>383</v>
      </c>
      <c r="B201" t="s">
        <v>384</v>
      </c>
      <c r="C201" s="3" t="s">
        <v>43</v>
      </c>
      <c r="D201" s="3"/>
      <c r="E201" s="3" t="s">
        <v>43</v>
      </c>
      <c r="F201" s="3"/>
      <c r="G201" s="3" t="s">
        <v>43</v>
      </c>
      <c r="H201" s="3"/>
      <c r="I201" s="3" t="s">
        <v>43</v>
      </c>
      <c r="J201" s="3"/>
      <c r="K201" s="3" t="s">
        <v>43</v>
      </c>
      <c r="L201" s="3"/>
      <c r="M201" s="3" t="s">
        <v>43</v>
      </c>
      <c r="N201" s="3"/>
      <c r="O201" s="3" t="s">
        <v>43</v>
      </c>
      <c r="P201" s="3"/>
      <c r="Q201" s="3" t="s">
        <v>43</v>
      </c>
      <c r="R201" s="3"/>
      <c r="S201" s="3">
        <v>8</v>
      </c>
      <c r="T201" s="3"/>
      <c r="U201" s="3">
        <v>11</v>
      </c>
      <c r="V201" s="3" t="s">
        <v>334</v>
      </c>
      <c r="W201" s="3">
        <v>8.3000000000000007</v>
      </c>
      <c r="X201" s="3"/>
      <c r="Y201" s="3">
        <v>8.8000000000000007</v>
      </c>
      <c r="Z201" s="3"/>
      <c r="AA201" s="3">
        <v>8.1999999999999993</v>
      </c>
      <c r="AB201" s="3"/>
      <c r="AC201" s="3">
        <v>16.72</v>
      </c>
      <c r="AD201" s="3" t="s">
        <v>334</v>
      </c>
      <c r="AE201" s="3">
        <v>18.41</v>
      </c>
      <c r="AF201" s="3"/>
      <c r="AG201" s="3">
        <v>21.28</v>
      </c>
      <c r="AH201" s="3"/>
    </row>
    <row r="202" spans="1:34">
      <c r="A202" t="s">
        <v>385</v>
      </c>
      <c r="B202" t="s">
        <v>386</v>
      </c>
      <c r="C202" s="3" t="s">
        <v>43</v>
      </c>
      <c r="D202" s="3"/>
      <c r="E202" s="3" t="s">
        <v>43</v>
      </c>
      <c r="F202" s="3"/>
      <c r="G202" s="3" t="s">
        <v>43</v>
      </c>
      <c r="H202" s="3"/>
      <c r="I202" s="3" t="s">
        <v>43</v>
      </c>
      <c r="J202" s="3"/>
      <c r="K202" s="3" t="s">
        <v>43</v>
      </c>
      <c r="L202" s="3"/>
      <c r="M202" s="3" t="s">
        <v>43</v>
      </c>
      <c r="N202" s="3"/>
      <c r="O202" s="3" t="s">
        <v>43</v>
      </c>
      <c r="P202" s="3"/>
      <c r="Q202" s="3" t="s">
        <v>43</v>
      </c>
      <c r="R202" s="3"/>
      <c r="S202" s="3">
        <v>25.9</v>
      </c>
      <c r="T202" s="3"/>
      <c r="U202" s="3">
        <v>26.9</v>
      </c>
      <c r="V202" s="3" t="s">
        <v>334</v>
      </c>
      <c r="W202" s="3">
        <v>29.4</v>
      </c>
      <c r="X202" s="3"/>
      <c r="Y202" s="3">
        <v>30.1</v>
      </c>
      <c r="Z202" s="3"/>
      <c r="AA202" s="3">
        <v>30</v>
      </c>
      <c r="AB202" s="3"/>
      <c r="AC202" s="3">
        <v>169.12</v>
      </c>
      <c r="AD202" s="3" t="s">
        <v>334</v>
      </c>
      <c r="AE202" s="3">
        <v>173.23</v>
      </c>
      <c r="AF202" s="3"/>
      <c r="AG202" s="3">
        <v>185.66</v>
      </c>
      <c r="AH202" s="3"/>
    </row>
    <row r="203" spans="1:34">
      <c r="A203" t="s">
        <v>387</v>
      </c>
      <c r="B203" t="s">
        <v>388</v>
      </c>
      <c r="C203" s="3" t="s">
        <v>43</v>
      </c>
      <c r="D203" s="3"/>
      <c r="E203" s="3" t="s">
        <v>43</v>
      </c>
      <c r="F203" s="3"/>
      <c r="G203" s="3" t="s">
        <v>43</v>
      </c>
      <c r="H203" s="3"/>
      <c r="I203" s="3" t="s">
        <v>43</v>
      </c>
      <c r="J203" s="3"/>
      <c r="K203" s="3" t="s">
        <v>43</v>
      </c>
      <c r="L203" s="3"/>
      <c r="M203" s="3" t="s">
        <v>43</v>
      </c>
      <c r="N203" s="3"/>
      <c r="O203" s="3" t="s">
        <v>43</v>
      </c>
      <c r="P203" s="3"/>
      <c r="Q203" s="3" t="s">
        <v>43</v>
      </c>
      <c r="R203" s="3"/>
      <c r="S203" s="3">
        <v>932.5</v>
      </c>
      <c r="T203" s="3"/>
      <c r="U203" s="3">
        <v>1400.3</v>
      </c>
      <c r="V203" s="3" t="s">
        <v>334</v>
      </c>
      <c r="W203" s="3">
        <v>1321.9</v>
      </c>
      <c r="X203" s="3"/>
      <c r="Y203" s="3">
        <v>1316.9</v>
      </c>
      <c r="Z203" s="3"/>
      <c r="AA203" s="3">
        <v>1383.1</v>
      </c>
      <c r="AB203" s="3"/>
      <c r="AC203" s="3">
        <v>884.13</v>
      </c>
      <c r="AD203" s="3" t="s">
        <v>334</v>
      </c>
      <c r="AE203" s="3">
        <v>892.04</v>
      </c>
      <c r="AF203" s="3"/>
      <c r="AG203" s="3">
        <v>1020.75</v>
      </c>
      <c r="AH203" s="3"/>
    </row>
    <row r="204" spans="1:34">
      <c r="A204" t="s">
        <v>389</v>
      </c>
      <c r="B204" t="s">
        <v>390</v>
      </c>
      <c r="C204" s="3" t="s">
        <v>43</v>
      </c>
      <c r="D204" s="3"/>
      <c r="E204" s="3" t="s">
        <v>43</v>
      </c>
      <c r="F204" s="3"/>
      <c r="G204" s="3" t="s">
        <v>43</v>
      </c>
      <c r="H204" s="3"/>
      <c r="I204" s="3" t="s">
        <v>43</v>
      </c>
      <c r="J204" s="3"/>
      <c r="K204" s="3" t="s">
        <v>43</v>
      </c>
      <c r="L204" s="3"/>
      <c r="M204" s="3" t="s">
        <v>43</v>
      </c>
      <c r="N204" s="3"/>
      <c r="O204" s="3" t="s">
        <v>43</v>
      </c>
      <c r="P204" s="3"/>
      <c r="Q204" s="3" t="s">
        <v>43</v>
      </c>
      <c r="R204" s="3"/>
      <c r="S204" s="3">
        <v>23.9</v>
      </c>
      <c r="T204" s="3"/>
      <c r="U204" s="3" t="s">
        <v>43</v>
      </c>
      <c r="V204" s="3" t="s">
        <v>403</v>
      </c>
      <c r="W204" s="3" t="s">
        <v>43</v>
      </c>
      <c r="X204" s="3" t="s">
        <v>44</v>
      </c>
      <c r="Y204" s="3" t="s">
        <v>43</v>
      </c>
      <c r="Z204" s="3" t="s">
        <v>44</v>
      </c>
      <c r="AA204" s="3" t="s">
        <v>43</v>
      </c>
      <c r="AB204" s="3" t="s">
        <v>44</v>
      </c>
      <c r="AC204" s="3">
        <v>79.790000000000006</v>
      </c>
      <c r="AD204" s="3" t="s">
        <v>334</v>
      </c>
      <c r="AE204" s="3">
        <v>84.41</v>
      </c>
      <c r="AF204" s="3"/>
      <c r="AG204" s="3">
        <v>90.27</v>
      </c>
      <c r="AH204" s="3"/>
    </row>
    <row r="205" spans="1:34">
      <c r="A205" t="s">
        <v>391</v>
      </c>
      <c r="B205" t="s">
        <v>392</v>
      </c>
      <c r="C205" s="3" t="s">
        <v>43</v>
      </c>
      <c r="D205" s="3"/>
      <c r="E205" s="3" t="s">
        <v>43</v>
      </c>
      <c r="F205" s="3"/>
      <c r="G205" s="3" t="s">
        <v>43</v>
      </c>
      <c r="H205" s="3"/>
      <c r="I205" s="3" t="s">
        <v>43</v>
      </c>
      <c r="J205" s="3"/>
      <c r="K205" s="3" t="s">
        <v>43</v>
      </c>
      <c r="L205" s="3"/>
      <c r="M205" s="3" t="s">
        <v>43</v>
      </c>
      <c r="N205" s="3"/>
      <c r="O205" s="3" t="s">
        <v>43</v>
      </c>
      <c r="P205" s="3"/>
      <c r="Q205" s="3" t="s">
        <v>43</v>
      </c>
      <c r="R205" s="3"/>
      <c r="S205" s="3">
        <v>908.6</v>
      </c>
      <c r="T205" s="3"/>
      <c r="U205" s="3" t="s">
        <v>43</v>
      </c>
      <c r="V205" s="3" t="s">
        <v>403</v>
      </c>
      <c r="W205" s="3" t="s">
        <v>43</v>
      </c>
      <c r="X205" s="3" t="s">
        <v>44</v>
      </c>
      <c r="Y205" s="3" t="s">
        <v>43</v>
      </c>
      <c r="Z205" s="3" t="s">
        <v>44</v>
      </c>
      <c r="AA205" s="3" t="s">
        <v>43</v>
      </c>
      <c r="AB205" s="3" t="s">
        <v>44</v>
      </c>
      <c r="AC205" s="3">
        <v>804.35</v>
      </c>
      <c r="AD205" s="3" t="s">
        <v>334</v>
      </c>
      <c r="AE205" s="3">
        <v>807.63</v>
      </c>
      <c r="AF205" s="3"/>
      <c r="AG205" s="3">
        <v>930.48</v>
      </c>
      <c r="AH205" s="3"/>
    </row>
    <row r="206" spans="1:34">
      <c r="A206" t="s">
        <v>393</v>
      </c>
      <c r="B206" t="s">
        <v>394</v>
      </c>
      <c r="C206" s="3" t="s">
        <v>43</v>
      </c>
      <c r="D206" s="3"/>
      <c r="E206" s="3" t="s">
        <v>43</v>
      </c>
      <c r="F206" s="3"/>
      <c r="G206" s="3" t="s">
        <v>43</v>
      </c>
      <c r="H206" s="3"/>
      <c r="I206" s="3" t="s">
        <v>43</v>
      </c>
      <c r="J206" s="3"/>
      <c r="K206" s="3" t="s">
        <v>43</v>
      </c>
      <c r="L206" s="3"/>
      <c r="M206" s="3" t="s">
        <v>43</v>
      </c>
      <c r="N206" s="3"/>
      <c r="O206" s="3" t="s">
        <v>43</v>
      </c>
      <c r="P206" s="3"/>
      <c r="Q206" s="3" t="s">
        <v>43</v>
      </c>
      <c r="R206" s="3"/>
      <c r="S206" s="3" t="s">
        <v>43</v>
      </c>
      <c r="T206" s="3" t="s">
        <v>44</v>
      </c>
      <c r="U206" s="3" t="s">
        <v>43</v>
      </c>
      <c r="V206" s="3" t="s">
        <v>403</v>
      </c>
      <c r="W206" s="3">
        <v>38.700000000000003</v>
      </c>
      <c r="X206" s="3"/>
      <c r="Y206" s="3" t="s">
        <v>43</v>
      </c>
      <c r="Z206" s="3" t="s">
        <v>44</v>
      </c>
      <c r="AA206" s="3">
        <v>24.8</v>
      </c>
      <c r="AB206" s="3"/>
      <c r="AC206" s="3">
        <v>43.5</v>
      </c>
      <c r="AD206" s="3" t="s">
        <v>334</v>
      </c>
      <c r="AE206" s="3">
        <v>43.25</v>
      </c>
      <c r="AF206" s="3"/>
      <c r="AG206" s="3">
        <v>45.83</v>
      </c>
      <c r="AH206" s="3"/>
    </row>
    <row r="207" spans="1:34">
      <c r="A207" t="s">
        <v>395</v>
      </c>
      <c r="B207" t="s">
        <v>394</v>
      </c>
      <c r="C207" s="3" t="s">
        <v>43</v>
      </c>
      <c r="D207" s="3"/>
      <c r="E207" s="3" t="s">
        <v>43</v>
      </c>
      <c r="F207" s="3"/>
      <c r="G207" s="3" t="s">
        <v>43</v>
      </c>
      <c r="H207" s="3"/>
      <c r="I207" s="3" t="s">
        <v>43</v>
      </c>
      <c r="J207" s="3"/>
      <c r="K207" s="3" t="s">
        <v>43</v>
      </c>
      <c r="L207" s="3"/>
      <c r="M207" s="3" t="s">
        <v>43</v>
      </c>
      <c r="N207" s="3"/>
      <c r="O207" s="3" t="s">
        <v>43</v>
      </c>
      <c r="P207" s="3"/>
      <c r="Q207" s="3" t="s">
        <v>43</v>
      </c>
      <c r="R207" s="3"/>
      <c r="S207" s="3" t="s">
        <v>43</v>
      </c>
      <c r="T207" s="3" t="s">
        <v>44</v>
      </c>
      <c r="U207" s="3" t="s">
        <v>43</v>
      </c>
      <c r="V207" s="3" t="s">
        <v>403</v>
      </c>
      <c r="W207" s="3">
        <v>38.700000000000003</v>
      </c>
      <c r="X207" s="3"/>
      <c r="Y207" s="3" t="s">
        <v>43</v>
      </c>
      <c r="Z207" s="3" t="s">
        <v>44</v>
      </c>
      <c r="AA207" s="3">
        <v>24.8</v>
      </c>
      <c r="AB207" s="3"/>
      <c r="AC207" s="3">
        <v>43.5</v>
      </c>
      <c r="AD207" s="3" t="s">
        <v>334</v>
      </c>
      <c r="AE207" s="3">
        <v>43.25</v>
      </c>
      <c r="AF207" s="3"/>
      <c r="AG207" s="3">
        <v>45.83</v>
      </c>
      <c r="AH207" s="3"/>
    </row>
    <row r="208" spans="1:34">
      <c r="A208" t="s">
        <v>396</v>
      </c>
      <c r="B208" t="s">
        <v>397</v>
      </c>
      <c r="C208" s="3" t="s">
        <v>43</v>
      </c>
      <c r="D208" s="3"/>
      <c r="E208" s="3" t="s">
        <v>43</v>
      </c>
      <c r="F208" s="3"/>
      <c r="G208" s="3" t="s">
        <v>43</v>
      </c>
      <c r="H208" s="3"/>
      <c r="I208" s="3" t="s">
        <v>43</v>
      </c>
      <c r="J208" s="3"/>
      <c r="K208" s="3" t="s">
        <v>43</v>
      </c>
      <c r="L208" s="3"/>
      <c r="M208" s="3" t="s">
        <v>43</v>
      </c>
      <c r="N208" s="3"/>
      <c r="O208" s="3" t="s">
        <v>43</v>
      </c>
      <c r="P208" s="3"/>
      <c r="Q208" s="3" t="s">
        <v>43</v>
      </c>
      <c r="R208" s="3"/>
      <c r="S208" s="3" t="s">
        <v>43</v>
      </c>
      <c r="T208" s="3" t="s">
        <v>44</v>
      </c>
      <c r="U208" s="3" t="s">
        <v>43</v>
      </c>
      <c r="V208" s="3" t="s">
        <v>403</v>
      </c>
      <c r="W208" s="3" t="s">
        <v>43</v>
      </c>
      <c r="X208" s="3" t="s">
        <v>44</v>
      </c>
      <c r="Y208" s="3">
        <v>0.7</v>
      </c>
      <c r="Z208" s="3"/>
      <c r="AA208" s="3" t="s">
        <v>43</v>
      </c>
      <c r="AB208" s="3" t="s">
        <v>44</v>
      </c>
      <c r="AC208" s="3">
        <v>0.51</v>
      </c>
      <c r="AD208" s="3" t="s">
        <v>334</v>
      </c>
      <c r="AE208" s="3">
        <v>0.35</v>
      </c>
      <c r="AF208" s="3"/>
      <c r="AG208" s="3">
        <v>0.38</v>
      </c>
      <c r="AH208" s="3"/>
    </row>
    <row r="209" spans="1:34">
      <c r="A209" t="s">
        <v>398</v>
      </c>
      <c r="B209" t="s">
        <v>397</v>
      </c>
      <c r="C209" s="3" t="s">
        <v>43</v>
      </c>
      <c r="D209" s="3"/>
      <c r="E209" s="3" t="s">
        <v>43</v>
      </c>
      <c r="F209" s="3"/>
      <c r="G209" s="3" t="s">
        <v>43</v>
      </c>
      <c r="H209" s="3"/>
      <c r="I209" s="3" t="s">
        <v>43</v>
      </c>
      <c r="J209" s="3"/>
      <c r="K209" s="3" t="s">
        <v>43</v>
      </c>
      <c r="L209" s="3"/>
      <c r="M209" s="3" t="s">
        <v>43</v>
      </c>
      <c r="N209" s="3"/>
      <c r="O209" s="3" t="s">
        <v>43</v>
      </c>
      <c r="P209" s="3"/>
      <c r="Q209" s="3" t="s">
        <v>43</v>
      </c>
      <c r="R209" s="3"/>
      <c r="S209" s="3" t="s">
        <v>43</v>
      </c>
      <c r="T209" s="3" t="s">
        <v>44</v>
      </c>
      <c r="U209" s="3" t="s">
        <v>43</v>
      </c>
      <c r="V209" s="3" t="s">
        <v>403</v>
      </c>
      <c r="W209" s="3" t="s">
        <v>43</v>
      </c>
      <c r="X209" s="3" t="s">
        <v>44</v>
      </c>
      <c r="Y209" s="3">
        <v>0.7</v>
      </c>
      <c r="Z209" s="3"/>
      <c r="AA209" s="3" t="s">
        <v>43</v>
      </c>
      <c r="AB209" s="3" t="s">
        <v>44</v>
      </c>
      <c r="AC209" s="3">
        <v>0.51</v>
      </c>
      <c r="AD209" s="3" t="s">
        <v>334</v>
      </c>
      <c r="AE209" s="3">
        <v>0.35</v>
      </c>
      <c r="AF209" s="3"/>
      <c r="AG209" s="3">
        <v>0.38</v>
      </c>
      <c r="AH209" s="3"/>
    </row>
    <row r="210" spans="1:34">
      <c r="A210" t="s">
        <v>399</v>
      </c>
      <c r="B210" t="s">
        <v>400</v>
      </c>
      <c r="C210" s="3" t="s">
        <v>43</v>
      </c>
      <c r="D210" s="3"/>
      <c r="E210" s="3" t="s">
        <v>43</v>
      </c>
      <c r="F210" s="3"/>
      <c r="G210" s="3" t="s">
        <v>43</v>
      </c>
      <c r="H210" s="3"/>
      <c r="I210" s="3" t="s">
        <v>43</v>
      </c>
      <c r="J210" s="3"/>
      <c r="K210" s="3" t="s">
        <v>43</v>
      </c>
      <c r="L210" s="3"/>
      <c r="M210" s="3" t="s">
        <v>43</v>
      </c>
      <c r="N210" s="3"/>
      <c r="O210" s="3" t="s">
        <v>43</v>
      </c>
      <c r="P210" s="3"/>
      <c r="Q210" s="3" t="s">
        <v>43</v>
      </c>
      <c r="R210" s="3"/>
      <c r="S210" s="3">
        <v>4.0999999999999996</v>
      </c>
      <c r="T210" s="3"/>
      <c r="U210" s="3">
        <v>3.5</v>
      </c>
      <c r="V210" s="3" t="s">
        <v>334</v>
      </c>
      <c r="W210" s="3">
        <v>4.2</v>
      </c>
      <c r="X210" s="3"/>
      <c r="Y210" s="3">
        <v>4.3</v>
      </c>
      <c r="Z210" s="3"/>
      <c r="AA210" s="3">
        <v>4.3</v>
      </c>
      <c r="AB210" s="3"/>
      <c r="AC210" s="3">
        <v>3.33</v>
      </c>
      <c r="AD210" s="3" t="s">
        <v>334</v>
      </c>
      <c r="AE210" s="3">
        <v>3.33</v>
      </c>
      <c r="AF210" s="3"/>
      <c r="AG210" s="3">
        <v>3.6</v>
      </c>
      <c r="AH210" s="3"/>
    </row>
    <row r="211" spans="1:34">
      <c r="A211" t="s">
        <v>401</v>
      </c>
      <c r="B211" t="s">
        <v>402</v>
      </c>
      <c r="C211" s="3" t="s">
        <v>43</v>
      </c>
      <c r="D211" s="3"/>
      <c r="E211" s="3" t="s">
        <v>43</v>
      </c>
      <c r="F211" s="3"/>
      <c r="G211" s="3" t="s">
        <v>43</v>
      </c>
      <c r="H211" s="3"/>
      <c r="I211" s="3" t="s">
        <v>43</v>
      </c>
      <c r="J211" s="3"/>
      <c r="K211" s="3" t="s">
        <v>43</v>
      </c>
      <c r="L211" s="3"/>
      <c r="M211" s="3" t="s">
        <v>43</v>
      </c>
      <c r="N211" s="3"/>
      <c r="O211" s="3" t="s">
        <v>43</v>
      </c>
      <c r="P211" s="3"/>
      <c r="Q211" s="3" t="s">
        <v>43</v>
      </c>
      <c r="R211" s="3"/>
      <c r="S211" s="3">
        <v>0.4</v>
      </c>
      <c r="T211" s="3"/>
      <c r="U211" s="3">
        <v>0.6</v>
      </c>
      <c r="V211" s="3" t="s">
        <v>334</v>
      </c>
      <c r="W211" s="3">
        <v>0.7</v>
      </c>
      <c r="X211" s="3"/>
      <c r="Y211" s="3">
        <v>0.6</v>
      </c>
      <c r="Z211" s="3"/>
      <c r="AA211" s="3">
        <v>0.7</v>
      </c>
      <c r="AB211" s="3"/>
      <c r="AC211" s="3">
        <v>0.59</v>
      </c>
      <c r="AD211" s="3" t="s">
        <v>334</v>
      </c>
      <c r="AE211" s="3" t="s">
        <v>43</v>
      </c>
      <c r="AF211" s="3" t="s">
        <v>44</v>
      </c>
      <c r="AG211" s="3" t="s">
        <v>43</v>
      </c>
      <c r="AH211" s="3" t="s">
        <v>44</v>
      </c>
    </row>
    <row r="212" spans="1:34">
      <c r="A212" t="s">
        <v>404</v>
      </c>
      <c r="B212" t="s">
        <v>405</v>
      </c>
      <c r="C212" s="3" t="s">
        <v>43</v>
      </c>
      <c r="D212" s="3"/>
      <c r="E212" s="3" t="s">
        <v>43</v>
      </c>
      <c r="F212" s="3"/>
      <c r="G212" s="3" t="s">
        <v>43</v>
      </c>
      <c r="H212" s="3"/>
      <c r="I212" s="3" t="s">
        <v>43</v>
      </c>
      <c r="J212" s="3"/>
      <c r="K212" s="3" t="s">
        <v>43</v>
      </c>
      <c r="L212" s="3"/>
      <c r="M212" s="3" t="s">
        <v>43</v>
      </c>
      <c r="N212" s="3"/>
      <c r="O212" s="3" t="s">
        <v>43</v>
      </c>
      <c r="P212" s="3"/>
      <c r="Q212" s="3" t="s">
        <v>43</v>
      </c>
      <c r="R212" s="3"/>
      <c r="S212" s="3" t="s">
        <v>43</v>
      </c>
      <c r="T212" s="3" t="s">
        <v>44</v>
      </c>
      <c r="U212" s="3">
        <v>0.3</v>
      </c>
      <c r="V212" s="3" t="s">
        <v>334</v>
      </c>
      <c r="W212" s="3" t="s">
        <v>43</v>
      </c>
      <c r="X212" s="3" t="s">
        <v>44</v>
      </c>
      <c r="Y212" s="3" t="s">
        <v>43</v>
      </c>
      <c r="Z212" s="3" t="s">
        <v>44</v>
      </c>
      <c r="AA212" s="3" t="s">
        <v>43</v>
      </c>
      <c r="AB212" s="3" t="s">
        <v>44</v>
      </c>
      <c r="AC212" s="3" t="s">
        <v>43</v>
      </c>
      <c r="AD212" s="3" t="s">
        <v>403</v>
      </c>
      <c r="AE212" s="3" t="s">
        <v>43</v>
      </c>
      <c r="AF212" s="3" t="s">
        <v>44</v>
      </c>
      <c r="AG212" s="3" t="s">
        <v>43</v>
      </c>
      <c r="AH212" s="3" t="s">
        <v>44</v>
      </c>
    </row>
    <row r="213" spans="1:34">
      <c r="A213" t="s">
        <v>406</v>
      </c>
      <c r="B213" t="s">
        <v>407</v>
      </c>
      <c r="C213" s="3" t="s">
        <v>43</v>
      </c>
      <c r="D213" s="3"/>
      <c r="E213" s="3" t="s">
        <v>43</v>
      </c>
      <c r="F213" s="3"/>
      <c r="G213" s="3" t="s">
        <v>43</v>
      </c>
      <c r="H213" s="3"/>
      <c r="I213" s="3" t="s">
        <v>43</v>
      </c>
      <c r="J213" s="3"/>
      <c r="K213" s="3" t="s">
        <v>43</v>
      </c>
      <c r="L213" s="3"/>
      <c r="M213" s="3" t="s">
        <v>43</v>
      </c>
      <c r="N213" s="3"/>
      <c r="O213" s="3" t="s">
        <v>43</v>
      </c>
      <c r="P213" s="3"/>
      <c r="Q213" s="3" t="s">
        <v>43</v>
      </c>
      <c r="R213" s="3"/>
      <c r="S213" s="3" t="s">
        <v>43</v>
      </c>
      <c r="T213" s="3" t="s">
        <v>44</v>
      </c>
      <c r="U213" s="3" t="s">
        <v>43</v>
      </c>
      <c r="V213" s="3" t="s">
        <v>403</v>
      </c>
      <c r="W213" s="3" t="s">
        <v>43</v>
      </c>
      <c r="X213" s="3" t="s">
        <v>44</v>
      </c>
      <c r="Y213" s="3" t="s">
        <v>43</v>
      </c>
      <c r="Z213" s="3" t="s">
        <v>44</v>
      </c>
      <c r="AA213" s="3" t="s">
        <v>43</v>
      </c>
      <c r="AB213" s="3" t="s">
        <v>44</v>
      </c>
      <c r="AC213" s="3" t="s">
        <v>43</v>
      </c>
      <c r="AD213" s="3" t="s">
        <v>403</v>
      </c>
      <c r="AE213" s="3">
        <v>0.04</v>
      </c>
      <c r="AF213" s="3"/>
      <c r="AG213" s="3" t="s">
        <v>43</v>
      </c>
      <c r="AH213" s="3" t="s">
        <v>44</v>
      </c>
    </row>
    <row r="214" spans="1:34">
      <c r="A214" t="s">
        <v>408</v>
      </c>
      <c r="B214" t="s">
        <v>409</v>
      </c>
      <c r="C214" s="3" t="s">
        <v>43</v>
      </c>
      <c r="D214" s="3"/>
      <c r="E214" s="3" t="s">
        <v>43</v>
      </c>
      <c r="F214" s="3"/>
      <c r="G214" s="3" t="s">
        <v>43</v>
      </c>
      <c r="H214" s="3"/>
      <c r="I214" s="3" t="s">
        <v>43</v>
      </c>
      <c r="J214" s="3"/>
      <c r="K214" s="3" t="s">
        <v>43</v>
      </c>
      <c r="L214" s="3"/>
      <c r="M214" s="3" t="s">
        <v>43</v>
      </c>
      <c r="N214" s="3"/>
      <c r="O214" s="3" t="s">
        <v>43</v>
      </c>
      <c r="P214" s="3"/>
      <c r="Q214" s="3" t="s">
        <v>43</v>
      </c>
      <c r="R214" s="3"/>
      <c r="S214" s="3" t="s">
        <v>43</v>
      </c>
      <c r="T214" s="3" t="s">
        <v>44</v>
      </c>
      <c r="U214" s="3" t="s">
        <v>43</v>
      </c>
      <c r="V214" s="3" t="s">
        <v>403</v>
      </c>
      <c r="W214" s="3">
        <v>3.1</v>
      </c>
      <c r="X214" s="3"/>
      <c r="Y214" s="3">
        <v>3.4</v>
      </c>
      <c r="Z214" s="3"/>
      <c r="AA214" s="3" t="s">
        <v>43</v>
      </c>
      <c r="AB214" s="3" t="s">
        <v>44</v>
      </c>
      <c r="AC214" s="3">
        <v>2.65</v>
      </c>
      <c r="AD214" s="3" t="s">
        <v>334</v>
      </c>
      <c r="AE214" s="3">
        <v>2.86</v>
      </c>
      <c r="AF214" s="3"/>
      <c r="AG214" s="3">
        <v>3.03</v>
      </c>
      <c r="AH214" s="3"/>
    </row>
    <row r="215" spans="1:34">
      <c r="A215" t="s">
        <v>410</v>
      </c>
      <c r="B215" t="s">
        <v>411</v>
      </c>
      <c r="C215" s="3" t="s">
        <v>43</v>
      </c>
      <c r="D215" s="3"/>
      <c r="E215" s="3" t="s">
        <v>43</v>
      </c>
      <c r="F215" s="3"/>
      <c r="G215" s="3" t="s">
        <v>43</v>
      </c>
      <c r="H215" s="3"/>
      <c r="I215" s="3" t="s">
        <v>43</v>
      </c>
      <c r="J215" s="3"/>
      <c r="K215" s="3" t="s">
        <v>43</v>
      </c>
      <c r="L215" s="3"/>
      <c r="M215" s="3" t="s">
        <v>43</v>
      </c>
      <c r="N215" s="3"/>
      <c r="O215" s="3" t="s">
        <v>43</v>
      </c>
      <c r="P215" s="3"/>
      <c r="Q215" s="3" t="s">
        <v>43</v>
      </c>
      <c r="R215" s="3"/>
      <c r="S215" s="3" t="s">
        <v>43</v>
      </c>
      <c r="T215" s="3"/>
      <c r="U215" s="3" t="s">
        <v>43</v>
      </c>
      <c r="V215" s="3" t="s">
        <v>334</v>
      </c>
      <c r="W215" s="3" t="s">
        <v>43</v>
      </c>
      <c r="X215" s="3"/>
      <c r="Y215" s="3">
        <v>0</v>
      </c>
      <c r="Z215" s="3"/>
      <c r="AA215" s="3">
        <v>0</v>
      </c>
      <c r="AB215" s="3"/>
      <c r="AC215" s="3">
        <v>0</v>
      </c>
      <c r="AD215" s="3" t="s">
        <v>334</v>
      </c>
      <c r="AE215" s="3">
        <v>0</v>
      </c>
      <c r="AF215" s="3"/>
      <c r="AG215" s="3">
        <v>0</v>
      </c>
      <c r="AH215" s="3"/>
    </row>
    <row r="216" spans="1:34">
      <c r="A216" t="s">
        <v>889</v>
      </c>
      <c r="B216" t="s">
        <v>890</v>
      </c>
      <c r="C216" s="3" t="s">
        <v>43</v>
      </c>
      <c r="D216" s="3" t="s">
        <v>886</v>
      </c>
      <c r="E216" s="3">
        <v>632.6</v>
      </c>
      <c r="F216" s="3"/>
      <c r="G216" s="3">
        <v>596.29999999999995</v>
      </c>
      <c r="H216" s="3"/>
      <c r="I216" s="3">
        <v>560.6</v>
      </c>
      <c r="J216" s="3"/>
      <c r="K216" s="3">
        <v>593.1</v>
      </c>
      <c r="L216" s="3"/>
      <c r="M216" s="3">
        <v>688.9</v>
      </c>
      <c r="N216" s="3"/>
      <c r="O216" s="3">
        <v>558.79999999999995</v>
      </c>
      <c r="P216" s="3" t="s">
        <v>334</v>
      </c>
      <c r="Q216" s="3">
        <v>525.79999999999995</v>
      </c>
      <c r="R216" s="3" t="s">
        <v>334</v>
      </c>
      <c r="S216" s="3" t="s">
        <v>43</v>
      </c>
      <c r="T216" s="3"/>
      <c r="U216" s="3" t="s">
        <v>43</v>
      </c>
      <c r="V216" s="3"/>
      <c r="W216" s="3" t="s">
        <v>43</v>
      </c>
      <c r="X216" s="3"/>
      <c r="Y216" s="3" t="s">
        <v>43</v>
      </c>
      <c r="Z216" s="3"/>
      <c r="AA216" s="3" t="s">
        <v>43</v>
      </c>
      <c r="AB216" s="3"/>
      <c r="AC216" s="3"/>
      <c r="AD216" s="3"/>
      <c r="AE216" s="3"/>
      <c r="AF216" s="3"/>
      <c r="AG216" s="3"/>
      <c r="AH216" s="3"/>
    </row>
    <row r="217" spans="1:34">
      <c r="A217" t="s">
        <v>891</v>
      </c>
      <c r="B217" t="s">
        <v>892</v>
      </c>
      <c r="C217" s="3" t="s">
        <v>43</v>
      </c>
      <c r="D217" s="3" t="s">
        <v>886</v>
      </c>
      <c r="E217" s="3">
        <v>84.2</v>
      </c>
      <c r="F217" s="3"/>
      <c r="G217" s="3">
        <v>95.1</v>
      </c>
      <c r="H217" s="3"/>
      <c r="I217" s="3">
        <v>51.7</v>
      </c>
      <c r="J217" s="3"/>
      <c r="K217" s="3">
        <v>71.5</v>
      </c>
      <c r="L217" s="3"/>
      <c r="M217" s="3">
        <v>82.2</v>
      </c>
      <c r="N217" s="3"/>
      <c r="O217" s="3">
        <v>68.099999999999994</v>
      </c>
      <c r="P217" s="3" t="s">
        <v>334</v>
      </c>
      <c r="Q217" s="3" t="s">
        <v>43</v>
      </c>
      <c r="R217" s="3" t="s">
        <v>403</v>
      </c>
      <c r="S217" s="3" t="s">
        <v>43</v>
      </c>
      <c r="T217" s="3"/>
      <c r="U217" s="3" t="s">
        <v>43</v>
      </c>
      <c r="V217" s="3"/>
      <c r="W217" s="3" t="s">
        <v>43</v>
      </c>
      <c r="X217" s="3"/>
      <c r="Y217" s="3" t="s">
        <v>43</v>
      </c>
      <c r="Z217" s="3"/>
      <c r="AA217" s="3" t="s">
        <v>43</v>
      </c>
      <c r="AB217" s="3"/>
      <c r="AC217" s="3"/>
      <c r="AD217" s="3"/>
      <c r="AE217" s="3"/>
      <c r="AF217" s="3"/>
      <c r="AG217" s="3"/>
      <c r="AH217" s="3"/>
    </row>
    <row r="218" spans="1:34">
      <c r="A218" t="s">
        <v>893</v>
      </c>
      <c r="B218" t="s">
        <v>894</v>
      </c>
      <c r="C218" s="3" t="s">
        <v>43</v>
      </c>
      <c r="D218" s="3" t="s">
        <v>886</v>
      </c>
      <c r="E218" s="3">
        <v>142.19999999999999</v>
      </c>
      <c r="F218" s="3"/>
      <c r="G218" s="3">
        <v>118.2</v>
      </c>
      <c r="H218" s="3"/>
      <c r="I218" s="3">
        <v>139.6</v>
      </c>
      <c r="J218" s="3"/>
      <c r="K218" s="3">
        <v>132.9</v>
      </c>
      <c r="L218" s="3"/>
      <c r="M218" s="3">
        <v>147.5</v>
      </c>
      <c r="N218" s="3"/>
      <c r="O218" s="3">
        <v>106.1</v>
      </c>
      <c r="P218" s="3" t="s">
        <v>334</v>
      </c>
      <c r="Q218" s="3">
        <v>103</v>
      </c>
      <c r="R218" s="3" t="s">
        <v>334</v>
      </c>
      <c r="S218" s="3" t="s">
        <v>43</v>
      </c>
      <c r="T218" s="3"/>
      <c r="U218" s="3" t="s">
        <v>43</v>
      </c>
      <c r="V218" s="3"/>
      <c r="W218" s="3" t="s">
        <v>43</v>
      </c>
      <c r="X218" s="3"/>
      <c r="Y218" s="3" t="s">
        <v>43</v>
      </c>
      <c r="Z218" s="3"/>
      <c r="AA218" s="3" t="s">
        <v>43</v>
      </c>
      <c r="AB218" s="3"/>
      <c r="AC218" s="3"/>
      <c r="AD218" s="3"/>
      <c r="AE218" s="3"/>
      <c r="AF218" s="3"/>
      <c r="AG218" s="3"/>
      <c r="AH218" s="3"/>
    </row>
    <row r="219" spans="1:34">
      <c r="A219" t="s">
        <v>895</v>
      </c>
      <c r="B219" t="s">
        <v>896</v>
      </c>
      <c r="C219" s="3" t="s">
        <v>43</v>
      </c>
      <c r="D219" s="3" t="s">
        <v>886</v>
      </c>
      <c r="E219" s="3">
        <v>35</v>
      </c>
      <c r="F219" s="3"/>
      <c r="G219" s="3">
        <v>19.399999999999999</v>
      </c>
      <c r="H219" s="3"/>
      <c r="I219" s="3">
        <v>18.399999999999999</v>
      </c>
      <c r="J219" s="3"/>
      <c r="K219" s="3">
        <v>32.200000000000003</v>
      </c>
      <c r="L219" s="3"/>
      <c r="M219" s="3">
        <v>37.799999999999997</v>
      </c>
      <c r="N219" s="3"/>
      <c r="O219" s="3">
        <v>33.700000000000003</v>
      </c>
      <c r="P219" s="3" t="s">
        <v>334</v>
      </c>
      <c r="Q219" s="3" t="s">
        <v>43</v>
      </c>
      <c r="R219" s="3" t="s">
        <v>403</v>
      </c>
      <c r="S219" s="3" t="s">
        <v>43</v>
      </c>
      <c r="T219" s="3"/>
      <c r="U219" s="3" t="s">
        <v>43</v>
      </c>
      <c r="V219" s="3"/>
      <c r="W219" s="3" t="s">
        <v>43</v>
      </c>
      <c r="X219" s="3"/>
      <c r="Y219" s="3" t="s">
        <v>43</v>
      </c>
      <c r="Z219" s="3"/>
      <c r="AA219" s="3" t="s">
        <v>43</v>
      </c>
      <c r="AB219" s="3"/>
      <c r="AC219" s="3"/>
      <c r="AD219" s="3"/>
      <c r="AE219" s="3"/>
      <c r="AF219" s="3"/>
      <c r="AG219" s="3"/>
      <c r="AH219" s="3"/>
    </row>
    <row r="220" spans="1:34">
      <c r="A220" t="s">
        <v>897</v>
      </c>
      <c r="B220" t="s">
        <v>898</v>
      </c>
      <c r="C220" s="3" t="s">
        <v>43</v>
      </c>
      <c r="D220" s="3" t="s">
        <v>886</v>
      </c>
      <c r="E220" s="3">
        <v>133.30000000000001</v>
      </c>
      <c r="F220" s="3"/>
      <c r="G220" s="3">
        <v>138</v>
      </c>
      <c r="H220" s="3"/>
      <c r="I220" s="3">
        <v>135.1</v>
      </c>
      <c r="J220" s="3"/>
      <c r="K220" s="3">
        <v>125</v>
      </c>
      <c r="L220" s="3"/>
      <c r="M220" s="3">
        <v>178.2</v>
      </c>
      <c r="N220" s="3"/>
      <c r="O220" s="3">
        <v>113.4</v>
      </c>
      <c r="P220" s="3" t="s">
        <v>334</v>
      </c>
      <c r="Q220" s="3">
        <v>110.9</v>
      </c>
      <c r="R220" s="3" t="s">
        <v>334</v>
      </c>
      <c r="S220" s="3" t="s">
        <v>43</v>
      </c>
      <c r="T220" s="3"/>
      <c r="U220" s="3" t="s">
        <v>43</v>
      </c>
      <c r="V220" s="3"/>
      <c r="W220" s="3" t="s">
        <v>43</v>
      </c>
      <c r="X220" s="3"/>
      <c r="Y220" s="3" t="s">
        <v>43</v>
      </c>
      <c r="Z220" s="3"/>
      <c r="AA220" s="3" t="s">
        <v>43</v>
      </c>
      <c r="AB220" s="3"/>
      <c r="AC220" s="3"/>
      <c r="AD220" s="3"/>
      <c r="AE220" s="3"/>
      <c r="AF220" s="3"/>
      <c r="AG220" s="3"/>
      <c r="AH220" s="3"/>
    </row>
    <row r="221" spans="1:34">
      <c r="A221" t="s">
        <v>899</v>
      </c>
      <c r="B221" t="s">
        <v>900</v>
      </c>
      <c r="C221" s="3" t="s">
        <v>43</v>
      </c>
      <c r="D221" s="3" t="s">
        <v>886</v>
      </c>
      <c r="E221" s="3">
        <v>100.6</v>
      </c>
      <c r="F221" s="3"/>
      <c r="G221" s="3">
        <v>90.5</v>
      </c>
      <c r="H221" s="3"/>
      <c r="I221" s="3">
        <v>94.5</v>
      </c>
      <c r="J221" s="3"/>
      <c r="K221" s="3">
        <v>107.2</v>
      </c>
      <c r="L221" s="3"/>
      <c r="M221" s="3">
        <v>111.5</v>
      </c>
      <c r="N221" s="3"/>
      <c r="O221" s="3">
        <v>113.1</v>
      </c>
      <c r="P221" s="3" t="s">
        <v>334</v>
      </c>
      <c r="Q221" s="3">
        <v>96.2</v>
      </c>
      <c r="R221" s="3" t="s">
        <v>334</v>
      </c>
      <c r="S221" s="3" t="s">
        <v>43</v>
      </c>
      <c r="T221" s="3"/>
      <c r="U221" s="3" t="s">
        <v>43</v>
      </c>
      <c r="V221" s="3"/>
      <c r="W221" s="3" t="s">
        <v>43</v>
      </c>
      <c r="X221" s="3"/>
      <c r="Y221" s="3" t="s">
        <v>43</v>
      </c>
      <c r="Z221" s="3"/>
      <c r="AA221" s="3" t="s">
        <v>43</v>
      </c>
      <c r="AB221" s="3"/>
      <c r="AC221" s="3"/>
      <c r="AD221" s="3"/>
      <c r="AE221" s="3"/>
      <c r="AF221" s="3"/>
      <c r="AG221" s="3"/>
      <c r="AH221" s="3"/>
    </row>
    <row r="222" spans="1:34">
      <c r="A222" t="s">
        <v>901</v>
      </c>
      <c r="B222" t="s">
        <v>902</v>
      </c>
      <c r="C222" s="3" t="s">
        <v>43</v>
      </c>
      <c r="D222" s="3" t="s">
        <v>886</v>
      </c>
      <c r="E222" s="3">
        <v>137.30000000000001</v>
      </c>
      <c r="F222" s="3"/>
      <c r="G222" s="3">
        <v>135.1</v>
      </c>
      <c r="H222" s="3"/>
      <c r="I222" s="3">
        <v>121.3</v>
      </c>
      <c r="J222" s="3"/>
      <c r="K222" s="3">
        <v>124.4</v>
      </c>
      <c r="L222" s="3"/>
      <c r="M222" s="3">
        <v>131.80000000000001</v>
      </c>
      <c r="N222" s="3"/>
      <c r="O222" s="3">
        <v>124.3</v>
      </c>
      <c r="P222" s="3" t="s">
        <v>334</v>
      </c>
      <c r="Q222" s="3">
        <v>127.8</v>
      </c>
      <c r="R222" s="3" t="s">
        <v>334</v>
      </c>
      <c r="S222" s="3" t="s">
        <v>43</v>
      </c>
      <c r="T222" s="3"/>
      <c r="U222" s="3" t="s">
        <v>43</v>
      </c>
      <c r="V222" s="3"/>
      <c r="W222" s="3" t="s">
        <v>43</v>
      </c>
      <c r="X222" s="3"/>
      <c r="Y222" s="3" t="s">
        <v>43</v>
      </c>
      <c r="Z222" s="3"/>
      <c r="AA222" s="3" t="s">
        <v>43</v>
      </c>
      <c r="AB222" s="3"/>
      <c r="AC222" s="3"/>
      <c r="AD222" s="3"/>
      <c r="AE222" s="3"/>
      <c r="AF222" s="3"/>
      <c r="AG222" s="3"/>
      <c r="AH222" s="3"/>
    </row>
    <row r="223" spans="1:34">
      <c r="A223" t="s">
        <v>903</v>
      </c>
      <c r="B223" t="s">
        <v>904</v>
      </c>
      <c r="C223" s="3" t="s">
        <v>43</v>
      </c>
      <c r="D223" s="3" t="s">
        <v>886</v>
      </c>
      <c r="E223" s="3">
        <v>354.2</v>
      </c>
      <c r="F223" s="3"/>
      <c r="G223" s="3">
        <v>399.6</v>
      </c>
      <c r="H223" s="3"/>
      <c r="I223" s="3">
        <v>325.3</v>
      </c>
      <c r="J223" s="3"/>
      <c r="K223" s="3">
        <v>411.6</v>
      </c>
      <c r="L223" s="3"/>
      <c r="M223" s="3">
        <v>409.2</v>
      </c>
      <c r="N223" s="3"/>
      <c r="O223" s="3">
        <v>389.5</v>
      </c>
      <c r="P223" s="3" t="s">
        <v>334</v>
      </c>
      <c r="Q223" s="3">
        <v>393.8</v>
      </c>
      <c r="R223" s="3" t="s">
        <v>334</v>
      </c>
      <c r="S223" s="3" t="s">
        <v>43</v>
      </c>
      <c r="T223" s="3"/>
      <c r="U223" s="3" t="s">
        <v>43</v>
      </c>
      <c r="V223" s="3"/>
      <c r="W223" s="3" t="s">
        <v>43</v>
      </c>
      <c r="X223" s="3"/>
      <c r="Y223" s="3" t="s">
        <v>43</v>
      </c>
      <c r="Z223" s="3"/>
      <c r="AA223" s="3" t="s">
        <v>43</v>
      </c>
      <c r="AB223" s="3"/>
      <c r="AC223" s="3"/>
      <c r="AD223" s="3"/>
      <c r="AE223" s="3"/>
      <c r="AF223" s="3"/>
      <c r="AG223" s="3"/>
      <c r="AH223" s="3"/>
    </row>
    <row r="224" spans="1:34">
      <c r="A224" t="s">
        <v>905</v>
      </c>
      <c r="B224" t="s">
        <v>904</v>
      </c>
      <c r="C224" s="3" t="s">
        <v>43</v>
      </c>
      <c r="D224" s="3" t="s">
        <v>886</v>
      </c>
      <c r="E224" s="3">
        <v>354.2</v>
      </c>
      <c r="F224" s="3"/>
      <c r="G224" s="3">
        <v>399.6</v>
      </c>
      <c r="H224" s="3"/>
      <c r="I224" s="3">
        <v>325.3</v>
      </c>
      <c r="J224" s="3"/>
      <c r="K224" s="3">
        <v>411.6</v>
      </c>
      <c r="L224" s="3"/>
      <c r="M224" s="3">
        <v>409.2</v>
      </c>
      <c r="N224" s="3"/>
      <c r="O224" s="3">
        <v>389.5</v>
      </c>
      <c r="P224" s="3" t="s">
        <v>334</v>
      </c>
      <c r="Q224" s="3">
        <v>393.8</v>
      </c>
      <c r="R224" s="3" t="s">
        <v>334</v>
      </c>
      <c r="S224" s="3" t="s">
        <v>43</v>
      </c>
      <c r="T224" s="3"/>
      <c r="U224" s="3" t="s">
        <v>43</v>
      </c>
      <c r="V224" s="3"/>
      <c r="W224" s="3" t="s">
        <v>43</v>
      </c>
      <c r="X224" s="3"/>
      <c r="Y224" s="3" t="s">
        <v>43</v>
      </c>
      <c r="Z224" s="3"/>
      <c r="AA224" s="3" t="s">
        <v>43</v>
      </c>
      <c r="AB224" s="3"/>
      <c r="AC224" s="3"/>
      <c r="AD224" s="3"/>
      <c r="AE224" s="3"/>
      <c r="AF224" s="3"/>
      <c r="AG224" s="3"/>
      <c r="AH224" s="3"/>
    </row>
    <row r="225" spans="1:34">
      <c r="A225" t="s">
        <v>906</v>
      </c>
      <c r="B225" t="s">
        <v>907</v>
      </c>
      <c r="C225" s="3" t="s">
        <v>43</v>
      </c>
      <c r="D225" s="3" t="s">
        <v>886</v>
      </c>
      <c r="E225" s="3">
        <v>418</v>
      </c>
      <c r="F225" s="3"/>
      <c r="G225" s="3">
        <v>424.9</v>
      </c>
      <c r="H225" s="3"/>
      <c r="I225" s="3">
        <v>485.3</v>
      </c>
      <c r="J225" s="3"/>
      <c r="K225" s="3">
        <v>560.1</v>
      </c>
      <c r="L225" s="3"/>
      <c r="M225" s="3">
        <v>574.1</v>
      </c>
      <c r="N225" s="3"/>
      <c r="O225" s="3">
        <v>577</v>
      </c>
      <c r="P225" s="3" t="s">
        <v>334</v>
      </c>
      <c r="Q225" s="3" t="s">
        <v>43</v>
      </c>
      <c r="R225" s="3" t="s">
        <v>403</v>
      </c>
      <c r="S225" s="3" t="s">
        <v>43</v>
      </c>
      <c r="T225" s="3"/>
      <c r="U225" s="3" t="s">
        <v>43</v>
      </c>
      <c r="V225" s="3"/>
      <c r="W225" s="3" t="s">
        <v>43</v>
      </c>
      <c r="X225" s="3"/>
      <c r="Y225" s="3" t="s">
        <v>43</v>
      </c>
      <c r="Z225" s="3"/>
      <c r="AA225" s="3" t="s">
        <v>43</v>
      </c>
      <c r="AB225" s="3"/>
      <c r="AC225" s="3"/>
      <c r="AD225" s="3"/>
      <c r="AE225" s="3"/>
      <c r="AF225" s="3"/>
      <c r="AG225" s="3"/>
      <c r="AH225" s="3"/>
    </row>
    <row r="226" spans="1:34">
      <c r="A226" t="s">
        <v>908</v>
      </c>
      <c r="B226" t="s">
        <v>909</v>
      </c>
      <c r="C226" s="3" t="s">
        <v>43</v>
      </c>
      <c r="D226" s="3" t="s">
        <v>886</v>
      </c>
      <c r="E226" s="3">
        <v>174.4</v>
      </c>
      <c r="F226" s="3"/>
      <c r="G226" s="3">
        <v>180.7</v>
      </c>
      <c r="H226" s="3"/>
      <c r="I226" s="3">
        <v>175.2</v>
      </c>
      <c r="J226" s="3"/>
      <c r="K226" s="3">
        <v>184.4</v>
      </c>
      <c r="L226" s="3"/>
      <c r="M226" s="3">
        <v>192.5</v>
      </c>
      <c r="N226" s="3"/>
      <c r="O226" s="3">
        <v>187.6</v>
      </c>
      <c r="P226" s="3" t="s">
        <v>334</v>
      </c>
      <c r="Q226" s="3">
        <v>181</v>
      </c>
      <c r="R226" s="3" t="s">
        <v>334</v>
      </c>
      <c r="S226" s="3" t="s">
        <v>43</v>
      </c>
      <c r="T226" s="3"/>
      <c r="U226" s="3" t="s">
        <v>43</v>
      </c>
      <c r="V226" s="3"/>
      <c r="W226" s="3" t="s">
        <v>43</v>
      </c>
      <c r="X226" s="3"/>
      <c r="Y226" s="3" t="s">
        <v>43</v>
      </c>
      <c r="Z226" s="3"/>
      <c r="AA226" s="3" t="s">
        <v>43</v>
      </c>
      <c r="AB226" s="3"/>
      <c r="AC226" s="3"/>
      <c r="AD226" s="3"/>
      <c r="AE226" s="3"/>
      <c r="AF226" s="3"/>
      <c r="AG226" s="3"/>
      <c r="AH226" s="3"/>
    </row>
    <row r="227" spans="1:34">
      <c r="A227" t="s">
        <v>910</v>
      </c>
      <c r="B227" t="s">
        <v>911</v>
      </c>
      <c r="C227" s="3" t="s">
        <v>43</v>
      </c>
      <c r="D227" s="3" t="s">
        <v>886</v>
      </c>
      <c r="E227" s="3">
        <v>172.6</v>
      </c>
      <c r="F227" s="3"/>
      <c r="G227" s="3">
        <v>175.7</v>
      </c>
      <c r="H227" s="3"/>
      <c r="I227" s="3">
        <v>242.1</v>
      </c>
      <c r="J227" s="3"/>
      <c r="K227" s="3">
        <v>254.4</v>
      </c>
      <c r="L227" s="3"/>
      <c r="M227" s="3">
        <v>256.60000000000002</v>
      </c>
      <c r="N227" s="3"/>
      <c r="O227" s="3">
        <v>270.89999999999998</v>
      </c>
      <c r="P227" s="3" t="s">
        <v>334</v>
      </c>
      <c r="Q227" s="3">
        <v>293</v>
      </c>
      <c r="R227" s="3" t="s">
        <v>334</v>
      </c>
      <c r="S227" s="3" t="s">
        <v>43</v>
      </c>
      <c r="T227" s="3"/>
      <c r="U227" s="3" t="s">
        <v>43</v>
      </c>
      <c r="V227" s="3"/>
      <c r="W227" s="3" t="s">
        <v>43</v>
      </c>
      <c r="X227" s="3"/>
      <c r="Y227" s="3" t="s">
        <v>43</v>
      </c>
      <c r="Z227" s="3"/>
      <c r="AA227" s="3" t="s">
        <v>43</v>
      </c>
      <c r="AB227" s="3"/>
      <c r="AC227" s="3"/>
      <c r="AD227" s="3"/>
      <c r="AE227" s="3"/>
      <c r="AF227" s="3"/>
      <c r="AG227" s="3"/>
      <c r="AH227" s="3"/>
    </row>
    <row r="228" spans="1:34">
      <c r="A228" t="s">
        <v>912</v>
      </c>
      <c r="B228" t="s">
        <v>913</v>
      </c>
      <c r="C228" s="3" t="s">
        <v>43</v>
      </c>
      <c r="D228" s="3" t="s">
        <v>886</v>
      </c>
      <c r="E228" s="3">
        <v>71</v>
      </c>
      <c r="F228" s="3"/>
      <c r="G228" s="3">
        <v>68.5</v>
      </c>
      <c r="H228" s="3"/>
      <c r="I228" s="3">
        <v>68</v>
      </c>
      <c r="J228" s="3"/>
      <c r="K228" s="3">
        <v>121.2</v>
      </c>
      <c r="L228" s="3"/>
      <c r="M228" s="3">
        <v>125</v>
      </c>
      <c r="N228" s="3"/>
      <c r="O228" s="3">
        <v>118.6</v>
      </c>
      <c r="P228" s="3" t="s">
        <v>334</v>
      </c>
      <c r="Q228" s="3" t="s">
        <v>43</v>
      </c>
      <c r="R228" s="3" t="s">
        <v>403</v>
      </c>
      <c r="S228" s="3" t="s">
        <v>43</v>
      </c>
      <c r="T228" s="3"/>
      <c r="U228" s="3" t="s">
        <v>43</v>
      </c>
      <c r="V228" s="3"/>
      <c r="W228" s="3" t="s">
        <v>43</v>
      </c>
      <c r="X228" s="3"/>
      <c r="Y228" s="3" t="s">
        <v>43</v>
      </c>
      <c r="Z228" s="3"/>
      <c r="AA228" s="3" t="s">
        <v>43</v>
      </c>
      <c r="AB228" s="3"/>
      <c r="AC228" s="3"/>
      <c r="AD228" s="3"/>
      <c r="AE228" s="3"/>
      <c r="AF228" s="3"/>
      <c r="AG228" s="3"/>
      <c r="AH228" s="3"/>
    </row>
    <row r="229" spans="1:34">
      <c r="A229" t="s">
        <v>914</v>
      </c>
      <c r="B229" t="s">
        <v>915</v>
      </c>
      <c r="C229" s="3" t="s">
        <v>43</v>
      </c>
      <c r="D229" s="3" t="s">
        <v>886</v>
      </c>
      <c r="E229" s="3">
        <v>373.8</v>
      </c>
      <c r="F229" s="3"/>
      <c r="G229" s="3">
        <v>340.1</v>
      </c>
      <c r="H229" s="3"/>
      <c r="I229" s="3">
        <v>378.1</v>
      </c>
      <c r="J229" s="3"/>
      <c r="K229" s="3">
        <v>476.3</v>
      </c>
      <c r="L229" s="3"/>
      <c r="M229" s="3">
        <v>432.5</v>
      </c>
      <c r="N229" s="3"/>
      <c r="O229" s="3">
        <v>443.1</v>
      </c>
      <c r="P229" s="3" t="s">
        <v>334</v>
      </c>
      <c r="Q229" s="3">
        <v>444.3</v>
      </c>
      <c r="R229" s="3" t="s">
        <v>334</v>
      </c>
      <c r="S229" s="3" t="s">
        <v>43</v>
      </c>
      <c r="T229" s="3"/>
      <c r="U229" s="3" t="s">
        <v>43</v>
      </c>
      <c r="V229" s="3"/>
      <c r="W229" s="3" t="s">
        <v>43</v>
      </c>
      <c r="X229" s="3"/>
      <c r="Y229" s="3" t="s">
        <v>43</v>
      </c>
      <c r="Z229" s="3"/>
      <c r="AA229" s="3" t="s">
        <v>43</v>
      </c>
      <c r="AB229" s="3"/>
      <c r="AC229" s="3"/>
      <c r="AD229" s="3"/>
      <c r="AE229" s="3"/>
      <c r="AF229" s="3"/>
      <c r="AG229" s="3"/>
      <c r="AH229" s="3"/>
    </row>
    <row r="230" spans="1:34">
      <c r="A230" t="s">
        <v>916</v>
      </c>
      <c r="B230" t="s">
        <v>917</v>
      </c>
      <c r="C230" s="3" t="s">
        <v>43</v>
      </c>
      <c r="D230" s="3" t="s">
        <v>886</v>
      </c>
      <c r="E230" s="3">
        <v>225</v>
      </c>
      <c r="F230" s="3"/>
      <c r="G230" s="3">
        <v>216.6</v>
      </c>
      <c r="H230" s="3"/>
      <c r="I230" s="3">
        <v>234.6</v>
      </c>
      <c r="J230" s="3"/>
      <c r="K230" s="3">
        <v>330.5</v>
      </c>
      <c r="L230" s="3"/>
      <c r="M230" s="3">
        <v>296.5</v>
      </c>
      <c r="N230" s="3"/>
      <c r="O230" s="3">
        <v>297.89999999999998</v>
      </c>
      <c r="P230" s="3" t="s">
        <v>334</v>
      </c>
      <c r="Q230" s="3">
        <v>301.5</v>
      </c>
      <c r="R230" s="3" t="s">
        <v>334</v>
      </c>
      <c r="S230" s="3" t="s">
        <v>43</v>
      </c>
      <c r="T230" s="3"/>
      <c r="U230" s="3" t="s">
        <v>43</v>
      </c>
      <c r="V230" s="3"/>
      <c r="W230" s="3" t="s">
        <v>43</v>
      </c>
      <c r="X230" s="3"/>
      <c r="Y230" s="3" t="s">
        <v>43</v>
      </c>
      <c r="Z230" s="3"/>
      <c r="AA230" s="3" t="s">
        <v>43</v>
      </c>
      <c r="AB230" s="3"/>
      <c r="AC230" s="3"/>
      <c r="AD230" s="3"/>
      <c r="AE230" s="3"/>
      <c r="AF230" s="3"/>
      <c r="AG230" s="3"/>
      <c r="AH230" s="3"/>
    </row>
    <row r="231" spans="1:34">
      <c r="A231" t="s">
        <v>918</v>
      </c>
      <c r="B231" t="s">
        <v>919</v>
      </c>
      <c r="C231" s="3" t="s">
        <v>43</v>
      </c>
      <c r="D231" s="3" t="s">
        <v>886</v>
      </c>
      <c r="E231" s="3">
        <v>52.9</v>
      </c>
      <c r="F231" s="3"/>
      <c r="G231" s="3">
        <v>50.8</v>
      </c>
      <c r="H231" s="3"/>
      <c r="I231" s="3">
        <v>51.7</v>
      </c>
      <c r="J231" s="3"/>
      <c r="K231" s="3">
        <v>63.8</v>
      </c>
      <c r="L231" s="3"/>
      <c r="M231" s="3">
        <v>50.9</v>
      </c>
      <c r="N231" s="3"/>
      <c r="O231" s="3">
        <v>63.1</v>
      </c>
      <c r="P231" s="3" t="s">
        <v>334</v>
      </c>
      <c r="Q231" s="3" t="s">
        <v>43</v>
      </c>
      <c r="R231" s="3" t="s">
        <v>403</v>
      </c>
      <c r="S231" s="3" t="s">
        <v>43</v>
      </c>
      <c r="T231" s="3"/>
      <c r="U231" s="3" t="s">
        <v>43</v>
      </c>
      <c r="V231" s="3"/>
      <c r="W231" s="3" t="s">
        <v>43</v>
      </c>
      <c r="X231" s="3"/>
      <c r="Y231" s="3" t="s">
        <v>43</v>
      </c>
      <c r="Z231" s="3"/>
      <c r="AA231" s="3" t="s">
        <v>43</v>
      </c>
      <c r="AB231" s="3"/>
      <c r="AC231" s="3"/>
      <c r="AD231" s="3"/>
      <c r="AE231" s="3"/>
      <c r="AF231" s="3"/>
      <c r="AG231" s="3"/>
      <c r="AH231" s="3"/>
    </row>
    <row r="232" spans="1:34">
      <c r="A232" t="s">
        <v>920</v>
      </c>
      <c r="B232" t="s">
        <v>921</v>
      </c>
      <c r="C232" s="3" t="s">
        <v>43</v>
      </c>
      <c r="D232" s="3" t="s">
        <v>886</v>
      </c>
      <c r="E232" s="3">
        <v>95.9</v>
      </c>
      <c r="F232" s="3"/>
      <c r="G232" s="3">
        <v>72.7</v>
      </c>
      <c r="H232" s="3"/>
      <c r="I232" s="3">
        <v>91.9</v>
      </c>
      <c r="J232" s="3"/>
      <c r="K232" s="3">
        <v>82</v>
      </c>
      <c r="L232" s="3"/>
      <c r="M232" s="3">
        <v>85.1</v>
      </c>
      <c r="N232" s="3"/>
      <c r="O232" s="3">
        <v>82</v>
      </c>
      <c r="P232" s="3" t="s">
        <v>334</v>
      </c>
      <c r="Q232" s="3" t="s">
        <v>43</v>
      </c>
      <c r="R232" s="3" t="s">
        <v>403</v>
      </c>
      <c r="S232" s="3" t="s">
        <v>43</v>
      </c>
      <c r="T232" s="3"/>
      <c r="U232" s="3" t="s">
        <v>43</v>
      </c>
      <c r="V232" s="3"/>
      <c r="W232" s="3" t="s">
        <v>43</v>
      </c>
      <c r="X232" s="3"/>
      <c r="Y232" s="3" t="s">
        <v>43</v>
      </c>
      <c r="Z232" s="3"/>
      <c r="AA232" s="3" t="s">
        <v>43</v>
      </c>
      <c r="AB232" s="3"/>
      <c r="AC232" s="3"/>
      <c r="AD232" s="3"/>
      <c r="AE232" s="3"/>
      <c r="AF232" s="3"/>
      <c r="AG232" s="3"/>
      <c r="AH232" s="3"/>
    </row>
    <row r="233" spans="1:34">
      <c r="A233" t="s">
        <v>922</v>
      </c>
      <c r="B233" t="s">
        <v>923</v>
      </c>
      <c r="C233" s="3" t="s">
        <v>43</v>
      </c>
      <c r="D233" s="3" t="s">
        <v>886</v>
      </c>
      <c r="E233" s="3">
        <v>131.30000000000001</v>
      </c>
      <c r="F233" s="3"/>
      <c r="G233" s="3">
        <v>129.19999999999999</v>
      </c>
      <c r="H233" s="3"/>
      <c r="I233" s="3">
        <v>154.1</v>
      </c>
      <c r="J233" s="3"/>
      <c r="K233" s="3" t="s">
        <v>43</v>
      </c>
      <c r="L233" s="3" t="s">
        <v>44</v>
      </c>
      <c r="M233" s="3">
        <v>135.30000000000001</v>
      </c>
      <c r="N233" s="3"/>
      <c r="O233" s="3" t="s">
        <v>43</v>
      </c>
      <c r="P233" s="3" t="s">
        <v>403</v>
      </c>
      <c r="Q233" s="3">
        <v>131.6</v>
      </c>
      <c r="R233" s="3" t="s">
        <v>334</v>
      </c>
      <c r="S233" s="3" t="s">
        <v>43</v>
      </c>
      <c r="T233" s="3"/>
      <c r="U233" s="3" t="s">
        <v>43</v>
      </c>
      <c r="V233" s="3"/>
      <c r="W233" s="3" t="s">
        <v>43</v>
      </c>
      <c r="X233" s="3"/>
      <c r="Y233" s="3" t="s">
        <v>43</v>
      </c>
      <c r="Z233" s="3"/>
      <c r="AA233" s="3" t="s">
        <v>43</v>
      </c>
      <c r="AB233" s="3"/>
      <c r="AC233" s="3"/>
      <c r="AD233" s="3"/>
      <c r="AE233" s="3"/>
      <c r="AF233" s="3"/>
      <c r="AG233" s="3"/>
      <c r="AH233" s="3"/>
    </row>
    <row r="234" spans="1:34">
      <c r="A234" t="s">
        <v>924</v>
      </c>
      <c r="B234" t="s">
        <v>925</v>
      </c>
      <c r="C234" s="3" t="s">
        <v>43</v>
      </c>
      <c r="D234" s="3" t="s">
        <v>886</v>
      </c>
      <c r="E234" s="3">
        <v>93.2</v>
      </c>
      <c r="F234" s="3"/>
      <c r="G234" s="3">
        <v>84.5</v>
      </c>
      <c r="H234" s="3"/>
      <c r="I234" s="3">
        <v>81.599999999999994</v>
      </c>
      <c r="J234" s="3"/>
      <c r="K234" s="3">
        <v>78.7</v>
      </c>
      <c r="L234" s="3"/>
      <c r="M234" s="3">
        <v>79.400000000000006</v>
      </c>
      <c r="N234" s="3"/>
      <c r="O234" s="3" t="s">
        <v>43</v>
      </c>
      <c r="P234" s="3" t="s">
        <v>403</v>
      </c>
      <c r="Q234" s="3">
        <v>73.2</v>
      </c>
      <c r="R234" s="3" t="s">
        <v>334</v>
      </c>
      <c r="S234" s="3" t="s">
        <v>43</v>
      </c>
      <c r="T234" s="3"/>
      <c r="U234" s="3" t="s">
        <v>43</v>
      </c>
      <c r="V234" s="3"/>
      <c r="W234" s="3" t="s">
        <v>43</v>
      </c>
      <c r="X234" s="3"/>
      <c r="Y234" s="3" t="s">
        <v>43</v>
      </c>
      <c r="Z234" s="3"/>
      <c r="AA234" s="3" t="s">
        <v>43</v>
      </c>
      <c r="AB234" s="3"/>
      <c r="AC234" s="3"/>
      <c r="AD234" s="3"/>
      <c r="AE234" s="3"/>
      <c r="AF234" s="3"/>
      <c r="AG234" s="3"/>
      <c r="AH234" s="3"/>
    </row>
    <row r="235" spans="1:34">
      <c r="A235" t="s">
        <v>926</v>
      </c>
      <c r="B235" t="s">
        <v>927</v>
      </c>
      <c r="C235" s="3" t="s">
        <v>43</v>
      </c>
      <c r="D235" s="3" t="s">
        <v>886</v>
      </c>
      <c r="E235" s="3">
        <v>14</v>
      </c>
      <c r="F235" s="3"/>
      <c r="G235" s="3">
        <v>20.7</v>
      </c>
      <c r="H235" s="3"/>
      <c r="I235" s="3">
        <v>44.3</v>
      </c>
      <c r="J235" s="3"/>
      <c r="K235" s="3" t="s">
        <v>43</v>
      </c>
      <c r="L235" s="3" t="s">
        <v>44</v>
      </c>
      <c r="M235" s="3">
        <v>19.3</v>
      </c>
      <c r="N235" s="3"/>
      <c r="O235" s="3">
        <v>20.100000000000001</v>
      </c>
      <c r="P235" s="3" t="s">
        <v>334</v>
      </c>
      <c r="Q235" s="3">
        <v>24.8</v>
      </c>
      <c r="R235" s="3" t="s">
        <v>334</v>
      </c>
      <c r="S235" s="3" t="s">
        <v>43</v>
      </c>
      <c r="T235" s="3"/>
      <c r="U235" s="3" t="s">
        <v>43</v>
      </c>
      <c r="V235" s="3"/>
      <c r="W235" s="3" t="s">
        <v>43</v>
      </c>
      <c r="X235" s="3"/>
      <c r="Y235" s="3" t="s">
        <v>43</v>
      </c>
      <c r="Z235" s="3"/>
      <c r="AA235" s="3" t="s">
        <v>43</v>
      </c>
      <c r="AB235" s="3"/>
      <c r="AC235" s="3"/>
      <c r="AD235" s="3"/>
      <c r="AE235" s="3"/>
      <c r="AF235" s="3"/>
      <c r="AG235" s="3"/>
      <c r="AH235" s="3"/>
    </row>
    <row r="236" spans="1:34">
      <c r="A236" t="s">
        <v>928</v>
      </c>
      <c r="B236" t="s">
        <v>929</v>
      </c>
      <c r="C236" s="3" t="s">
        <v>43</v>
      </c>
      <c r="D236" s="3" t="s">
        <v>886</v>
      </c>
      <c r="E236" s="3">
        <v>24.1</v>
      </c>
      <c r="F236" s="3"/>
      <c r="G236" s="3">
        <v>24</v>
      </c>
      <c r="H236" s="3"/>
      <c r="I236" s="3">
        <v>28.2</v>
      </c>
      <c r="J236" s="3"/>
      <c r="K236" s="3">
        <v>31.1</v>
      </c>
      <c r="L236" s="3"/>
      <c r="M236" s="3">
        <v>36.700000000000003</v>
      </c>
      <c r="N236" s="3"/>
      <c r="O236" s="3">
        <v>33.4</v>
      </c>
      <c r="P236" s="3" t="s">
        <v>334</v>
      </c>
      <c r="Q236" s="3">
        <v>33.700000000000003</v>
      </c>
      <c r="R236" s="3" t="s">
        <v>334</v>
      </c>
      <c r="S236" s="3" t="s">
        <v>43</v>
      </c>
      <c r="T236" s="3"/>
      <c r="U236" s="3" t="s">
        <v>43</v>
      </c>
      <c r="V236" s="3"/>
      <c r="W236" s="3" t="s">
        <v>43</v>
      </c>
      <c r="X236" s="3"/>
      <c r="Y236" s="3" t="s">
        <v>43</v>
      </c>
      <c r="Z236" s="3"/>
      <c r="AA236" s="3" t="s">
        <v>43</v>
      </c>
      <c r="AB236" s="3"/>
      <c r="AC236" s="3"/>
      <c r="AD236" s="3"/>
      <c r="AE236" s="3"/>
      <c r="AF236" s="3"/>
      <c r="AG236" s="3"/>
      <c r="AH236" s="3"/>
    </row>
    <row r="237" spans="1:34">
      <c r="A237" t="s">
        <v>930</v>
      </c>
      <c r="B237" t="s">
        <v>931</v>
      </c>
      <c r="C237" s="3" t="s">
        <v>43</v>
      </c>
      <c r="D237" s="3" t="s">
        <v>886</v>
      </c>
      <c r="E237" s="3">
        <v>636.20000000000005</v>
      </c>
      <c r="F237" s="3"/>
      <c r="G237" s="3">
        <v>625.29999999999995</v>
      </c>
      <c r="H237" s="3"/>
      <c r="I237" s="3">
        <v>638.79999999999995</v>
      </c>
      <c r="J237" s="3"/>
      <c r="K237" s="3">
        <v>902.9</v>
      </c>
      <c r="L237" s="3"/>
      <c r="M237" s="3">
        <v>907.9</v>
      </c>
      <c r="N237" s="3"/>
      <c r="O237" s="3">
        <v>984.9</v>
      </c>
      <c r="P237" s="3" t="s">
        <v>334</v>
      </c>
      <c r="Q237" s="3">
        <v>995.4</v>
      </c>
      <c r="R237" s="3" t="s">
        <v>334</v>
      </c>
      <c r="S237" s="3" t="s">
        <v>43</v>
      </c>
      <c r="T237" s="3"/>
      <c r="U237" s="3" t="s">
        <v>43</v>
      </c>
      <c r="V237" s="3"/>
      <c r="W237" s="3" t="s">
        <v>43</v>
      </c>
      <c r="X237" s="3"/>
      <c r="Y237" s="3" t="s">
        <v>43</v>
      </c>
      <c r="Z237" s="3"/>
      <c r="AA237" s="3" t="s">
        <v>43</v>
      </c>
      <c r="AB237" s="3"/>
      <c r="AC237" s="3"/>
      <c r="AD237" s="3"/>
      <c r="AE237" s="3"/>
      <c r="AF237" s="3"/>
      <c r="AG237" s="3"/>
      <c r="AH237" s="3"/>
    </row>
    <row r="238" spans="1:34">
      <c r="A238" t="s">
        <v>932</v>
      </c>
      <c r="B238" t="s">
        <v>933</v>
      </c>
      <c r="C238" s="3" t="s">
        <v>43</v>
      </c>
      <c r="D238" s="3" t="s">
        <v>886</v>
      </c>
      <c r="E238" s="3">
        <v>618.1</v>
      </c>
      <c r="F238" s="3"/>
      <c r="G238" s="3">
        <v>611</v>
      </c>
      <c r="H238" s="3"/>
      <c r="I238" s="3">
        <v>624.70000000000005</v>
      </c>
      <c r="J238" s="3"/>
      <c r="K238" s="3">
        <v>884.2</v>
      </c>
      <c r="L238" s="3"/>
      <c r="M238" s="3">
        <v>890.7</v>
      </c>
      <c r="N238" s="3"/>
      <c r="O238" s="3">
        <v>963.9</v>
      </c>
      <c r="P238" s="3" t="s">
        <v>334</v>
      </c>
      <c r="Q238" s="3">
        <v>973.5</v>
      </c>
      <c r="R238" s="3" t="s">
        <v>334</v>
      </c>
      <c r="S238" s="3" t="s">
        <v>43</v>
      </c>
      <c r="T238" s="3"/>
      <c r="U238" s="3" t="s">
        <v>43</v>
      </c>
      <c r="V238" s="3"/>
      <c r="W238" s="3" t="s">
        <v>43</v>
      </c>
      <c r="X238" s="3"/>
      <c r="Y238" s="3" t="s">
        <v>43</v>
      </c>
      <c r="Z238" s="3"/>
      <c r="AA238" s="3" t="s">
        <v>43</v>
      </c>
      <c r="AB238" s="3"/>
      <c r="AC238" s="3"/>
      <c r="AD238" s="3"/>
      <c r="AE238" s="3"/>
      <c r="AF238" s="3"/>
      <c r="AG238" s="3"/>
      <c r="AH238" s="3"/>
    </row>
    <row r="239" spans="1:34">
      <c r="A239" t="s">
        <v>934</v>
      </c>
      <c r="B239" t="s">
        <v>935</v>
      </c>
      <c r="C239" s="3" t="s">
        <v>43</v>
      </c>
      <c r="D239" s="3" t="s">
        <v>886</v>
      </c>
      <c r="E239" s="3">
        <v>18.100000000000001</v>
      </c>
      <c r="F239" s="3"/>
      <c r="G239" s="3">
        <v>14.3</v>
      </c>
      <c r="H239" s="3"/>
      <c r="I239" s="3">
        <v>14.1</v>
      </c>
      <c r="J239" s="3"/>
      <c r="K239" s="3">
        <v>18.8</v>
      </c>
      <c r="L239" s="3"/>
      <c r="M239" s="3">
        <v>17.2</v>
      </c>
      <c r="N239" s="3"/>
      <c r="O239" s="3">
        <v>21</v>
      </c>
      <c r="P239" s="3" t="s">
        <v>334</v>
      </c>
      <c r="Q239" s="3">
        <v>21.9</v>
      </c>
      <c r="R239" s="3" t="s">
        <v>334</v>
      </c>
      <c r="S239" s="3" t="s">
        <v>43</v>
      </c>
      <c r="T239" s="3"/>
      <c r="U239" s="3" t="s">
        <v>43</v>
      </c>
      <c r="V239" s="3"/>
      <c r="W239" s="3" t="s">
        <v>43</v>
      </c>
      <c r="X239" s="3"/>
      <c r="Y239" s="3" t="s">
        <v>43</v>
      </c>
      <c r="Z239" s="3"/>
      <c r="AA239" s="3" t="s">
        <v>43</v>
      </c>
      <c r="AB239" s="3"/>
      <c r="AC239" s="3"/>
      <c r="AD239" s="3"/>
      <c r="AE239" s="3"/>
      <c r="AF239" s="3"/>
      <c r="AG239" s="3"/>
      <c r="AH239" s="3"/>
    </row>
    <row r="240" spans="1:34">
      <c r="A240" t="s">
        <v>936</v>
      </c>
      <c r="B240" t="s">
        <v>937</v>
      </c>
      <c r="C240" s="3" t="s">
        <v>43</v>
      </c>
      <c r="D240" s="3" t="s">
        <v>886</v>
      </c>
      <c r="E240" s="3">
        <v>30.5</v>
      </c>
      <c r="F240" s="3"/>
      <c r="G240" s="3" t="s">
        <v>43</v>
      </c>
      <c r="H240" s="3" t="s">
        <v>44</v>
      </c>
      <c r="I240" s="3" t="s">
        <v>43</v>
      </c>
      <c r="J240" s="3" t="s">
        <v>44</v>
      </c>
      <c r="K240" s="3">
        <v>38.200000000000003</v>
      </c>
      <c r="L240" s="3"/>
      <c r="M240" s="3" t="s">
        <v>43</v>
      </c>
      <c r="N240" s="3" t="s">
        <v>44</v>
      </c>
      <c r="O240" s="3">
        <v>35.9</v>
      </c>
      <c r="P240" s="3" t="s">
        <v>334</v>
      </c>
      <c r="Q240" s="3">
        <v>33.200000000000003</v>
      </c>
      <c r="R240" s="3" t="s">
        <v>334</v>
      </c>
      <c r="S240" s="3" t="s">
        <v>43</v>
      </c>
      <c r="T240" s="3"/>
      <c r="U240" s="3" t="s">
        <v>43</v>
      </c>
      <c r="V240" s="3"/>
      <c r="W240" s="3" t="s">
        <v>43</v>
      </c>
      <c r="X240" s="3"/>
      <c r="Y240" s="3" t="s">
        <v>43</v>
      </c>
      <c r="Z240" s="3"/>
      <c r="AA240" s="3" t="s">
        <v>43</v>
      </c>
      <c r="AB240" s="3"/>
      <c r="AC240" s="3"/>
      <c r="AD240" s="3"/>
      <c r="AE240" s="3"/>
      <c r="AF240" s="3"/>
      <c r="AG240" s="3"/>
      <c r="AH240" s="3"/>
    </row>
    <row r="241" spans="1:34">
      <c r="A241" t="s">
        <v>938</v>
      </c>
      <c r="B241" t="s">
        <v>939</v>
      </c>
      <c r="C241" s="3" t="s">
        <v>43</v>
      </c>
      <c r="D241" s="3" t="s">
        <v>886</v>
      </c>
      <c r="E241" s="3" t="s">
        <v>43</v>
      </c>
      <c r="F241" s="3" t="s">
        <v>44</v>
      </c>
      <c r="G241" s="3">
        <v>14.2</v>
      </c>
      <c r="H241" s="3"/>
      <c r="I241" s="3">
        <v>13</v>
      </c>
      <c r="J241" s="3"/>
      <c r="K241" s="3">
        <v>18</v>
      </c>
      <c r="L241" s="3"/>
      <c r="M241" s="3" t="s">
        <v>43</v>
      </c>
      <c r="N241" s="3" t="s">
        <v>44</v>
      </c>
      <c r="O241" s="3" t="s">
        <v>43</v>
      </c>
      <c r="P241" s="3" t="s">
        <v>403</v>
      </c>
      <c r="Q241" s="3">
        <v>10.7</v>
      </c>
      <c r="R241" s="3" t="s">
        <v>334</v>
      </c>
      <c r="S241" s="3" t="s">
        <v>43</v>
      </c>
      <c r="T241" s="3"/>
      <c r="U241" s="3" t="s">
        <v>43</v>
      </c>
      <c r="V241" s="3"/>
      <c r="W241" s="3" t="s">
        <v>43</v>
      </c>
      <c r="X241" s="3"/>
      <c r="Y241" s="3" t="s">
        <v>43</v>
      </c>
      <c r="Z241" s="3"/>
      <c r="AA241" s="3" t="s">
        <v>43</v>
      </c>
      <c r="AB241" s="3"/>
      <c r="AC241" s="3"/>
      <c r="AD241" s="3"/>
      <c r="AE241" s="3"/>
      <c r="AF241" s="3"/>
      <c r="AG241" s="3"/>
      <c r="AH241" s="3"/>
    </row>
    <row r="242" spans="1:34">
      <c r="A242" t="s">
        <v>940</v>
      </c>
      <c r="B242" t="s">
        <v>941</v>
      </c>
      <c r="C242" s="3" t="s">
        <v>43</v>
      </c>
      <c r="D242" s="3" t="s">
        <v>886</v>
      </c>
      <c r="E242" s="3">
        <v>18.600000000000001</v>
      </c>
      <c r="F242" s="3"/>
      <c r="G242" s="3">
        <v>18.899999999999999</v>
      </c>
      <c r="H242" s="3"/>
      <c r="I242" s="3">
        <v>25.3</v>
      </c>
      <c r="J242" s="3"/>
      <c r="K242" s="3">
        <v>19.5</v>
      </c>
      <c r="L242" s="3"/>
      <c r="M242" s="3">
        <v>28.1</v>
      </c>
      <c r="N242" s="3"/>
      <c r="O242" s="3">
        <v>22.3</v>
      </c>
      <c r="P242" s="3" t="s">
        <v>334</v>
      </c>
      <c r="Q242" s="3" t="s">
        <v>43</v>
      </c>
      <c r="R242" s="3" t="s">
        <v>403</v>
      </c>
      <c r="S242" s="3" t="s">
        <v>43</v>
      </c>
      <c r="T242" s="3"/>
      <c r="U242" s="3" t="s">
        <v>43</v>
      </c>
      <c r="V242" s="3"/>
      <c r="W242" s="3" t="s">
        <v>43</v>
      </c>
      <c r="X242" s="3"/>
      <c r="Y242" s="3" t="s">
        <v>43</v>
      </c>
      <c r="Z242" s="3"/>
      <c r="AA242" s="3" t="s">
        <v>43</v>
      </c>
      <c r="AB242" s="3"/>
      <c r="AC242" s="3"/>
      <c r="AD242" s="3"/>
      <c r="AE242" s="3"/>
      <c r="AF242" s="3"/>
      <c r="AG242" s="3"/>
      <c r="AH242" s="3"/>
    </row>
    <row r="243" spans="1:34">
      <c r="A243" t="s">
        <v>942</v>
      </c>
      <c r="B243" t="s">
        <v>943</v>
      </c>
      <c r="C243" s="3" t="s">
        <v>43</v>
      </c>
      <c r="D243" s="3" t="s">
        <v>886</v>
      </c>
      <c r="E243" s="3" t="s">
        <v>43</v>
      </c>
      <c r="F243" s="3" t="s">
        <v>44</v>
      </c>
      <c r="G243" s="3" t="s">
        <v>43</v>
      </c>
      <c r="H243" s="3" t="s">
        <v>44</v>
      </c>
      <c r="I243" s="3" t="s">
        <v>43</v>
      </c>
      <c r="J243" s="3" t="s">
        <v>44</v>
      </c>
      <c r="K243" s="3">
        <v>0.7</v>
      </c>
      <c r="L243" s="3"/>
      <c r="M243" s="3" t="s">
        <v>43</v>
      </c>
      <c r="N243" s="3" t="s">
        <v>44</v>
      </c>
      <c r="O243" s="3" t="s">
        <v>43</v>
      </c>
      <c r="P243" s="3" t="s">
        <v>403</v>
      </c>
      <c r="Q243" s="3" t="s">
        <v>43</v>
      </c>
      <c r="R243" s="3" t="s">
        <v>403</v>
      </c>
      <c r="S243" s="3" t="s">
        <v>43</v>
      </c>
      <c r="T243" s="3"/>
      <c r="U243" s="3" t="s">
        <v>43</v>
      </c>
      <c r="V243" s="3"/>
      <c r="W243" s="3" t="s">
        <v>43</v>
      </c>
      <c r="X243" s="3"/>
      <c r="Y243" s="3" t="s">
        <v>43</v>
      </c>
      <c r="Z243" s="3"/>
      <c r="AA243" s="3" t="s">
        <v>43</v>
      </c>
      <c r="AB243" s="3"/>
      <c r="AC243" s="3"/>
      <c r="AD243" s="3"/>
      <c r="AE243" s="3"/>
      <c r="AF243" s="3"/>
      <c r="AG243" s="3"/>
      <c r="AH243" s="3"/>
    </row>
    <row r="244" spans="1:34">
      <c r="A244" t="s">
        <v>944</v>
      </c>
      <c r="B244" t="s">
        <v>945</v>
      </c>
      <c r="C244" s="3" t="s">
        <v>43</v>
      </c>
      <c r="D244" s="3"/>
      <c r="E244" s="3" t="s">
        <v>43</v>
      </c>
      <c r="F244" s="3"/>
      <c r="G244" s="3" t="s">
        <v>43</v>
      </c>
      <c r="H244" s="3"/>
      <c r="I244" s="3" t="s">
        <v>43</v>
      </c>
      <c r="J244" s="3"/>
      <c r="K244" s="3" t="s">
        <v>43</v>
      </c>
      <c r="L244" s="3"/>
      <c r="M244" s="3">
        <v>3.4</v>
      </c>
      <c r="N244" s="3"/>
      <c r="O244" s="3">
        <v>3.1</v>
      </c>
      <c r="P244" s="3" t="s">
        <v>334</v>
      </c>
      <c r="Q244" s="3" t="s">
        <v>43</v>
      </c>
      <c r="R244" s="3" t="s">
        <v>403</v>
      </c>
      <c r="S244" s="3" t="s">
        <v>43</v>
      </c>
      <c r="T244" s="3"/>
      <c r="U244" s="3" t="s">
        <v>43</v>
      </c>
      <c r="V244" s="3"/>
      <c r="W244" s="3" t="s">
        <v>43</v>
      </c>
      <c r="X244" s="3"/>
      <c r="Y244" s="3" t="s">
        <v>43</v>
      </c>
      <c r="Z244" s="3"/>
      <c r="AA244" s="3" t="s">
        <v>43</v>
      </c>
      <c r="AB244" s="3"/>
      <c r="AC244" s="3"/>
      <c r="AD244" s="3"/>
      <c r="AE244" s="3"/>
      <c r="AF244" s="3"/>
      <c r="AG244" s="3"/>
      <c r="AH244" s="3"/>
    </row>
    <row r="245" spans="1:34">
      <c r="A245" t="s">
        <v>946</v>
      </c>
      <c r="B245" t="s">
        <v>947</v>
      </c>
      <c r="C245" s="3" t="s">
        <v>43</v>
      </c>
      <c r="D245" s="3"/>
      <c r="E245" s="3" t="s">
        <v>43</v>
      </c>
      <c r="F245" s="3"/>
      <c r="G245" s="3" t="s">
        <v>43</v>
      </c>
      <c r="H245" s="3"/>
      <c r="I245" s="3" t="s">
        <v>43</v>
      </c>
      <c r="J245" s="3"/>
      <c r="K245" s="3" t="s">
        <v>43</v>
      </c>
      <c r="L245" s="3"/>
      <c r="M245" s="3">
        <v>0.3</v>
      </c>
      <c r="N245" s="3"/>
      <c r="O245" s="3">
        <v>0.4</v>
      </c>
      <c r="P245" s="3" t="s">
        <v>334</v>
      </c>
      <c r="Q245" s="3">
        <v>0.7</v>
      </c>
      <c r="R245" s="3" t="s">
        <v>334</v>
      </c>
      <c r="S245" s="3" t="s">
        <v>43</v>
      </c>
      <c r="T245" s="3"/>
      <c r="U245" s="3" t="s">
        <v>43</v>
      </c>
      <c r="V245" s="3"/>
      <c r="W245" s="3" t="s">
        <v>43</v>
      </c>
      <c r="X245" s="3"/>
      <c r="Y245" s="3" t="s">
        <v>43</v>
      </c>
      <c r="Z245" s="3"/>
      <c r="AA245" s="3" t="s">
        <v>43</v>
      </c>
      <c r="AB245" s="3"/>
      <c r="AC245" s="3"/>
      <c r="AD245" s="3"/>
      <c r="AE245" s="3"/>
      <c r="AF245" s="3"/>
      <c r="AG245" s="3"/>
      <c r="AH245" s="3"/>
    </row>
    <row r="246" spans="1:34">
      <c r="A246" t="s">
        <v>948</v>
      </c>
      <c r="B246" t="s">
        <v>949</v>
      </c>
      <c r="C246" s="3" t="s">
        <v>43</v>
      </c>
      <c r="D246" s="3"/>
      <c r="E246" s="3" t="s">
        <v>43</v>
      </c>
      <c r="F246" s="3"/>
      <c r="G246" s="3" t="s">
        <v>43</v>
      </c>
      <c r="H246" s="3"/>
      <c r="I246" s="3" t="s">
        <v>43</v>
      </c>
      <c r="J246" s="3"/>
      <c r="K246" s="3" t="s">
        <v>43</v>
      </c>
      <c r="L246" s="3"/>
      <c r="M246" s="3">
        <v>0.2</v>
      </c>
      <c r="N246" s="3"/>
      <c r="O246" s="3" t="s">
        <v>43</v>
      </c>
      <c r="P246" s="3" t="s">
        <v>403</v>
      </c>
      <c r="Q246" s="3" t="s">
        <v>43</v>
      </c>
      <c r="R246" s="3" t="s">
        <v>403</v>
      </c>
      <c r="S246" s="3" t="s">
        <v>43</v>
      </c>
      <c r="T246" s="3"/>
      <c r="U246" s="3" t="s">
        <v>43</v>
      </c>
      <c r="V246" s="3"/>
      <c r="W246" s="3" t="s">
        <v>43</v>
      </c>
      <c r="X246" s="3"/>
      <c r="Y246" s="3" t="s">
        <v>43</v>
      </c>
      <c r="Z246" s="3"/>
      <c r="AA246" s="3" t="s">
        <v>43</v>
      </c>
      <c r="AB246" s="3"/>
      <c r="AC246" s="3"/>
      <c r="AD246" s="3"/>
      <c r="AE246" s="3"/>
      <c r="AF246" s="3"/>
      <c r="AG246" s="3"/>
      <c r="AH246" s="3"/>
    </row>
    <row r="247" spans="1:34">
      <c r="A247" t="s">
        <v>950</v>
      </c>
      <c r="B247" t="s">
        <v>951</v>
      </c>
      <c r="C247" s="3" t="s">
        <v>43</v>
      </c>
      <c r="D247" s="3"/>
      <c r="E247" s="3" t="s">
        <v>43</v>
      </c>
      <c r="F247" s="3"/>
      <c r="G247" s="3" t="s">
        <v>43</v>
      </c>
      <c r="H247" s="3"/>
      <c r="I247" s="3" t="s">
        <v>43</v>
      </c>
      <c r="J247" s="3"/>
      <c r="K247" s="3" t="s">
        <v>43</v>
      </c>
      <c r="L247" s="3"/>
      <c r="M247" s="3">
        <v>0</v>
      </c>
      <c r="N247" s="3"/>
      <c r="O247" s="3" t="s">
        <v>43</v>
      </c>
      <c r="P247" s="3" t="s">
        <v>403</v>
      </c>
      <c r="Q247" s="3" t="s">
        <v>43</v>
      </c>
      <c r="R247" s="3" t="s">
        <v>403</v>
      </c>
      <c r="S247" s="3" t="s">
        <v>43</v>
      </c>
      <c r="T247" s="3"/>
      <c r="U247" s="3" t="s">
        <v>43</v>
      </c>
      <c r="V247" s="3"/>
      <c r="W247" s="3" t="s">
        <v>43</v>
      </c>
      <c r="X247" s="3"/>
      <c r="Y247" s="3" t="s">
        <v>43</v>
      </c>
      <c r="Z247" s="3"/>
      <c r="AA247" s="3" t="s">
        <v>43</v>
      </c>
      <c r="AB247" s="3"/>
      <c r="AC247" s="3"/>
      <c r="AD247" s="3"/>
      <c r="AE247" s="3"/>
      <c r="AF247" s="3"/>
      <c r="AG247" s="3"/>
      <c r="AH247" s="3"/>
    </row>
    <row r="248" spans="1:34">
      <c r="A248" t="s">
        <v>952</v>
      </c>
      <c r="B248" t="s">
        <v>953</v>
      </c>
      <c r="C248" s="3" t="s">
        <v>43</v>
      </c>
      <c r="D248" s="3"/>
      <c r="E248" s="3" t="s">
        <v>43</v>
      </c>
      <c r="F248" s="3"/>
      <c r="G248" s="3" t="s">
        <v>43</v>
      </c>
      <c r="H248" s="3"/>
      <c r="I248" s="3" t="s">
        <v>43</v>
      </c>
      <c r="J248" s="3"/>
      <c r="K248" s="3" t="s">
        <v>43</v>
      </c>
      <c r="L248" s="3"/>
      <c r="M248" s="3">
        <v>2.9</v>
      </c>
      <c r="N248" s="3"/>
      <c r="O248" s="3">
        <v>2.5</v>
      </c>
      <c r="P248" s="3" t="s">
        <v>334</v>
      </c>
      <c r="Q248" s="3" t="s">
        <v>43</v>
      </c>
      <c r="R248" s="3" t="s">
        <v>403</v>
      </c>
      <c r="S248" s="3" t="s">
        <v>43</v>
      </c>
      <c r="T248" s="3"/>
      <c r="U248" s="3" t="s">
        <v>43</v>
      </c>
      <c r="V248" s="3"/>
      <c r="W248" s="3" t="s">
        <v>43</v>
      </c>
      <c r="X248" s="3"/>
      <c r="Y248" s="3" t="s">
        <v>43</v>
      </c>
      <c r="Z248" s="3"/>
      <c r="AA248" s="3" t="s">
        <v>43</v>
      </c>
      <c r="AB248" s="3"/>
      <c r="AC248" s="3"/>
      <c r="AD248" s="3"/>
      <c r="AE248" s="3"/>
      <c r="AF248" s="3"/>
      <c r="AG248" s="3"/>
      <c r="AH248" s="3"/>
    </row>
    <row r="249" spans="1:34">
      <c r="A249" t="s">
        <v>954</v>
      </c>
      <c r="B249" t="s">
        <v>955</v>
      </c>
      <c r="C249" s="3" t="s">
        <v>43</v>
      </c>
      <c r="D249" s="3"/>
      <c r="E249" s="3" t="s">
        <v>43</v>
      </c>
      <c r="F249" s="3"/>
      <c r="G249" s="3" t="s">
        <v>43</v>
      </c>
      <c r="H249" s="3"/>
      <c r="I249" s="3" t="s">
        <v>43</v>
      </c>
      <c r="J249" s="3"/>
      <c r="K249" s="3" t="s">
        <v>43</v>
      </c>
      <c r="L249" s="3"/>
      <c r="M249" s="3" t="s">
        <v>43</v>
      </c>
      <c r="N249" s="3"/>
      <c r="O249" s="3" t="s">
        <v>43</v>
      </c>
      <c r="P249" s="3" t="s">
        <v>334</v>
      </c>
      <c r="Q249" s="3" t="s">
        <v>43</v>
      </c>
      <c r="R249" s="3"/>
      <c r="S249" s="3" t="s">
        <v>43</v>
      </c>
      <c r="T249" s="3"/>
      <c r="U249" s="3" t="s">
        <v>43</v>
      </c>
      <c r="V249" s="3"/>
      <c r="W249" s="3" t="s">
        <v>43</v>
      </c>
      <c r="X249" s="3"/>
      <c r="Y249" s="3" t="s">
        <v>43</v>
      </c>
      <c r="Z249" s="3"/>
      <c r="AA249" s="3" t="s">
        <v>43</v>
      </c>
      <c r="AB249" s="3"/>
      <c r="AC249" s="3"/>
      <c r="AD249" s="3"/>
      <c r="AE249" s="3"/>
      <c r="AF249" s="3"/>
      <c r="AG249" s="3"/>
      <c r="AH249" s="3"/>
    </row>
    <row r="250" spans="1:34">
      <c r="A250" t="s">
        <v>956</v>
      </c>
      <c r="B250" t="s">
        <v>957</v>
      </c>
      <c r="C250" s="3" t="s">
        <v>43</v>
      </c>
      <c r="D250" s="3" t="s">
        <v>44</v>
      </c>
      <c r="E250" s="3" t="s">
        <v>43</v>
      </c>
      <c r="F250" s="3" t="s">
        <v>44</v>
      </c>
      <c r="G250" s="3" t="s">
        <v>43</v>
      </c>
      <c r="H250" s="3" t="s">
        <v>44</v>
      </c>
      <c r="I250" s="3" t="s">
        <v>43</v>
      </c>
      <c r="J250" s="3" t="s">
        <v>44</v>
      </c>
      <c r="K250" s="3" t="s">
        <v>43</v>
      </c>
      <c r="L250" s="3" t="s">
        <v>44</v>
      </c>
      <c r="M250" s="3" t="s">
        <v>43</v>
      </c>
      <c r="N250" s="3"/>
      <c r="O250" s="3" t="s">
        <v>43</v>
      </c>
      <c r="P250" s="3"/>
      <c r="Q250" s="3" t="s">
        <v>43</v>
      </c>
      <c r="R250" s="3"/>
      <c r="S250" s="3" t="s">
        <v>43</v>
      </c>
      <c r="T250" s="3"/>
      <c r="U250" s="3" t="s">
        <v>43</v>
      </c>
      <c r="V250" s="3"/>
      <c r="W250" s="3" t="s">
        <v>43</v>
      </c>
      <c r="X250" s="3"/>
      <c r="Y250" s="3" t="s">
        <v>43</v>
      </c>
      <c r="Z250" s="3"/>
      <c r="AA250" s="3" t="s">
        <v>43</v>
      </c>
      <c r="AB250" s="3"/>
      <c r="AC250" s="3"/>
      <c r="AD250" s="3"/>
      <c r="AE250" s="3"/>
      <c r="AF250" s="3"/>
      <c r="AG250" s="3"/>
      <c r="AH250" s="3"/>
    </row>
    <row r="251" spans="1:34">
      <c r="A251" t="s">
        <v>958</v>
      </c>
      <c r="B251" t="s">
        <v>959</v>
      </c>
      <c r="C251" s="3" t="s">
        <v>43</v>
      </c>
      <c r="D251" s="3" t="s">
        <v>44</v>
      </c>
      <c r="E251" s="3" t="s">
        <v>43</v>
      </c>
      <c r="F251" s="3" t="s">
        <v>44</v>
      </c>
      <c r="G251" s="3" t="s">
        <v>43</v>
      </c>
      <c r="H251" s="3" t="s">
        <v>44</v>
      </c>
      <c r="I251" s="3" t="s">
        <v>43</v>
      </c>
      <c r="J251" s="3" t="s">
        <v>44</v>
      </c>
      <c r="K251" s="3" t="s">
        <v>43</v>
      </c>
      <c r="L251" s="3" t="s">
        <v>44</v>
      </c>
      <c r="M251" s="3" t="s">
        <v>43</v>
      </c>
      <c r="N251" s="3"/>
      <c r="O251" s="3" t="s">
        <v>43</v>
      </c>
      <c r="P251" s="3"/>
      <c r="Q251" s="3" t="s">
        <v>43</v>
      </c>
      <c r="R251" s="3"/>
      <c r="S251" s="3" t="s">
        <v>43</v>
      </c>
      <c r="T251" s="3"/>
      <c r="U251" s="3" t="s">
        <v>43</v>
      </c>
      <c r="V251" s="3"/>
      <c r="W251" s="3" t="s">
        <v>43</v>
      </c>
      <c r="X251" s="3"/>
      <c r="Y251" s="3" t="s">
        <v>43</v>
      </c>
      <c r="Z251" s="3"/>
      <c r="AA251" s="3" t="s">
        <v>43</v>
      </c>
      <c r="AB251" s="3"/>
      <c r="AC251" s="3"/>
      <c r="AD251" s="3"/>
      <c r="AE251" s="3"/>
      <c r="AF251" s="3"/>
      <c r="AG251" s="3"/>
      <c r="AH251" s="3"/>
    </row>
    <row r="252" spans="1:34">
      <c r="A252" t="s">
        <v>960</v>
      </c>
      <c r="B252" t="s">
        <v>961</v>
      </c>
      <c r="C252" s="3" t="s">
        <v>43</v>
      </c>
      <c r="D252" s="3" t="s">
        <v>44</v>
      </c>
      <c r="E252" s="3">
        <v>0.6</v>
      </c>
      <c r="F252" s="3"/>
      <c r="G252" s="3">
        <v>0.6</v>
      </c>
      <c r="H252" s="3"/>
      <c r="I252" s="3">
        <v>0.2</v>
      </c>
      <c r="J252" s="3"/>
      <c r="K252" s="3" t="s">
        <v>43</v>
      </c>
      <c r="L252" s="3" t="s">
        <v>44</v>
      </c>
      <c r="M252" s="3" t="s">
        <v>43</v>
      </c>
      <c r="N252" s="3"/>
      <c r="O252" s="3" t="s">
        <v>43</v>
      </c>
      <c r="P252" s="3"/>
      <c r="Q252" s="3" t="s">
        <v>43</v>
      </c>
      <c r="R252" s="3"/>
      <c r="S252" s="3" t="s">
        <v>43</v>
      </c>
      <c r="T252" s="3"/>
      <c r="U252" s="3" t="s">
        <v>43</v>
      </c>
      <c r="V252" s="3"/>
      <c r="W252" s="3" t="s">
        <v>43</v>
      </c>
      <c r="X252" s="3"/>
      <c r="Y252" s="3" t="s">
        <v>43</v>
      </c>
      <c r="Z252" s="3"/>
      <c r="AA252" s="3" t="s">
        <v>43</v>
      </c>
      <c r="AB252" s="3"/>
      <c r="AC252" s="3"/>
      <c r="AD252" s="3"/>
      <c r="AE252" s="3"/>
      <c r="AF252" s="3"/>
      <c r="AG252" s="3"/>
      <c r="AH252" s="3"/>
    </row>
    <row r="253" spans="1:34">
      <c r="A253" t="s">
        <v>962</v>
      </c>
      <c r="B253" t="s">
        <v>963</v>
      </c>
      <c r="C253" s="3" t="s">
        <v>43</v>
      </c>
      <c r="D253" s="3" t="s">
        <v>44</v>
      </c>
      <c r="E253" s="3" t="s">
        <v>43</v>
      </c>
      <c r="F253" s="3" t="s">
        <v>44</v>
      </c>
      <c r="G253" s="3" t="s">
        <v>43</v>
      </c>
      <c r="H253" s="3" t="s">
        <v>44</v>
      </c>
      <c r="I253" s="3" t="s">
        <v>43</v>
      </c>
      <c r="J253" s="3" t="s">
        <v>44</v>
      </c>
      <c r="K253" s="3" t="s">
        <v>43</v>
      </c>
      <c r="L253" s="3" t="s">
        <v>44</v>
      </c>
      <c r="M253" s="3" t="s">
        <v>43</v>
      </c>
      <c r="N253" s="3"/>
      <c r="O253" s="3" t="s">
        <v>43</v>
      </c>
      <c r="P253" s="3"/>
      <c r="Q253" s="3" t="s">
        <v>43</v>
      </c>
      <c r="R253" s="3"/>
      <c r="S253" s="3" t="s">
        <v>43</v>
      </c>
      <c r="T253" s="3"/>
      <c r="U253" s="3" t="s">
        <v>43</v>
      </c>
      <c r="V253" s="3"/>
      <c r="W253" s="3" t="s">
        <v>43</v>
      </c>
      <c r="X253" s="3"/>
      <c r="Y253" s="3" t="s">
        <v>43</v>
      </c>
      <c r="Z253" s="3"/>
      <c r="AA253" s="3" t="s">
        <v>43</v>
      </c>
      <c r="AB253" s="3"/>
      <c r="AC253" s="3"/>
      <c r="AD253" s="3"/>
      <c r="AE253" s="3"/>
      <c r="AF253" s="3"/>
      <c r="AG253" s="3"/>
      <c r="AH253" s="3"/>
    </row>
    <row r="254" spans="1:34">
      <c r="A254" t="s">
        <v>964</v>
      </c>
      <c r="B254" t="s">
        <v>965</v>
      </c>
      <c r="C254" s="3" t="s">
        <v>43</v>
      </c>
      <c r="D254" s="3" t="s">
        <v>44</v>
      </c>
      <c r="E254" s="3">
        <v>3.6</v>
      </c>
      <c r="F254" s="3"/>
      <c r="G254" s="3">
        <v>3.2</v>
      </c>
      <c r="H254" s="3"/>
      <c r="I254" s="3">
        <v>2.5</v>
      </c>
      <c r="J254" s="3"/>
      <c r="K254" s="3">
        <v>2.8</v>
      </c>
      <c r="L254" s="3"/>
      <c r="M254" s="3" t="s">
        <v>43</v>
      </c>
      <c r="N254" s="3"/>
      <c r="O254" s="3" t="s">
        <v>43</v>
      </c>
      <c r="P254" s="3"/>
      <c r="Q254" s="3" t="s">
        <v>43</v>
      </c>
      <c r="R254" s="3"/>
      <c r="S254" s="3" t="s">
        <v>43</v>
      </c>
      <c r="T254" s="3"/>
      <c r="U254" s="3" t="s">
        <v>43</v>
      </c>
      <c r="V254" s="3"/>
      <c r="W254" s="3" t="s">
        <v>43</v>
      </c>
      <c r="X254" s="3"/>
      <c r="Y254" s="3" t="s">
        <v>43</v>
      </c>
      <c r="Z254" s="3"/>
      <c r="AA254" s="3" t="s">
        <v>43</v>
      </c>
      <c r="AB254" s="3"/>
      <c r="AC254" s="3"/>
      <c r="AD254" s="3"/>
      <c r="AE254" s="3"/>
      <c r="AF254" s="3"/>
      <c r="AG254" s="3"/>
      <c r="AH254" s="3"/>
    </row>
    <row r="255" spans="1:34">
      <c r="A255" t="s">
        <v>412</v>
      </c>
      <c r="B255" t="s">
        <v>68</v>
      </c>
      <c r="C255" s="3" t="s">
        <v>43</v>
      </c>
      <c r="D255" s="3" t="s">
        <v>44</v>
      </c>
      <c r="E255" s="3" t="s">
        <v>43</v>
      </c>
      <c r="F255" s="3" t="s">
        <v>44</v>
      </c>
      <c r="G255" s="3" t="s">
        <v>43</v>
      </c>
      <c r="H255" s="3" t="s">
        <v>44</v>
      </c>
      <c r="I255" s="3" t="s">
        <v>43</v>
      </c>
      <c r="J255" s="3" t="s">
        <v>44</v>
      </c>
      <c r="K255" s="3" t="s">
        <v>43</v>
      </c>
      <c r="L255" s="3" t="s">
        <v>44</v>
      </c>
      <c r="M255" s="3" t="s">
        <v>43</v>
      </c>
      <c r="N255" s="3" t="s">
        <v>44</v>
      </c>
      <c r="O255" s="3" t="s">
        <v>43</v>
      </c>
      <c r="P255" s="3" t="s">
        <v>403</v>
      </c>
      <c r="Q255" s="3">
        <v>31.2</v>
      </c>
      <c r="R255" s="3" t="s">
        <v>334</v>
      </c>
      <c r="S255" s="3" t="s">
        <v>43</v>
      </c>
      <c r="T255" s="3" t="s">
        <v>44</v>
      </c>
      <c r="U255" s="3" t="s">
        <v>43</v>
      </c>
      <c r="V255" s="3" t="s">
        <v>403</v>
      </c>
      <c r="W255" s="3" t="s">
        <v>43</v>
      </c>
      <c r="X255" s="3" t="s">
        <v>44</v>
      </c>
      <c r="Y255" s="3" t="s">
        <v>43</v>
      </c>
      <c r="Z255" s="3"/>
      <c r="AA255" s="3" t="s">
        <v>43</v>
      </c>
      <c r="AB255" s="3"/>
      <c r="AC255" s="3">
        <v>0</v>
      </c>
      <c r="AD255" s="3" t="s">
        <v>334</v>
      </c>
      <c r="AE255" s="3">
        <v>0</v>
      </c>
      <c r="AF255" s="3"/>
      <c r="AG255" s="3">
        <v>0</v>
      </c>
      <c r="AH255" s="3"/>
    </row>
    <row r="256" spans="1:34">
      <c r="A256" t="s">
        <v>413</v>
      </c>
      <c r="B256" t="s">
        <v>70</v>
      </c>
      <c r="C256" s="3" t="s">
        <v>43</v>
      </c>
      <c r="D256" s="3" t="s">
        <v>44</v>
      </c>
      <c r="E256" s="3" t="s">
        <v>43</v>
      </c>
      <c r="F256" s="3" t="s">
        <v>44</v>
      </c>
      <c r="G256" s="3" t="s">
        <v>43</v>
      </c>
      <c r="H256" s="3" t="s">
        <v>44</v>
      </c>
      <c r="I256" s="3" t="s">
        <v>43</v>
      </c>
      <c r="J256" s="3" t="s">
        <v>44</v>
      </c>
      <c r="K256" s="3" t="s">
        <v>43</v>
      </c>
      <c r="L256" s="3" t="s">
        <v>44</v>
      </c>
      <c r="M256" s="3" t="s">
        <v>43</v>
      </c>
      <c r="N256" s="3" t="s">
        <v>44</v>
      </c>
      <c r="O256" s="3" t="s">
        <v>43</v>
      </c>
      <c r="P256" s="3" t="s">
        <v>403</v>
      </c>
      <c r="Q256" s="3">
        <v>31.2</v>
      </c>
      <c r="R256" s="3" t="s">
        <v>334</v>
      </c>
      <c r="S256" s="3" t="s">
        <v>43</v>
      </c>
      <c r="T256" s="3" t="s">
        <v>44</v>
      </c>
      <c r="U256" s="3" t="s">
        <v>43</v>
      </c>
      <c r="V256" s="3" t="s">
        <v>403</v>
      </c>
      <c r="W256" s="3" t="s">
        <v>43</v>
      </c>
      <c r="X256" s="3" t="s">
        <v>44</v>
      </c>
      <c r="Y256" s="3" t="s">
        <v>43</v>
      </c>
      <c r="Z256" s="3"/>
      <c r="AA256" s="3" t="s">
        <v>43</v>
      </c>
      <c r="AB256" s="3"/>
      <c r="AC256" s="3">
        <v>0</v>
      </c>
      <c r="AD256" s="3" t="s">
        <v>334</v>
      </c>
      <c r="AE256" s="3">
        <v>0</v>
      </c>
      <c r="AF256" s="3"/>
      <c r="AG256" s="3">
        <v>0</v>
      </c>
      <c r="AH256" s="3"/>
    </row>
    <row r="257" spans="1:34">
      <c r="A257" t="s">
        <v>414</v>
      </c>
      <c r="B257" t="s">
        <v>415</v>
      </c>
      <c r="C257" s="3" t="s">
        <v>43</v>
      </c>
      <c r="D257" s="3"/>
      <c r="E257" s="3" t="s">
        <v>43</v>
      </c>
      <c r="F257" s="3"/>
      <c r="G257" s="3" t="s">
        <v>43</v>
      </c>
      <c r="H257" s="3"/>
      <c r="I257" s="3" t="s">
        <v>43</v>
      </c>
      <c r="J257" s="3"/>
      <c r="K257" s="3" t="s">
        <v>43</v>
      </c>
      <c r="L257" s="3"/>
      <c r="M257" s="3" t="s">
        <v>43</v>
      </c>
      <c r="N257" s="3"/>
      <c r="O257" s="3">
        <v>26.7</v>
      </c>
      <c r="P257" s="3"/>
      <c r="Q257" s="3">
        <v>29.9</v>
      </c>
      <c r="R257" s="3"/>
      <c r="S257" s="3">
        <v>32.799999999999997</v>
      </c>
      <c r="T257" s="3"/>
      <c r="U257" s="3">
        <v>35.299999999999997</v>
      </c>
      <c r="V257" s="3"/>
      <c r="W257" s="3">
        <v>38.9</v>
      </c>
      <c r="X257" s="3"/>
      <c r="Y257" s="3">
        <v>27.6</v>
      </c>
      <c r="Z257" s="3" t="s">
        <v>334</v>
      </c>
      <c r="AA257" s="3">
        <v>26.7</v>
      </c>
      <c r="AB257" s="3"/>
      <c r="AC257" s="3">
        <v>28.78</v>
      </c>
      <c r="AD257" s="3"/>
      <c r="AE257" s="3">
        <v>41</v>
      </c>
      <c r="AF257" s="3"/>
      <c r="AG257" s="3" t="s">
        <v>43</v>
      </c>
      <c r="AH257" s="3" t="s">
        <v>44</v>
      </c>
    </row>
    <row r="258" spans="1:34">
      <c r="A258" t="s">
        <v>416</v>
      </c>
      <c r="B258" t="s">
        <v>417</v>
      </c>
      <c r="C258" s="3" t="s">
        <v>43</v>
      </c>
      <c r="D258" s="3"/>
      <c r="E258" s="3" t="s">
        <v>43</v>
      </c>
      <c r="F258" s="3"/>
      <c r="G258" s="3" t="s">
        <v>43</v>
      </c>
      <c r="H258" s="3"/>
      <c r="I258" s="3" t="s">
        <v>43</v>
      </c>
      <c r="J258" s="3"/>
      <c r="K258" s="3" t="s">
        <v>43</v>
      </c>
      <c r="L258" s="3"/>
      <c r="M258" s="3" t="s">
        <v>43</v>
      </c>
      <c r="N258" s="3"/>
      <c r="O258" s="3">
        <v>26.7</v>
      </c>
      <c r="P258" s="3"/>
      <c r="Q258" s="3">
        <v>29.9</v>
      </c>
      <c r="R258" s="3"/>
      <c r="S258" s="3">
        <v>32.799999999999997</v>
      </c>
      <c r="T258" s="3"/>
      <c r="U258" s="3">
        <v>35.299999999999997</v>
      </c>
      <c r="V258" s="3"/>
      <c r="W258" s="3">
        <v>38.9</v>
      </c>
      <c r="X258" s="3"/>
      <c r="Y258" s="3">
        <v>27.6</v>
      </c>
      <c r="Z258" s="3" t="s">
        <v>334</v>
      </c>
      <c r="AA258" s="3">
        <v>26.7</v>
      </c>
      <c r="AB258" s="3"/>
      <c r="AC258" s="3">
        <v>28.78</v>
      </c>
      <c r="AD258" s="3"/>
      <c r="AE258" s="3">
        <v>41</v>
      </c>
      <c r="AF258" s="3"/>
      <c r="AG258" s="3" t="s">
        <v>43</v>
      </c>
      <c r="AH258" s="3" t="s">
        <v>44</v>
      </c>
    </row>
    <row r="259" spans="1:34">
      <c r="A259" t="s">
        <v>418</v>
      </c>
      <c r="B259" t="s">
        <v>419</v>
      </c>
      <c r="C259" s="3" t="s">
        <v>43</v>
      </c>
      <c r="D259" s="3"/>
      <c r="E259" s="3" t="s">
        <v>43</v>
      </c>
      <c r="F259" s="3"/>
      <c r="G259" s="3" t="s">
        <v>43</v>
      </c>
      <c r="H259" s="3"/>
      <c r="I259" s="3" t="s">
        <v>43</v>
      </c>
      <c r="J259" s="3"/>
      <c r="K259" s="3" t="s">
        <v>43</v>
      </c>
      <c r="L259" s="3"/>
      <c r="M259" s="3" t="s">
        <v>43</v>
      </c>
      <c r="N259" s="3"/>
      <c r="O259" s="3" t="s">
        <v>43</v>
      </c>
      <c r="P259" s="3"/>
      <c r="Q259" s="3" t="s">
        <v>43</v>
      </c>
      <c r="R259" s="3"/>
      <c r="S259" s="3" t="s">
        <v>43</v>
      </c>
      <c r="T259" s="3"/>
      <c r="U259" s="3" t="s">
        <v>43</v>
      </c>
      <c r="V259" s="3"/>
      <c r="W259" s="3" t="s">
        <v>43</v>
      </c>
      <c r="X259" s="3"/>
      <c r="Y259" s="3">
        <v>6.3</v>
      </c>
      <c r="Z259" s="3" t="s">
        <v>334</v>
      </c>
      <c r="AA259" s="3">
        <v>7.5</v>
      </c>
      <c r="AB259" s="3"/>
      <c r="AC259" s="3">
        <v>7.49</v>
      </c>
      <c r="AD259" s="3"/>
      <c r="AE259" s="3">
        <v>7.87</v>
      </c>
      <c r="AF259" s="3"/>
      <c r="AG259" s="3" t="s">
        <v>43</v>
      </c>
      <c r="AH259" s="3" t="s">
        <v>44</v>
      </c>
    </row>
    <row r="260" spans="1:34">
      <c r="A260" t="s">
        <v>420</v>
      </c>
      <c r="B260" t="s">
        <v>421</v>
      </c>
      <c r="C260" s="3" t="s">
        <v>43</v>
      </c>
      <c r="D260" s="3"/>
      <c r="E260" s="3" t="s">
        <v>43</v>
      </c>
      <c r="F260" s="3"/>
      <c r="G260" s="3" t="s">
        <v>43</v>
      </c>
      <c r="H260" s="3"/>
      <c r="I260" s="3" t="s">
        <v>43</v>
      </c>
      <c r="J260" s="3"/>
      <c r="K260" s="3" t="s">
        <v>43</v>
      </c>
      <c r="L260" s="3"/>
      <c r="M260" s="3" t="s">
        <v>43</v>
      </c>
      <c r="N260" s="3"/>
      <c r="O260" s="3">
        <v>16.5</v>
      </c>
      <c r="P260" s="3"/>
      <c r="Q260" s="3">
        <v>17.399999999999999</v>
      </c>
      <c r="R260" s="3"/>
      <c r="S260" s="3">
        <v>16.899999999999999</v>
      </c>
      <c r="T260" s="3"/>
      <c r="U260" s="3">
        <v>15.8</v>
      </c>
      <c r="V260" s="3"/>
      <c r="W260" s="3">
        <v>17.2</v>
      </c>
      <c r="X260" s="3"/>
      <c r="Y260" s="3">
        <v>6.7</v>
      </c>
      <c r="Z260" s="3" t="s">
        <v>334</v>
      </c>
      <c r="AA260" s="3">
        <v>6.7</v>
      </c>
      <c r="AB260" s="3"/>
      <c r="AC260" s="3">
        <v>7.15</v>
      </c>
      <c r="AD260" s="3"/>
      <c r="AE260" s="3">
        <v>7.48</v>
      </c>
      <c r="AF260" s="3"/>
      <c r="AG260" s="3" t="s">
        <v>43</v>
      </c>
      <c r="AH260" s="3" t="s">
        <v>44</v>
      </c>
    </row>
    <row r="261" spans="1:34">
      <c r="A261" t="s">
        <v>966</v>
      </c>
      <c r="B261" t="s">
        <v>967</v>
      </c>
      <c r="C261" s="3" t="s">
        <v>43</v>
      </c>
      <c r="D261" s="3"/>
      <c r="E261" s="3" t="s">
        <v>43</v>
      </c>
      <c r="F261" s="3"/>
      <c r="G261" s="3" t="s">
        <v>43</v>
      </c>
      <c r="H261" s="3"/>
      <c r="I261" s="3" t="s">
        <v>43</v>
      </c>
      <c r="J261" s="3"/>
      <c r="K261" s="3" t="s">
        <v>43</v>
      </c>
      <c r="L261" s="3"/>
      <c r="M261" s="3" t="s">
        <v>43</v>
      </c>
      <c r="N261" s="3"/>
      <c r="O261" s="3">
        <v>10.199999999999999</v>
      </c>
      <c r="P261" s="3"/>
      <c r="Q261" s="3">
        <v>12.5</v>
      </c>
      <c r="R261" s="3"/>
      <c r="S261" s="3">
        <v>15.9</v>
      </c>
      <c r="T261" s="3"/>
      <c r="U261" s="3">
        <v>19.5</v>
      </c>
      <c r="V261" s="3"/>
      <c r="W261" s="3">
        <v>21.7</v>
      </c>
      <c r="X261" s="3"/>
      <c r="Y261" s="3" t="s">
        <v>43</v>
      </c>
      <c r="Z261" s="3"/>
      <c r="AA261" s="3" t="s">
        <v>43</v>
      </c>
      <c r="AB261" s="3"/>
      <c r="AC261" s="3"/>
      <c r="AD261" s="3"/>
      <c r="AE261" s="3"/>
      <c r="AF261" s="3"/>
      <c r="AG261" s="3"/>
      <c r="AH261" s="3"/>
    </row>
    <row r="262" spans="1:34">
      <c r="A262" t="s">
        <v>422</v>
      </c>
      <c r="B262" t="s">
        <v>423</v>
      </c>
      <c r="C262" s="3" t="s">
        <v>43</v>
      </c>
      <c r="D262" s="3"/>
      <c r="E262" s="3" t="s">
        <v>43</v>
      </c>
      <c r="F262" s="3"/>
      <c r="G262" s="3" t="s">
        <v>43</v>
      </c>
      <c r="H262" s="3"/>
      <c r="I262" s="3" t="s">
        <v>43</v>
      </c>
      <c r="J262" s="3"/>
      <c r="K262" s="3" t="s">
        <v>43</v>
      </c>
      <c r="L262" s="3"/>
      <c r="M262" s="3" t="s">
        <v>43</v>
      </c>
      <c r="N262" s="3"/>
      <c r="O262" s="3" t="s">
        <v>43</v>
      </c>
      <c r="P262" s="3"/>
      <c r="Q262" s="3" t="s">
        <v>43</v>
      </c>
      <c r="R262" s="3"/>
      <c r="S262" s="3" t="s">
        <v>43</v>
      </c>
      <c r="T262" s="3"/>
      <c r="U262" s="3" t="s">
        <v>43</v>
      </c>
      <c r="V262" s="3"/>
      <c r="W262" s="3" t="s">
        <v>43</v>
      </c>
      <c r="X262" s="3"/>
      <c r="Y262" s="3">
        <v>6.3</v>
      </c>
      <c r="Z262" s="3" t="s">
        <v>334</v>
      </c>
      <c r="AA262" s="3">
        <v>5</v>
      </c>
      <c r="AB262" s="3"/>
      <c r="AC262" s="3">
        <v>4.9400000000000004</v>
      </c>
      <c r="AD262" s="3"/>
      <c r="AE262" s="3">
        <v>7.14</v>
      </c>
      <c r="AF262" s="3"/>
      <c r="AG262" s="3" t="s">
        <v>43</v>
      </c>
      <c r="AH262" s="3" t="s">
        <v>44</v>
      </c>
    </row>
    <row r="263" spans="1:34">
      <c r="A263" t="s">
        <v>424</v>
      </c>
      <c r="B263" t="s">
        <v>425</v>
      </c>
      <c r="C263" s="3" t="s">
        <v>43</v>
      </c>
      <c r="D263" s="3"/>
      <c r="E263" s="3" t="s">
        <v>43</v>
      </c>
      <c r="F263" s="3"/>
      <c r="G263" s="3" t="s">
        <v>43</v>
      </c>
      <c r="H263" s="3"/>
      <c r="I263" s="3" t="s">
        <v>43</v>
      </c>
      <c r="J263" s="3"/>
      <c r="K263" s="3" t="s">
        <v>43</v>
      </c>
      <c r="L263" s="3"/>
      <c r="M263" s="3" t="s">
        <v>43</v>
      </c>
      <c r="N263" s="3"/>
      <c r="O263" s="3" t="s">
        <v>43</v>
      </c>
      <c r="P263" s="3"/>
      <c r="Q263" s="3" t="s">
        <v>43</v>
      </c>
      <c r="R263" s="3"/>
      <c r="S263" s="3" t="s">
        <v>43</v>
      </c>
      <c r="T263" s="3"/>
      <c r="U263" s="3" t="s">
        <v>43</v>
      </c>
      <c r="V263" s="3"/>
      <c r="W263" s="3" t="s">
        <v>43</v>
      </c>
      <c r="X263" s="3"/>
      <c r="Y263" s="3">
        <v>8.3000000000000007</v>
      </c>
      <c r="Z263" s="3" t="s">
        <v>334</v>
      </c>
      <c r="AA263" s="3">
        <v>7.5</v>
      </c>
      <c r="AB263" s="3"/>
      <c r="AC263" s="3">
        <v>9.2100000000000009</v>
      </c>
      <c r="AD263" s="3"/>
      <c r="AE263" s="3">
        <v>18.5</v>
      </c>
      <c r="AF263" s="3"/>
      <c r="AG263" s="3" t="s">
        <v>43</v>
      </c>
      <c r="AH263" s="3" t="s">
        <v>44</v>
      </c>
    </row>
    <row r="264" spans="1:34">
      <c r="A264" t="s">
        <v>426</v>
      </c>
      <c r="B264" t="s">
        <v>427</v>
      </c>
      <c r="C264" s="3">
        <v>4717.8</v>
      </c>
      <c r="D264" s="3"/>
      <c r="E264" s="3">
        <v>4019</v>
      </c>
      <c r="F264" s="3"/>
      <c r="G264" s="3">
        <v>4312.5</v>
      </c>
      <c r="H264" s="3"/>
      <c r="I264" s="3">
        <v>4705.2</v>
      </c>
      <c r="J264" s="3"/>
      <c r="K264" s="3">
        <v>4296.8</v>
      </c>
      <c r="L264" s="3"/>
      <c r="M264" s="3">
        <v>4480.8</v>
      </c>
      <c r="N264" s="3"/>
      <c r="O264" s="3">
        <v>4777.6000000000004</v>
      </c>
      <c r="P264" s="3"/>
      <c r="Q264" s="3">
        <v>5134.3</v>
      </c>
      <c r="R264" s="3"/>
      <c r="S264" s="3">
        <v>5270</v>
      </c>
      <c r="T264" s="3"/>
      <c r="U264" s="3">
        <v>5318.8</v>
      </c>
      <c r="V264" s="3"/>
      <c r="W264" s="3">
        <v>5372</v>
      </c>
      <c r="X264" s="3"/>
      <c r="Y264" s="3">
        <v>5290.1</v>
      </c>
      <c r="Z264" s="3"/>
      <c r="AA264" s="3">
        <v>4865.1000000000004</v>
      </c>
      <c r="AB264" s="3"/>
      <c r="AC264" s="3">
        <v>5441.28</v>
      </c>
      <c r="AD264" s="3"/>
      <c r="AE264" s="3">
        <v>5538.78</v>
      </c>
      <c r="AF264" s="3"/>
      <c r="AG264" s="3">
        <v>5845.86</v>
      </c>
      <c r="AH264" s="3"/>
    </row>
    <row r="265" spans="1:34">
      <c r="A265" t="s">
        <v>428</v>
      </c>
      <c r="B265" t="s">
        <v>429</v>
      </c>
      <c r="C265" s="3">
        <v>2551.1999999999998</v>
      </c>
      <c r="D265" s="3"/>
      <c r="E265" s="3">
        <v>1935.4</v>
      </c>
      <c r="F265" s="3"/>
      <c r="G265" s="3">
        <v>2101.8000000000002</v>
      </c>
      <c r="H265" s="3"/>
      <c r="I265" s="3">
        <v>2354.3000000000002</v>
      </c>
      <c r="J265" s="3"/>
      <c r="K265" s="3">
        <v>2177.9</v>
      </c>
      <c r="L265" s="3"/>
      <c r="M265" s="3">
        <v>2332.1</v>
      </c>
      <c r="N265" s="3"/>
      <c r="O265" s="3">
        <v>2459.1999999999998</v>
      </c>
      <c r="P265" s="3"/>
      <c r="Q265" s="3">
        <v>2628.8</v>
      </c>
      <c r="R265" s="3"/>
      <c r="S265" s="3">
        <v>2586.4</v>
      </c>
      <c r="T265" s="3"/>
      <c r="U265" s="3">
        <v>2655.2</v>
      </c>
      <c r="V265" s="3"/>
      <c r="W265" s="3">
        <v>2659.9</v>
      </c>
      <c r="X265" s="3"/>
      <c r="Y265" s="3">
        <v>2413.8000000000002</v>
      </c>
      <c r="Z265" s="3"/>
      <c r="AA265" s="3">
        <v>2374.6</v>
      </c>
      <c r="AB265" s="3"/>
      <c r="AC265" s="3">
        <v>2684.12</v>
      </c>
      <c r="AD265" s="3"/>
      <c r="AE265" s="3">
        <v>2751.05</v>
      </c>
      <c r="AF265" s="3"/>
      <c r="AG265" s="3">
        <v>2810.43</v>
      </c>
      <c r="AH265" s="3"/>
    </row>
    <row r="266" spans="1:34">
      <c r="A266" t="s">
        <v>430</v>
      </c>
      <c r="B266" t="s">
        <v>431</v>
      </c>
      <c r="C266" s="3">
        <v>1584</v>
      </c>
      <c r="D266" s="3"/>
      <c r="E266" s="3">
        <v>1213.3</v>
      </c>
      <c r="F266" s="3"/>
      <c r="G266" s="3">
        <v>1356.4</v>
      </c>
      <c r="H266" s="3"/>
      <c r="I266" s="3">
        <v>1660.6</v>
      </c>
      <c r="J266" s="3"/>
      <c r="K266" s="3">
        <v>1400.8</v>
      </c>
      <c r="L266" s="3"/>
      <c r="M266" s="3">
        <v>1531.8</v>
      </c>
      <c r="N266" s="3"/>
      <c r="O266" s="3">
        <v>1613.4</v>
      </c>
      <c r="P266" s="3"/>
      <c r="Q266" s="3">
        <v>1748.4</v>
      </c>
      <c r="R266" s="3"/>
      <c r="S266" s="3">
        <v>1720.6</v>
      </c>
      <c r="T266" s="3"/>
      <c r="U266" s="3">
        <v>1783.6</v>
      </c>
      <c r="V266" s="3"/>
      <c r="W266" s="3">
        <v>1748.7</v>
      </c>
      <c r="X266" s="3"/>
      <c r="Y266" s="3">
        <v>1448.1</v>
      </c>
      <c r="Z266" s="3"/>
      <c r="AA266" s="3">
        <v>1554.7</v>
      </c>
      <c r="AB266" s="3"/>
      <c r="AC266" s="3">
        <v>1809.06</v>
      </c>
      <c r="AD266" s="3"/>
      <c r="AE266" s="3">
        <v>1779.44</v>
      </c>
      <c r="AF266" s="3"/>
      <c r="AG266" s="3">
        <v>1762.99</v>
      </c>
      <c r="AH266" s="3"/>
    </row>
    <row r="267" spans="1:34">
      <c r="A267" t="s">
        <v>432</v>
      </c>
      <c r="B267" t="s">
        <v>433</v>
      </c>
      <c r="C267" s="3" t="s">
        <v>43</v>
      </c>
      <c r="D267" s="3" t="s">
        <v>44</v>
      </c>
      <c r="E267" s="3" t="s">
        <v>43</v>
      </c>
      <c r="F267" s="3" t="s">
        <v>44</v>
      </c>
      <c r="G267" s="3" t="s">
        <v>43</v>
      </c>
      <c r="H267" s="3" t="s">
        <v>44</v>
      </c>
      <c r="I267" s="3" t="s">
        <v>43</v>
      </c>
      <c r="J267" s="3" t="s">
        <v>44</v>
      </c>
      <c r="K267" s="3" t="s">
        <v>43</v>
      </c>
      <c r="L267" s="3" t="s">
        <v>44</v>
      </c>
      <c r="M267" s="3" t="s">
        <v>43</v>
      </c>
      <c r="N267" s="3" t="s">
        <v>44</v>
      </c>
      <c r="O267" s="3">
        <v>138.80000000000001</v>
      </c>
      <c r="P267" s="3"/>
      <c r="Q267" s="3">
        <v>9.9</v>
      </c>
      <c r="R267" s="3"/>
      <c r="S267" s="3">
        <v>12.3</v>
      </c>
      <c r="T267" s="3"/>
      <c r="U267" s="3">
        <v>11.3</v>
      </c>
      <c r="V267" s="3"/>
      <c r="W267" s="3">
        <v>12.6</v>
      </c>
      <c r="X267" s="3"/>
      <c r="Y267" s="3">
        <v>11.5</v>
      </c>
      <c r="Z267" s="3"/>
      <c r="AA267" s="3">
        <v>10.1</v>
      </c>
      <c r="AB267" s="3"/>
      <c r="AC267" s="3">
        <v>11.75</v>
      </c>
      <c r="AD267" s="3"/>
      <c r="AE267" s="3">
        <v>11.1</v>
      </c>
      <c r="AF267" s="3"/>
      <c r="AG267" s="3">
        <v>12.14</v>
      </c>
      <c r="AH267" s="3"/>
    </row>
    <row r="268" spans="1:34">
      <c r="A268" t="s">
        <v>434</v>
      </c>
      <c r="B268" t="s">
        <v>435</v>
      </c>
      <c r="C268" s="3" t="s">
        <v>43</v>
      </c>
      <c r="D268" s="3" t="s">
        <v>44</v>
      </c>
      <c r="E268" s="3" t="s">
        <v>43</v>
      </c>
      <c r="F268" s="3" t="s">
        <v>44</v>
      </c>
      <c r="G268" s="3" t="s">
        <v>43</v>
      </c>
      <c r="H268" s="3" t="s">
        <v>44</v>
      </c>
      <c r="I268" s="3" t="s">
        <v>43</v>
      </c>
      <c r="J268" s="3" t="s">
        <v>44</v>
      </c>
      <c r="K268" s="3" t="s">
        <v>43</v>
      </c>
      <c r="L268" s="3" t="s">
        <v>44</v>
      </c>
      <c r="M268" s="3" t="s">
        <v>43</v>
      </c>
      <c r="N268" s="3" t="s">
        <v>44</v>
      </c>
      <c r="O268" s="3">
        <v>33.799999999999997</v>
      </c>
      <c r="P268" s="3"/>
      <c r="Q268" s="3">
        <v>49.1</v>
      </c>
      <c r="R268" s="3"/>
      <c r="S268" s="3">
        <v>47.4</v>
      </c>
      <c r="T268" s="3"/>
      <c r="U268" s="3">
        <v>51.4</v>
      </c>
      <c r="V268" s="3"/>
      <c r="W268" s="3">
        <v>50.8</v>
      </c>
      <c r="X268" s="3"/>
      <c r="Y268" s="3">
        <v>52.4</v>
      </c>
      <c r="Z268" s="3"/>
      <c r="AA268" s="3">
        <v>44.5</v>
      </c>
      <c r="AB268" s="3"/>
      <c r="AC268" s="3">
        <v>50.55</v>
      </c>
      <c r="AD268" s="3"/>
      <c r="AE268" s="3">
        <v>48.35</v>
      </c>
      <c r="AF268" s="3"/>
      <c r="AG268" s="3">
        <v>49.26</v>
      </c>
      <c r="AH268" s="3"/>
    </row>
    <row r="269" spans="1:34">
      <c r="A269" t="s">
        <v>436</v>
      </c>
      <c r="B269" t="s">
        <v>437</v>
      </c>
      <c r="C269" s="3">
        <v>934.7</v>
      </c>
      <c r="D269" s="3"/>
      <c r="E269" s="3">
        <v>693.9</v>
      </c>
      <c r="F269" s="3"/>
      <c r="G269" s="3">
        <v>713.7</v>
      </c>
      <c r="H269" s="3"/>
      <c r="I269" s="3">
        <v>659.7</v>
      </c>
      <c r="J269" s="3"/>
      <c r="K269" s="3">
        <v>742.5</v>
      </c>
      <c r="L269" s="3"/>
      <c r="M269" s="3">
        <v>757.3</v>
      </c>
      <c r="N269" s="3"/>
      <c r="O269" s="3">
        <v>673.2</v>
      </c>
      <c r="P269" s="3"/>
      <c r="Q269" s="3">
        <v>821.5</v>
      </c>
      <c r="R269" s="3"/>
      <c r="S269" s="3">
        <v>806.1</v>
      </c>
      <c r="T269" s="3"/>
      <c r="U269" s="3">
        <v>808.9</v>
      </c>
      <c r="V269" s="3"/>
      <c r="W269" s="3">
        <v>847.8</v>
      </c>
      <c r="X269" s="3"/>
      <c r="Y269" s="3">
        <v>901.7</v>
      </c>
      <c r="Z269" s="3"/>
      <c r="AA269" s="3">
        <v>765.3</v>
      </c>
      <c r="AB269" s="3"/>
      <c r="AC269" s="3">
        <v>812.76</v>
      </c>
      <c r="AD269" s="3"/>
      <c r="AE269" s="3">
        <v>912.15</v>
      </c>
      <c r="AF269" s="3"/>
      <c r="AG269" s="3">
        <v>986.04</v>
      </c>
      <c r="AH269" s="3"/>
    </row>
    <row r="270" spans="1:34">
      <c r="A270" t="s">
        <v>968</v>
      </c>
      <c r="B270" t="s">
        <v>969</v>
      </c>
      <c r="C270" s="3">
        <v>829.8</v>
      </c>
      <c r="D270" s="3"/>
      <c r="E270" s="3">
        <v>768</v>
      </c>
      <c r="F270" s="3"/>
      <c r="G270" s="3">
        <v>830.3</v>
      </c>
      <c r="H270" s="3"/>
      <c r="I270" s="3" t="s">
        <v>43</v>
      </c>
      <c r="J270" s="3"/>
      <c r="K270" s="3" t="s">
        <v>43</v>
      </c>
      <c r="L270" s="3"/>
      <c r="M270" s="3" t="s">
        <v>43</v>
      </c>
      <c r="N270" s="3"/>
      <c r="O270" s="3" t="s">
        <v>43</v>
      </c>
      <c r="P270" s="3"/>
      <c r="Q270" s="3" t="s">
        <v>43</v>
      </c>
      <c r="R270" s="3"/>
      <c r="S270" s="3" t="s">
        <v>43</v>
      </c>
      <c r="T270" s="3"/>
      <c r="U270" s="3" t="s">
        <v>43</v>
      </c>
      <c r="V270" s="3"/>
      <c r="W270" s="3" t="s">
        <v>43</v>
      </c>
      <c r="X270" s="3"/>
      <c r="Y270" s="3" t="s">
        <v>43</v>
      </c>
      <c r="Z270" s="3"/>
      <c r="AA270" s="3" t="s">
        <v>43</v>
      </c>
      <c r="AB270" s="3"/>
      <c r="AC270" s="3"/>
      <c r="AD270" s="3"/>
      <c r="AE270" s="3"/>
      <c r="AF270" s="3"/>
      <c r="AG270" s="3"/>
      <c r="AH270" s="3"/>
    </row>
    <row r="271" spans="1:34">
      <c r="A271" t="s">
        <v>970</v>
      </c>
      <c r="B271" t="s">
        <v>971</v>
      </c>
      <c r="C271" s="3">
        <v>56.3</v>
      </c>
      <c r="D271" s="3"/>
      <c r="E271" s="3">
        <v>42.9</v>
      </c>
      <c r="F271" s="3"/>
      <c r="G271" s="3">
        <v>48.5</v>
      </c>
      <c r="H271" s="3"/>
      <c r="I271" s="3" t="s">
        <v>43</v>
      </c>
      <c r="J271" s="3"/>
      <c r="K271" s="3" t="s">
        <v>43</v>
      </c>
      <c r="L271" s="3"/>
      <c r="M271" s="3" t="s">
        <v>43</v>
      </c>
      <c r="N271" s="3"/>
      <c r="O271" s="3" t="s">
        <v>43</v>
      </c>
      <c r="P271" s="3"/>
      <c r="Q271" s="3" t="s">
        <v>43</v>
      </c>
      <c r="R271" s="3"/>
      <c r="S271" s="3" t="s">
        <v>43</v>
      </c>
      <c r="T271" s="3"/>
      <c r="U271" s="3" t="s">
        <v>43</v>
      </c>
      <c r="V271" s="3"/>
      <c r="W271" s="3" t="s">
        <v>43</v>
      </c>
      <c r="X271" s="3"/>
      <c r="Y271" s="3" t="s">
        <v>43</v>
      </c>
      <c r="Z271" s="3"/>
      <c r="AA271" s="3" t="s">
        <v>43</v>
      </c>
      <c r="AB271" s="3"/>
      <c r="AC271" s="3"/>
      <c r="AD271" s="3"/>
      <c r="AE271" s="3"/>
      <c r="AF271" s="3"/>
      <c r="AG271" s="3"/>
      <c r="AH271" s="3"/>
    </row>
    <row r="272" spans="1:34">
      <c r="A272" t="s">
        <v>972</v>
      </c>
      <c r="B272" t="s">
        <v>973</v>
      </c>
      <c r="C272" s="3">
        <v>42.3</v>
      </c>
      <c r="D272" s="3"/>
      <c r="E272" s="3">
        <v>33.299999999999997</v>
      </c>
      <c r="F272" s="3"/>
      <c r="G272" s="3">
        <v>25.6</v>
      </c>
      <c r="H272" s="3"/>
      <c r="I272" s="3" t="s">
        <v>43</v>
      </c>
      <c r="J272" s="3"/>
      <c r="K272" s="3" t="s">
        <v>43</v>
      </c>
      <c r="L272" s="3"/>
      <c r="M272" s="3" t="s">
        <v>43</v>
      </c>
      <c r="N272" s="3"/>
      <c r="O272" s="3" t="s">
        <v>43</v>
      </c>
      <c r="P272" s="3"/>
      <c r="Q272" s="3" t="s">
        <v>43</v>
      </c>
      <c r="R272" s="3"/>
      <c r="S272" s="3" t="s">
        <v>43</v>
      </c>
      <c r="T272" s="3"/>
      <c r="U272" s="3" t="s">
        <v>43</v>
      </c>
      <c r="V272" s="3"/>
      <c r="W272" s="3" t="s">
        <v>43</v>
      </c>
      <c r="X272" s="3"/>
      <c r="Y272" s="3" t="s">
        <v>43</v>
      </c>
      <c r="Z272" s="3"/>
      <c r="AA272" s="3" t="s">
        <v>43</v>
      </c>
      <c r="AB272" s="3"/>
      <c r="AC272" s="3"/>
      <c r="AD272" s="3"/>
      <c r="AE272" s="3"/>
      <c r="AF272" s="3"/>
      <c r="AG272" s="3"/>
      <c r="AH272" s="3"/>
    </row>
    <row r="273" spans="1:34">
      <c r="A273" t="s">
        <v>974</v>
      </c>
      <c r="B273" t="s">
        <v>975</v>
      </c>
      <c r="C273" s="3">
        <v>198.6</v>
      </c>
      <c r="D273" s="3"/>
      <c r="E273" s="3">
        <v>180.8</v>
      </c>
      <c r="F273" s="3"/>
      <c r="G273" s="3">
        <v>189.2</v>
      </c>
      <c r="H273" s="3"/>
      <c r="I273" s="3" t="s">
        <v>43</v>
      </c>
      <c r="J273" s="3"/>
      <c r="K273" s="3" t="s">
        <v>43</v>
      </c>
      <c r="L273" s="3"/>
      <c r="M273" s="3" t="s">
        <v>43</v>
      </c>
      <c r="N273" s="3"/>
      <c r="O273" s="3" t="s">
        <v>43</v>
      </c>
      <c r="P273" s="3"/>
      <c r="Q273" s="3" t="s">
        <v>43</v>
      </c>
      <c r="R273" s="3"/>
      <c r="S273" s="3" t="s">
        <v>43</v>
      </c>
      <c r="T273" s="3"/>
      <c r="U273" s="3" t="s">
        <v>43</v>
      </c>
      <c r="V273" s="3"/>
      <c r="W273" s="3" t="s">
        <v>43</v>
      </c>
      <c r="X273" s="3"/>
      <c r="Y273" s="3" t="s">
        <v>43</v>
      </c>
      <c r="Z273" s="3"/>
      <c r="AA273" s="3" t="s">
        <v>43</v>
      </c>
      <c r="AB273" s="3"/>
      <c r="AC273" s="3"/>
      <c r="AD273" s="3"/>
      <c r="AE273" s="3"/>
      <c r="AF273" s="3"/>
      <c r="AG273" s="3"/>
      <c r="AH273" s="3"/>
    </row>
    <row r="274" spans="1:34">
      <c r="A274" t="s">
        <v>976</v>
      </c>
      <c r="B274" t="s">
        <v>977</v>
      </c>
      <c r="C274" s="3">
        <v>37.6</v>
      </c>
      <c r="D274" s="3"/>
      <c r="E274" s="3">
        <v>32.1</v>
      </c>
      <c r="F274" s="3"/>
      <c r="G274" s="3">
        <v>37.299999999999997</v>
      </c>
      <c r="H274" s="3"/>
      <c r="I274" s="3" t="s">
        <v>43</v>
      </c>
      <c r="J274" s="3"/>
      <c r="K274" s="3" t="s">
        <v>43</v>
      </c>
      <c r="L274" s="3"/>
      <c r="M274" s="3" t="s">
        <v>43</v>
      </c>
      <c r="N274" s="3"/>
      <c r="O274" s="3" t="s">
        <v>43</v>
      </c>
      <c r="P274" s="3"/>
      <c r="Q274" s="3" t="s">
        <v>43</v>
      </c>
      <c r="R274" s="3"/>
      <c r="S274" s="3" t="s">
        <v>43</v>
      </c>
      <c r="T274" s="3"/>
      <c r="U274" s="3" t="s">
        <v>43</v>
      </c>
      <c r="V274" s="3"/>
      <c r="W274" s="3" t="s">
        <v>43</v>
      </c>
      <c r="X274" s="3"/>
      <c r="Y274" s="3" t="s">
        <v>43</v>
      </c>
      <c r="Z274" s="3"/>
      <c r="AA274" s="3" t="s">
        <v>43</v>
      </c>
      <c r="AB274" s="3"/>
      <c r="AC274" s="3"/>
      <c r="AD274" s="3"/>
      <c r="AE274" s="3"/>
      <c r="AF274" s="3"/>
      <c r="AG274" s="3"/>
      <c r="AH274" s="3"/>
    </row>
    <row r="275" spans="1:34">
      <c r="A275" t="s">
        <v>978</v>
      </c>
      <c r="B275" t="s">
        <v>979</v>
      </c>
      <c r="C275" s="3">
        <v>495</v>
      </c>
      <c r="D275" s="3"/>
      <c r="E275" s="3">
        <v>478.8</v>
      </c>
      <c r="F275" s="3"/>
      <c r="G275" s="3">
        <v>529.6</v>
      </c>
      <c r="H275" s="3"/>
      <c r="I275" s="3" t="s">
        <v>43</v>
      </c>
      <c r="J275" s="3"/>
      <c r="K275" s="3" t="s">
        <v>43</v>
      </c>
      <c r="L275" s="3"/>
      <c r="M275" s="3" t="s">
        <v>43</v>
      </c>
      <c r="N275" s="3"/>
      <c r="O275" s="3" t="s">
        <v>43</v>
      </c>
      <c r="P275" s="3"/>
      <c r="Q275" s="3" t="s">
        <v>43</v>
      </c>
      <c r="R275" s="3"/>
      <c r="S275" s="3" t="s">
        <v>43</v>
      </c>
      <c r="T275" s="3"/>
      <c r="U275" s="3" t="s">
        <v>43</v>
      </c>
      <c r="V275" s="3"/>
      <c r="W275" s="3" t="s">
        <v>43</v>
      </c>
      <c r="X275" s="3"/>
      <c r="Y275" s="3" t="s">
        <v>43</v>
      </c>
      <c r="Z275" s="3"/>
      <c r="AA275" s="3" t="s">
        <v>43</v>
      </c>
      <c r="AB275" s="3"/>
      <c r="AC275" s="3"/>
      <c r="AD275" s="3"/>
      <c r="AE275" s="3"/>
      <c r="AF275" s="3"/>
      <c r="AG275" s="3"/>
      <c r="AH275" s="3"/>
    </row>
    <row r="276" spans="1:34">
      <c r="A276" t="s">
        <v>980</v>
      </c>
      <c r="B276" t="s">
        <v>981</v>
      </c>
      <c r="C276" s="3">
        <v>394.5</v>
      </c>
      <c r="D276" s="3"/>
      <c r="E276" s="3">
        <v>364.4</v>
      </c>
      <c r="F276" s="3"/>
      <c r="G276" s="3">
        <v>390.7</v>
      </c>
      <c r="H276" s="3"/>
      <c r="I276" s="3" t="s">
        <v>43</v>
      </c>
      <c r="J276" s="3"/>
      <c r="K276" s="3" t="s">
        <v>43</v>
      </c>
      <c r="L276" s="3"/>
      <c r="M276" s="3" t="s">
        <v>43</v>
      </c>
      <c r="N276" s="3"/>
      <c r="O276" s="3" t="s">
        <v>43</v>
      </c>
      <c r="P276" s="3"/>
      <c r="Q276" s="3" t="s">
        <v>43</v>
      </c>
      <c r="R276" s="3"/>
      <c r="S276" s="3" t="s">
        <v>43</v>
      </c>
      <c r="T276" s="3"/>
      <c r="U276" s="3" t="s">
        <v>43</v>
      </c>
      <c r="V276" s="3"/>
      <c r="W276" s="3" t="s">
        <v>43</v>
      </c>
      <c r="X276" s="3"/>
      <c r="Y276" s="3" t="s">
        <v>43</v>
      </c>
      <c r="Z276" s="3"/>
      <c r="AA276" s="3" t="s">
        <v>43</v>
      </c>
      <c r="AB276" s="3"/>
      <c r="AC276" s="3"/>
      <c r="AD276" s="3"/>
      <c r="AE276" s="3"/>
      <c r="AF276" s="3"/>
      <c r="AG276" s="3"/>
      <c r="AH276" s="3"/>
    </row>
    <row r="277" spans="1:34">
      <c r="A277" t="s">
        <v>982</v>
      </c>
      <c r="B277" t="s">
        <v>983</v>
      </c>
      <c r="C277" s="3">
        <v>163.5</v>
      </c>
      <c r="D277" s="3"/>
      <c r="E277" s="3">
        <v>141.4</v>
      </c>
      <c r="F277" s="3"/>
      <c r="G277" s="3">
        <v>157.4</v>
      </c>
      <c r="H277" s="3"/>
      <c r="I277" s="3" t="s">
        <v>43</v>
      </c>
      <c r="J277" s="3"/>
      <c r="K277" s="3" t="s">
        <v>43</v>
      </c>
      <c r="L277" s="3"/>
      <c r="M277" s="3" t="s">
        <v>43</v>
      </c>
      <c r="N277" s="3"/>
      <c r="O277" s="3" t="s">
        <v>43</v>
      </c>
      <c r="P277" s="3"/>
      <c r="Q277" s="3" t="s">
        <v>43</v>
      </c>
      <c r="R277" s="3"/>
      <c r="S277" s="3" t="s">
        <v>43</v>
      </c>
      <c r="T277" s="3"/>
      <c r="U277" s="3" t="s">
        <v>43</v>
      </c>
      <c r="V277" s="3"/>
      <c r="W277" s="3" t="s">
        <v>43</v>
      </c>
      <c r="X277" s="3"/>
      <c r="Y277" s="3" t="s">
        <v>43</v>
      </c>
      <c r="Z277" s="3"/>
      <c r="AA277" s="3" t="s">
        <v>43</v>
      </c>
      <c r="AB277" s="3"/>
      <c r="AC277" s="3"/>
      <c r="AD277" s="3"/>
      <c r="AE277" s="3"/>
      <c r="AF277" s="3"/>
      <c r="AG277" s="3"/>
      <c r="AH277" s="3"/>
    </row>
    <row r="278" spans="1:34">
      <c r="A278" t="s">
        <v>984</v>
      </c>
      <c r="B278" t="s">
        <v>985</v>
      </c>
      <c r="C278" s="3">
        <v>24.3</v>
      </c>
      <c r="D278" s="3"/>
      <c r="E278" s="3">
        <v>24.7</v>
      </c>
      <c r="F278" s="3"/>
      <c r="G278" s="3">
        <v>25.5</v>
      </c>
      <c r="H278" s="3"/>
      <c r="I278" s="3" t="s">
        <v>43</v>
      </c>
      <c r="J278" s="3"/>
      <c r="K278" s="3" t="s">
        <v>43</v>
      </c>
      <c r="L278" s="3"/>
      <c r="M278" s="3" t="s">
        <v>43</v>
      </c>
      <c r="N278" s="3"/>
      <c r="O278" s="3" t="s">
        <v>43</v>
      </c>
      <c r="P278" s="3"/>
      <c r="Q278" s="3" t="s">
        <v>43</v>
      </c>
      <c r="R278" s="3"/>
      <c r="S278" s="3" t="s">
        <v>43</v>
      </c>
      <c r="T278" s="3"/>
      <c r="U278" s="3" t="s">
        <v>43</v>
      </c>
      <c r="V278" s="3"/>
      <c r="W278" s="3" t="s">
        <v>43</v>
      </c>
      <c r="X278" s="3"/>
      <c r="Y278" s="3" t="s">
        <v>43</v>
      </c>
      <c r="Z278" s="3"/>
      <c r="AA278" s="3" t="s">
        <v>43</v>
      </c>
      <c r="AB278" s="3"/>
      <c r="AC278" s="3"/>
      <c r="AD278" s="3"/>
      <c r="AE278" s="3"/>
      <c r="AF278" s="3"/>
      <c r="AG278" s="3"/>
      <c r="AH278" s="3"/>
    </row>
    <row r="279" spans="1:34">
      <c r="A279" t="s">
        <v>986</v>
      </c>
      <c r="B279" t="s">
        <v>987</v>
      </c>
      <c r="C279" s="3">
        <v>31.8</v>
      </c>
      <c r="D279" s="3"/>
      <c r="E279" s="3">
        <v>31</v>
      </c>
      <c r="F279" s="3"/>
      <c r="G279" s="3">
        <v>31.1</v>
      </c>
      <c r="H279" s="3"/>
      <c r="I279" s="3" t="s">
        <v>43</v>
      </c>
      <c r="J279" s="3"/>
      <c r="K279" s="3" t="s">
        <v>43</v>
      </c>
      <c r="L279" s="3"/>
      <c r="M279" s="3" t="s">
        <v>43</v>
      </c>
      <c r="N279" s="3"/>
      <c r="O279" s="3" t="s">
        <v>43</v>
      </c>
      <c r="P279" s="3"/>
      <c r="Q279" s="3" t="s">
        <v>43</v>
      </c>
      <c r="R279" s="3"/>
      <c r="S279" s="3" t="s">
        <v>43</v>
      </c>
      <c r="T279" s="3"/>
      <c r="U279" s="3" t="s">
        <v>43</v>
      </c>
      <c r="V279" s="3"/>
      <c r="W279" s="3" t="s">
        <v>43</v>
      </c>
      <c r="X279" s="3"/>
      <c r="Y279" s="3" t="s">
        <v>43</v>
      </c>
      <c r="Z279" s="3"/>
      <c r="AA279" s="3" t="s">
        <v>43</v>
      </c>
      <c r="AB279" s="3"/>
      <c r="AC279" s="3"/>
      <c r="AD279" s="3"/>
      <c r="AE279" s="3"/>
      <c r="AF279" s="3"/>
      <c r="AG279" s="3"/>
      <c r="AH279" s="3"/>
    </row>
    <row r="280" spans="1:34">
      <c r="A280" t="s">
        <v>988</v>
      </c>
      <c r="B280" t="s">
        <v>989</v>
      </c>
      <c r="C280" s="3">
        <v>174.8</v>
      </c>
      <c r="D280" s="3"/>
      <c r="E280" s="3">
        <v>167.3</v>
      </c>
      <c r="F280" s="3"/>
      <c r="G280" s="3">
        <v>176.8</v>
      </c>
      <c r="H280" s="3"/>
      <c r="I280" s="3" t="s">
        <v>43</v>
      </c>
      <c r="J280" s="3"/>
      <c r="K280" s="3" t="s">
        <v>43</v>
      </c>
      <c r="L280" s="3"/>
      <c r="M280" s="3" t="s">
        <v>43</v>
      </c>
      <c r="N280" s="3"/>
      <c r="O280" s="3" t="s">
        <v>43</v>
      </c>
      <c r="P280" s="3"/>
      <c r="Q280" s="3" t="s">
        <v>43</v>
      </c>
      <c r="R280" s="3"/>
      <c r="S280" s="3" t="s">
        <v>43</v>
      </c>
      <c r="T280" s="3"/>
      <c r="U280" s="3" t="s">
        <v>43</v>
      </c>
      <c r="V280" s="3"/>
      <c r="W280" s="3" t="s">
        <v>43</v>
      </c>
      <c r="X280" s="3"/>
      <c r="Y280" s="3" t="s">
        <v>43</v>
      </c>
      <c r="Z280" s="3"/>
      <c r="AA280" s="3" t="s">
        <v>43</v>
      </c>
      <c r="AB280" s="3"/>
      <c r="AC280" s="3"/>
      <c r="AD280" s="3"/>
      <c r="AE280" s="3"/>
      <c r="AF280" s="3"/>
      <c r="AG280" s="3"/>
      <c r="AH280" s="3"/>
    </row>
    <row r="281" spans="1:34">
      <c r="A281" t="s">
        <v>438</v>
      </c>
      <c r="B281" t="s">
        <v>439</v>
      </c>
      <c r="C281" s="3">
        <v>880.9</v>
      </c>
      <c r="D281" s="3"/>
      <c r="E281" s="3">
        <v>894.4</v>
      </c>
      <c r="F281" s="3"/>
      <c r="G281" s="3">
        <v>933.1</v>
      </c>
      <c r="H281" s="3"/>
      <c r="I281" s="3">
        <v>1064.2</v>
      </c>
      <c r="J281" s="3"/>
      <c r="K281" s="3">
        <v>925.4</v>
      </c>
      <c r="L281" s="3"/>
      <c r="M281" s="3">
        <v>900.4</v>
      </c>
      <c r="N281" s="3"/>
      <c r="O281" s="3">
        <v>1024.2</v>
      </c>
      <c r="P281" s="3"/>
      <c r="Q281" s="3">
        <v>1181.8</v>
      </c>
      <c r="R281" s="3"/>
      <c r="S281" s="3">
        <v>1238.3</v>
      </c>
      <c r="T281" s="3"/>
      <c r="U281" s="3">
        <v>1178.5</v>
      </c>
      <c r="V281" s="3"/>
      <c r="W281" s="3">
        <v>1222.2</v>
      </c>
      <c r="X281" s="3"/>
      <c r="Y281" s="3">
        <v>1324</v>
      </c>
      <c r="Z281" s="3"/>
      <c r="AA281" s="3">
        <v>1015.9</v>
      </c>
      <c r="AB281" s="3"/>
      <c r="AC281" s="3">
        <v>1110.1600000000001</v>
      </c>
      <c r="AD281" s="3"/>
      <c r="AE281" s="3">
        <v>1105.49</v>
      </c>
      <c r="AF281" s="3"/>
      <c r="AG281" s="3">
        <v>1229.3800000000001</v>
      </c>
      <c r="AH281" s="3"/>
    </row>
    <row r="282" spans="1:34">
      <c r="A282" t="s">
        <v>440</v>
      </c>
      <c r="B282" t="s">
        <v>441</v>
      </c>
      <c r="C282" s="3">
        <v>289.5</v>
      </c>
      <c r="D282" s="3"/>
      <c r="E282" s="3">
        <v>228.6</v>
      </c>
      <c r="F282" s="3"/>
      <c r="G282" s="3">
        <v>277.89999999999998</v>
      </c>
      <c r="H282" s="3"/>
      <c r="I282" s="3">
        <v>324.3</v>
      </c>
      <c r="J282" s="3"/>
      <c r="K282" s="3">
        <v>309.7</v>
      </c>
      <c r="L282" s="3"/>
      <c r="M282" s="3">
        <v>268.60000000000002</v>
      </c>
      <c r="N282" s="3"/>
      <c r="O282" s="3">
        <v>304.2</v>
      </c>
      <c r="P282" s="3"/>
      <c r="Q282" s="3">
        <v>320.60000000000002</v>
      </c>
      <c r="R282" s="3"/>
      <c r="S282" s="3">
        <v>330.2</v>
      </c>
      <c r="T282" s="3"/>
      <c r="U282" s="3">
        <v>336</v>
      </c>
      <c r="V282" s="3"/>
      <c r="W282" s="3">
        <v>361</v>
      </c>
      <c r="X282" s="3"/>
      <c r="Y282" s="3">
        <v>370.2</v>
      </c>
      <c r="Z282" s="3"/>
      <c r="AA282" s="3">
        <v>301.60000000000002</v>
      </c>
      <c r="AB282" s="3"/>
      <c r="AC282" s="3">
        <v>343.09</v>
      </c>
      <c r="AD282" s="3"/>
      <c r="AE282" s="3">
        <v>327.58999999999997</v>
      </c>
      <c r="AF282" s="3"/>
      <c r="AG282" s="3">
        <v>368.27</v>
      </c>
      <c r="AH282" s="3"/>
    </row>
    <row r="283" spans="1:34">
      <c r="A283" t="s">
        <v>442</v>
      </c>
      <c r="B283" t="s">
        <v>443</v>
      </c>
      <c r="C283" s="3">
        <v>17.100000000000001</v>
      </c>
      <c r="D283" s="3"/>
      <c r="E283" s="3">
        <v>92.3</v>
      </c>
      <c r="F283" s="3"/>
      <c r="G283" s="3">
        <v>96</v>
      </c>
      <c r="H283" s="3"/>
      <c r="I283" s="3">
        <v>88.5</v>
      </c>
      <c r="J283" s="3"/>
      <c r="K283" s="3">
        <v>84.2</v>
      </c>
      <c r="L283" s="3"/>
      <c r="M283" s="3">
        <v>66.2</v>
      </c>
      <c r="N283" s="3"/>
      <c r="O283" s="3">
        <v>72.400000000000006</v>
      </c>
      <c r="P283" s="3"/>
      <c r="Q283" s="3">
        <v>63.3</v>
      </c>
      <c r="R283" s="3"/>
      <c r="S283" s="3">
        <v>99.9</v>
      </c>
      <c r="T283" s="3"/>
      <c r="U283" s="3">
        <v>90.9</v>
      </c>
      <c r="V283" s="3"/>
      <c r="W283" s="3">
        <v>99.8</v>
      </c>
      <c r="X283" s="3"/>
      <c r="Y283" s="3">
        <v>93.8</v>
      </c>
      <c r="Z283" s="3"/>
      <c r="AA283" s="3">
        <v>75.5</v>
      </c>
      <c r="AB283" s="3"/>
      <c r="AC283" s="3">
        <v>78.02</v>
      </c>
      <c r="AD283" s="3"/>
      <c r="AE283" s="3">
        <v>77.44</v>
      </c>
      <c r="AF283" s="3"/>
      <c r="AG283" s="3">
        <v>90.89</v>
      </c>
      <c r="AH283" s="3"/>
    </row>
    <row r="284" spans="1:34">
      <c r="A284" t="s">
        <v>444</v>
      </c>
      <c r="B284" t="s">
        <v>445</v>
      </c>
      <c r="C284" s="3">
        <v>295.3</v>
      </c>
      <c r="D284" s="3"/>
      <c r="E284" s="3">
        <v>276.10000000000002</v>
      </c>
      <c r="F284" s="3"/>
      <c r="G284" s="3">
        <v>256.60000000000002</v>
      </c>
      <c r="H284" s="3"/>
      <c r="I284" s="3">
        <v>288.60000000000002</v>
      </c>
      <c r="J284" s="3"/>
      <c r="K284" s="3">
        <v>224.2</v>
      </c>
      <c r="L284" s="3"/>
      <c r="M284" s="3">
        <v>276</v>
      </c>
      <c r="N284" s="3"/>
      <c r="O284" s="3">
        <v>320.39999999999998</v>
      </c>
      <c r="P284" s="3"/>
      <c r="Q284" s="3">
        <v>319.2</v>
      </c>
      <c r="R284" s="3"/>
      <c r="S284" s="3">
        <v>332.4</v>
      </c>
      <c r="T284" s="3"/>
      <c r="U284" s="3">
        <v>302.2</v>
      </c>
      <c r="V284" s="3"/>
      <c r="W284" s="3">
        <v>313.10000000000002</v>
      </c>
      <c r="X284" s="3"/>
      <c r="Y284" s="3">
        <v>354.2</v>
      </c>
      <c r="Z284" s="3"/>
      <c r="AA284" s="3">
        <v>257.8</v>
      </c>
      <c r="AB284" s="3"/>
      <c r="AC284" s="3">
        <v>293.19</v>
      </c>
      <c r="AD284" s="3"/>
      <c r="AE284" s="3">
        <v>322.33999999999997</v>
      </c>
      <c r="AF284" s="3"/>
      <c r="AG284" s="3">
        <v>357.86</v>
      </c>
      <c r="AH284" s="3"/>
    </row>
    <row r="285" spans="1:34">
      <c r="A285" t="s">
        <v>446</v>
      </c>
      <c r="B285" t="s">
        <v>447</v>
      </c>
      <c r="C285" s="3">
        <v>107.1</v>
      </c>
      <c r="D285" s="3"/>
      <c r="E285" s="3">
        <v>126.2</v>
      </c>
      <c r="F285" s="3"/>
      <c r="G285" s="3">
        <v>135.9</v>
      </c>
      <c r="H285" s="3"/>
      <c r="I285" s="3">
        <v>195.4</v>
      </c>
      <c r="J285" s="3"/>
      <c r="K285" s="3">
        <v>189.6</v>
      </c>
      <c r="L285" s="3"/>
      <c r="M285" s="3">
        <v>190</v>
      </c>
      <c r="N285" s="3"/>
      <c r="O285" s="3">
        <v>199.6</v>
      </c>
      <c r="P285" s="3"/>
      <c r="Q285" s="3">
        <v>212.3</v>
      </c>
      <c r="R285" s="3"/>
      <c r="S285" s="3">
        <v>218.8</v>
      </c>
      <c r="T285" s="3"/>
      <c r="U285" s="3">
        <v>178.5</v>
      </c>
      <c r="V285" s="3"/>
      <c r="W285" s="3">
        <v>190</v>
      </c>
      <c r="X285" s="3"/>
      <c r="Y285" s="3">
        <v>221.2</v>
      </c>
      <c r="Z285" s="3"/>
      <c r="AA285" s="3">
        <v>184.8</v>
      </c>
      <c r="AB285" s="3"/>
      <c r="AC285" s="3">
        <v>196.31</v>
      </c>
      <c r="AD285" s="3"/>
      <c r="AE285" s="3">
        <v>191.22</v>
      </c>
      <c r="AF285" s="3"/>
      <c r="AG285" s="3">
        <v>190.31</v>
      </c>
      <c r="AH285" s="3"/>
    </row>
    <row r="286" spans="1:34">
      <c r="A286" t="s">
        <v>448</v>
      </c>
      <c r="B286" t="s">
        <v>449</v>
      </c>
      <c r="C286" s="3">
        <v>170.3</v>
      </c>
      <c r="D286" s="3"/>
      <c r="E286" s="3">
        <v>168.7</v>
      </c>
      <c r="F286" s="3"/>
      <c r="G286" s="3">
        <v>164.1</v>
      </c>
      <c r="H286" s="3"/>
      <c r="I286" s="3">
        <v>165.7</v>
      </c>
      <c r="J286" s="3"/>
      <c r="K286" s="3">
        <v>116.7</v>
      </c>
      <c r="L286" s="3"/>
      <c r="M286" s="3">
        <v>98.7</v>
      </c>
      <c r="N286" s="3"/>
      <c r="O286" s="3">
        <v>126.5</v>
      </c>
      <c r="P286" s="3"/>
      <c r="Q286" s="3">
        <v>265.60000000000002</v>
      </c>
      <c r="R286" s="3"/>
      <c r="S286" s="3">
        <v>255.9</v>
      </c>
      <c r="T286" s="3"/>
      <c r="U286" s="3">
        <v>269.89999999999998</v>
      </c>
      <c r="V286" s="3"/>
      <c r="W286" s="3">
        <v>256.60000000000002</v>
      </c>
      <c r="X286" s="3"/>
      <c r="Y286" s="3">
        <v>282.89999999999998</v>
      </c>
      <c r="Z286" s="3"/>
      <c r="AA286" s="3">
        <v>194.7</v>
      </c>
      <c r="AB286" s="3"/>
      <c r="AC286" s="3">
        <v>198.63</v>
      </c>
      <c r="AD286" s="3"/>
      <c r="AE286" s="3">
        <v>185.5</v>
      </c>
      <c r="AF286" s="3"/>
      <c r="AG286" s="3">
        <v>220.11</v>
      </c>
      <c r="AH286" s="3"/>
    </row>
    <row r="287" spans="1:34">
      <c r="A287" t="s">
        <v>450</v>
      </c>
      <c r="B287" t="s">
        <v>451</v>
      </c>
      <c r="C287" s="3">
        <v>1.7</v>
      </c>
      <c r="D287" s="3"/>
      <c r="E287" s="3">
        <v>2.5</v>
      </c>
      <c r="F287" s="3"/>
      <c r="G287" s="3">
        <v>2.6</v>
      </c>
      <c r="H287" s="3"/>
      <c r="I287" s="3">
        <v>1.7</v>
      </c>
      <c r="J287" s="3"/>
      <c r="K287" s="3">
        <v>1</v>
      </c>
      <c r="L287" s="3"/>
      <c r="M287" s="3">
        <v>0.9</v>
      </c>
      <c r="N287" s="3"/>
      <c r="O287" s="3">
        <v>1</v>
      </c>
      <c r="P287" s="3"/>
      <c r="Q287" s="3">
        <v>0.9</v>
      </c>
      <c r="R287" s="3"/>
      <c r="S287" s="3">
        <v>1.1000000000000001</v>
      </c>
      <c r="T287" s="3"/>
      <c r="U287" s="3">
        <v>1.2</v>
      </c>
      <c r="V287" s="3"/>
      <c r="W287" s="3">
        <v>1.7</v>
      </c>
      <c r="X287" s="3"/>
      <c r="Y287" s="3">
        <v>1.8</v>
      </c>
      <c r="Z287" s="3"/>
      <c r="AA287" s="3">
        <v>1.3</v>
      </c>
      <c r="AB287" s="3"/>
      <c r="AC287" s="3">
        <v>0.92</v>
      </c>
      <c r="AD287" s="3"/>
      <c r="AE287" s="3">
        <v>1.4</v>
      </c>
      <c r="AF287" s="3"/>
      <c r="AG287" s="3">
        <v>1.95</v>
      </c>
      <c r="AH287" s="3"/>
    </row>
    <row r="288" spans="1:34">
      <c r="A288" t="s">
        <v>452</v>
      </c>
      <c r="B288" t="s">
        <v>453</v>
      </c>
      <c r="C288" s="3">
        <v>61.4</v>
      </c>
      <c r="D288" s="3"/>
      <c r="E288" s="3">
        <v>53.4</v>
      </c>
      <c r="F288" s="3"/>
      <c r="G288" s="3">
        <v>56.5</v>
      </c>
      <c r="H288" s="3"/>
      <c r="I288" s="3">
        <v>50.5</v>
      </c>
      <c r="J288" s="3"/>
      <c r="K288" s="3">
        <v>37.799999999999997</v>
      </c>
      <c r="L288" s="3"/>
      <c r="M288" s="3">
        <v>30.8</v>
      </c>
      <c r="N288" s="3"/>
      <c r="O288" s="3">
        <v>26.5</v>
      </c>
      <c r="P288" s="3"/>
      <c r="Q288" s="3">
        <v>11.1</v>
      </c>
      <c r="R288" s="3"/>
      <c r="S288" s="3">
        <v>12</v>
      </c>
      <c r="T288" s="3"/>
      <c r="U288" s="3">
        <v>9.8000000000000007</v>
      </c>
      <c r="V288" s="3"/>
      <c r="W288" s="3">
        <v>11.4</v>
      </c>
      <c r="X288" s="3"/>
      <c r="Y288" s="3">
        <v>11.2</v>
      </c>
      <c r="Z288" s="3"/>
      <c r="AA288" s="3">
        <v>17.3</v>
      </c>
      <c r="AB288" s="3"/>
      <c r="AC288" s="3">
        <v>16.489999999999998</v>
      </c>
      <c r="AD288" s="3"/>
      <c r="AE288" s="3">
        <v>15.75</v>
      </c>
      <c r="AF288" s="3"/>
      <c r="AG288" s="3">
        <v>18.98</v>
      </c>
      <c r="AH288" s="3"/>
    </row>
    <row r="289" spans="1:34">
      <c r="A289" t="s">
        <v>454</v>
      </c>
      <c r="B289" t="s">
        <v>455</v>
      </c>
      <c r="C289" s="3">
        <v>59.1</v>
      </c>
      <c r="D289" s="3"/>
      <c r="E289" s="3">
        <v>51.9</v>
      </c>
      <c r="F289" s="3"/>
      <c r="G289" s="3">
        <v>54.2</v>
      </c>
      <c r="H289" s="3"/>
      <c r="I289" s="3">
        <v>49.3</v>
      </c>
      <c r="J289" s="3"/>
      <c r="K289" s="3">
        <v>36.9</v>
      </c>
      <c r="L289" s="3"/>
      <c r="M289" s="3">
        <v>29.8</v>
      </c>
      <c r="N289" s="3"/>
      <c r="O289" s="3">
        <v>25.4</v>
      </c>
      <c r="P289" s="3"/>
      <c r="Q289" s="3">
        <v>9.9</v>
      </c>
      <c r="R289" s="3"/>
      <c r="S289" s="3">
        <v>10.9</v>
      </c>
      <c r="T289" s="3"/>
      <c r="U289" s="3">
        <v>9</v>
      </c>
      <c r="V289" s="3"/>
      <c r="W289" s="3">
        <v>10.7</v>
      </c>
      <c r="X289" s="3"/>
      <c r="Y289" s="3">
        <v>10.4</v>
      </c>
      <c r="Z289" s="3"/>
      <c r="AA289" s="3">
        <v>16.399999999999999</v>
      </c>
      <c r="AB289" s="3"/>
      <c r="AC289" s="3">
        <v>15.38</v>
      </c>
      <c r="AD289" s="3"/>
      <c r="AE289" s="3">
        <v>14.75</v>
      </c>
      <c r="AF289" s="3"/>
      <c r="AG289" s="3">
        <v>17.690000000000001</v>
      </c>
      <c r="AH289" s="3"/>
    </row>
    <row r="290" spans="1:34">
      <c r="A290" t="s">
        <v>456</v>
      </c>
      <c r="B290" t="s">
        <v>457</v>
      </c>
      <c r="C290" s="3">
        <v>2.2000000000000002</v>
      </c>
      <c r="D290" s="3"/>
      <c r="E290" s="3">
        <v>1.5</v>
      </c>
      <c r="F290" s="3"/>
      <c r="G290" s="3">
        <v>2.2999999999999998</v>
      </c>
      <c r="H290" s="3"/>
      <c r="I290" s="3">
        <v>1.2</v>
      </c>
      <c r="J290" s="3"/>
      <c r="K290" s="3">
        <v>0.9</v>
      </c>
      <c r="L290" s="3"/>
      <c r="M290" s="3">
        <v>1.1000000000000001</v>
      </c>
      <c r="N290" s="3"/>
      <c r="O290" s="3">
        <v>1.1000000000000001</v>
      </c>
      <c r="P290" s="3"/>
      <c r="Q290" s="3">
        <v>1.2</v>
      </c>
      <c r="R290" s="3"/>
      <c r="S290" s="3">
        <v>1.2</v>
      </c>
      <c r="T290" s="3"/>
      <c r="U290" s="3">
        <v>0.8</v>
      </c>
      <c r="V290" s="3"/>
      <c r="W290" s="3">
        <v>0.7</v>
      </c>
      <c r="X290" s="3"/>
      <c r="Y290" s="3">
        <v>0.8</v>
      </c>
      <c r="Z290" s="3"/>
      <c r="AA290" s="3">
        <v>0.9</v>
      </c>
      <c r="AB290" s="3"/>
      <c r="AC290" s="3">
        <v>1.1100000000000001</v>
      </c>
      <c r="AD290" s="3"/>
      <c r="AE290" s="3">
        <v>1</v>
      </c>
      <c r="AF290" s="3"/>
      <c r="AG290" s="3">
        <v>1.28</v>
      </c>
      <c r="AH290" s="3"/>
    </row>
    <row r="291" spans="1:34">
      <c r="A291" t="s">
        <v>458</v>
      </c>
      <c r="B291" t="s">
        <v>459</v>
      </c>
      <c r="C291" s="3" t="s">
        <v>43</v>
      </c>
      <c r="D291" s="3"/>
      <c r="E291" s="3" t="s">
        <v>43</v>
      </c>
      <c r="F291" s="3"/>
      <c r="G291" s="3" t="s">
        <v>43</v>
      </c>
      <c r="H291" s="3"/>
      <c r="I291" s="3">
        <v>849.7</v>
      </c>
      <c r="J291" s="3"/>
      <c r="K291" s="3">
        <v>792.7</v>
      </c>
      <c r="L291" s="3"/>
      <c r="M291" s="3">
        <v>852.7</v>
      </c>
      <c r="N291" s="3"/>
      <c r="O291" s="3">
        <v>907</v>
      </c>
      <c r="P291" s="3"/>
      <c r="Q291" s="3">
        <v>925.5</v>
      </c>
      <c r="R291" s="3"/>
      <c r="S291" s="3">
        <v>966.5</v>
      </c>
      <c r="T291" s="3"/>
      <c r="U291" s="3">
        <v>1025.2</v>
      </c>
      <c r="V291" s="3"/>
      <c r="W291" s="3">
        <v>1027</v>
      </c>
      <c r="X291" s="3"/>
      <c r="Y291" s="3">
        <v>1084.5</v>
      </c>
      <c r="Z291" s="3"/>
      <c r="AA291" s="3">
        <v>1076.9000000000001</v>
      </c>
      <c r="AB291" s="3"/>
      <c r="AC291" s="3">
        <v>1203.22</v>
      </c>
      <c r="AD291" s="3"/>
      <c r="AE291" s="3">
        <v>1227.17</v>
      </c>
      <c r="AF291" s="3"/>
      <c r="AG291" s="3">
        <v>1325.04</v>
      </c>
      <c r="AH291" s="3"/>
    </row>
    <row r="292" spans="1:34">
      <c r="A292" t="s">
        <v>460</v>
      </c>
      <c r="B292" t="s">
        <v>461</v>
      </c>
      <c r="C292" s="3" t="s">
        <v>43</v>
      </c>
      <c r="D292" s="3"/>
      <c r="E292" s="3" t="s">
        <v>43</v>
      </c>
      <c r="F292" s="3"/>
      <c r="G292" s="3" t="s">
        <v>43</v>
      </c>
      <c r="H292" s="3"/>
      <c r="I292" s="3">
        <v>32.9</v>
      </c>
      <c r="J292" s="3"/>
      <c r="K292" s="3">
        <v>81.099999999999994</v>
      </c>
      <c r="L292" s="3"/>
      <c r="M292" s="3">
        <v>81</v>
      </c>
      <c r="N292" s="3"/>
      <c r="O292" s="3">
        <v>92.9</v>
      </c>
      <c r="P292" s="3"/>
      <c r="Q292" s="3">
        <v>80.099999999999994</v>
      </c>
      <c r="R292" s="3"/>
      <c r="S292" s="3">
        <v>69.599999999999994</v>
      </c>
      <c r="T292" s="3"/>
      <c r="U292" s="3">
        <v>79.8</v>
      </c>
      <c r="V292" s="3"/>
      <c r="W292" s="3">
        <v>79.5</v>
      </c>
      <c r="X292" s="3"/>
      <c r="Y292" s="3">
        <v>71.2</v>
      </c>
      <c r="Z292" s="3"/>
      <c r="AA292" s="3">
        <v>69.3</v>
      </c>
      <c r="AB292" s="3"/>
      <c r="AC292" s="3">
        <v>72.8</v>
      </c>
      <c r="AD292" s="3"/>
      <c r="AE292" s="3">
        <v>83.2</v>
      </c>
      <c r="AF292" s="3"/>
      <c r="AG292" s="3">
        <v>110.4</v>
      </c>
      <c r="AH292" s="3"/>
    </row>
    <row r="293" spans="1:34">
      <c r="A293" t="s">
        <v>462</v>
      </c>
      <c r="B293" t="s">
        <v>463</v>
      </c>
      <c r="C293" s="3" t="s">
        <v>43</v>
      </c>
      <c r="D293" s="3"/>
      <c r="E293" s="3" t="s">
        <v>43</v>
      </c>
      <c r="F293" s="3"/>
      <c r="G293" s="3" t="s">
        <v>43</v>
      </c>
      <c r="H293" s="3"/>
      <c r="I293" s="3">
        <v>36.200000000000003</v>
      </c>
      <c r="J293" s="3"/>
      <c r="K293" s="3">
        <v>37</v>
      </c>
      <c r="L293" s="3"/>
      <c r="M293" s="3">
        <v>37.1</v>
      </c>
      <c r="N293" s="3"/>
      <c r="O293" s="3">
        <v>28</v>
      </c>
      <c r="P293" s="3"/>
      <c r="Q293" s="3">
        <v>28.8</v>
      </c>
      <c r="R293" s="3"/>
      <c r="S293" s="3">
        <v>31.8</v>
      </c>
      <c r="T293" s="3"/>
      <c r="U293" s="3">
        <v>48.4</v>
      </c>
      <c r="V293" s="3"/>
      <c r="W293" s="3">
        <v>50.2</v>
      </c>
      <c r="X293" s="3"/>
      <c r="Y293" s="3">
        <v>33.1</v>
      </c>
      <c r="Z293" s="3"/>
      <c r="AA293" s="3">
        <v>46.1</v>
      </c>
      <c r="AB293" s="3"/>
      <c r="AC293" s="3">
        <v>55.22</v>
      </c>
      <c r="AD293" s="3"/>
      <c r="AE293" s="3">
        <v>63.6</v>
      </c>
      <c r="AF293" s="3"/>
      <c r="AG293" s="3">
        <v>75.48</v>
      </c>
      <c r="AH293" s="3"/>
    </row>
    <row r="294" spans="1:34">
      <c r="A294" t="s">
        <v>464</v>
      </c>
      <c r="B294" t="s">
        <v>465</v>
      </c>
      <c r="C294" s="3" t="s">
        <v>43</v>
      </c>
      <c r="D294" s="3"/>
      <c r="E294" s="3" t="s">
        <v>43</v>
      </c>
      <c r="F294" s="3"/>
      <c r="G294" s="3" t="s">
        <v>43</v>
      </c>
      <c r="H294" s="3"/>
      <c r="I294" s="3">
        <v>202.5</v>
      </c>
      <c r="J294" s="3"/>
      <c r="K294" s="3">
        <v>184.2</v>
      </c>
      <c r="L294" s="3"/>
      <c r="M294" s="3">
        <v>204.1</v>
      </c>
      <c r="N294" s="3"/>
      <c r="O294" s="3">
        <v>190.8</v>
      </c>
      <c r="P294" s="3"/>
      <c r="Q294" s="3">
        <v>180.3</v>
      </c>
      <c r="R294" s="3"/>
      <c r="S294" s="3">
        <v>180.9</v>
      </c>
      <c r="T294" s="3"/>
      <c r="U294" s="3">
        <v>204.2</v>
      </c>
      <c r="V294" s="3"/>
      <c r="W294" s="3">
        <v>210.5</v>
      </c>
      <c r="X294" s="3"/>
      <c r="Y294" s="3">
        <v>227.5</v>
      </c>
      <c r="Z294" s="3"/>
      <c r="AA294" s="3">
        <v>229.1</v>
      </c>
      <c r="AB294" s="3"/>
      <c r="AC294" s="3">
        <v>246.17</v>
      </c>
      <c r="AD294" s="3"/>
      <c r="AE294" s="3">
        <v>249</v>
      </c>
      <c r="AF294" s="3"/>
      <c r="AG294" s="3">
        <v>254.3</v>
      </c>
      <c r="AH294" s="3"/>
    </row>
    <row r="295" spans="1:34">
      <c r="A295" t="s">
        <v>466</v>
      </c>
      <c r="B295" t="s">
        <v>467</v>
      </c>
      <c r="C295" s="3" t="s">
        <v>43</v>
      </c>
      <c r="D295" s="3"/>
      <c r="E295" s="3" t="s">
        <v>43</v>
      </c>
      <c r="F295" s="3"/>
      <c r="G295" s="3" t="s">
        <v>43</v>
      </c>
      <c r="H295" s="3"/>
      <c r="I295" s="3">
        <v>38.1</v>
      </c>
      <c r="J295" s="3"/>
      <c r="K295" s="3">
        <v>34.5</v>
      </c>
      <c r="L295" s="3"/>
      <c r="M295" s="3">
        <v>33.5</v>
      </c>
      <c r="N295" s="3"/>
      <c r="O295" s="3">
        <v>35.700000000000003</v>
      </c>
      <c r="P295" s="3"/>
      <c r="Q295" s="3">
        <v>21.2</v>
      </c>
      <c r="R295" s="3"/>
      <c r="S295" s="3">
        <v>21.4</v>
      </c>
      <c r="T295" s="3"/>
      <c r="U295" s="3">
        <v>53.3</v>
      </c>
      <c r="V295" s="3"/>
      <c r="W295" s="3">
        <v>49</v>
      </c>
      <c r="X295" s="3"/>
      <c r="Y295" s="3">
        <v>54.4</v>
      </c>
      <c r="Z295" s="3"/>
      <c r="AA295" s="3">
        <v>45</v>
      </c>
      <c r="AB295" s="3"/>
      <c r="AC295" s="3">
        <v>48.87</v>
      </c>
      <c r="AD295" s="3"/>
      <c r="AE295" s="3">
        <v>48.28</v>
      </c>
      <c r="AF295" s="3"/>
      <c r="AG295" s="3">
        <v>52.12</v>
      </c>
      <c r="AH295" s="3"/>
    </row>
    <row r="296" spans="1:34">
      <c r="A296" t="s">
        <v>468</v>
      </c>
      <c r="B296" t="s">
        <v>469</v>
      </c>
      <c r="C296" s="3" t="s">
        <v>43</v>
      </c>
      <c r="D296" s="3"/>
      <c r="E296" s="3" t="s">
        <v>43</v>
      </c>
      <c r="F296" s="3"/>
      <c r="G296" s="3" t="s">
        <v>43</v>
      </c>
      <c r="H296" s="3"/>
      <c r="I296" s="3">
        <v>539.9</v>
      </c>
      <c r="J296" s="3"/>
      <c r="K296" s="3">
        <v>456</v>
      </c>
      <c r="L296" s="3"/>
      <c r="M296" s="3">
        <v>497</v>
      </c>
      <c r="N296" s="3"/>
      <c r="O296" s="3">
        <v>559.6</v>
      </c>
      <c r="P296" s="3"/>
      <c r="Q296" s="3">
        <v>615.1</v>
      </c>
      <c r="R296" s="3"/>
      <c r="S296" s="3">
        <v>662.7</v>
      </c>
      <c r="T296" s="3"/>
      <c r="U296" s="3">
        <v>639.5</v>
      </c>
      <c r="V296" s="3"/>
      <c r="W296" s="3">
        <v>637.79999999999995</v>
      </c>
      <c r="X296" s="3"/>
      <c r="Y296" s="3">
        <v>698.2</v>
      </c>
      <c r="Z296" s="3"/>
      <c r="AA296" s="3">
        <v>687.4</v>
      </c>
      <c r="AB296" s="3"/>
      <c r="AC296" s="3">
        <v>780.17</v>
      </c>
      <c r="AD296" s="3"/>
      <c r="AE296" s="3">
        <v>783.1</v>
      </c>
      <c r="AF296" s="3"/>
      <c r="AG296" s="3">
        <v>832.73</v>
      </c>
      <c r="AH296" s="3"/>
    </row>
    <row r="297" spans="1:34">
      <c r="A297" t="s">
        <v>470</v>
      </c>
      <c r="B297" t="s">
        <v>471</v>
      </c>
      <c r="C297" s="3" t="s">
        <v>43</v>
      </c>
      <c r="D297" s="3"/>
      <c r="E297" s="3" t="s">
        <v>43</v>
      </c>
      <c r="F297" s="3"/>
      <c r="G297" s="3" t="s">
        <v>43</v>
      </c>
      <c r="H297" s="3"/>
      <c r="I297" s="3">
        <v>386.6</v>
      </c>
      <c r="J297" s="3"/>
      <c r="K297" s="3">
        <v>363</v>
      </c>
      <c r="L297" s="3"/>
      <c r="M297" s="3">
        <v>364.7</v>
      </c>
      <c r="N297" s="3"/>
      <c r="O297" s="3">
        <v>360.7</v>
      </c>
      <c r="P297" s="3"/>
      <c r="Q297" s="3">
        <v>387.1</v>
      </c>
      <c r="R297" s="3"/>
      <c r="S297" s="3">
        <v>466.9</v>
      </c>
      <c r="T297" s="3"/>
      <c r="U297" s="3">
        <v>450</v>
      </c>
      <c r="V297" s="3"/>
      <c r="W297" s="3">
        <v>451.4</v>
      </c>
      <c r="X297" s="3"/>
      <c r="Y297" s="3">
        <v>456.6</v>
      </c>
      <c r="Z297" s="3"/>
      <c r="AA297" s="3">
        <v>380.4</v>
      </c>
      <c r="AB297" s="3"/>
      <c r="AC297" s="3">
        <v>427.28</v>
      </c>
      <c r="AD297" s="3"/>
      <c r="AE297" s="3">
        <v>439.33</v>
      </c>
      <c r="AF297" s="3"/>
      <c r="AG297" s="3">
        <v>462.04</v>
      </c>
      <c r="AH297" s="3"/>
    </row>
    <row r="298" spans="1:34">
      <c r="A298" t="s">
        <v>472</v>
      </c>
      <c r="B298" t="s">
        <v>473</v>
      </c>
      <c r="C298" s="3" t="s">
        <v>43</v>
      </c>
      <c r="D298" s="3"/>
      <c r="E298" s="3" t="s">
        <v>43</v>
      </c>
      <c r="F298" s="3"/>
      <c r="G298" s="3" t="s">
        <v>43</v>
      </c>
      <c r="H298" s="3"/>
      <c r="I298" s="3">
        <v>153.9</v>
      </c>
      <c r="J298" s="3"/>
      <c r="K298" s="3">
        <v>150</v>
      </c>
      <c r="L298" s="3"/>
      <c r="M298" s="3">
        <v>145.19999999999999</v>
      </c>
      <c r="N298" s="3"/>
      <c r="O298" s="3">
        <v>138.9</v>
      </c>
      <c r="P298" s="3"/>
      <c r="Q298" s="3">
        <v>143</v>
      </c>
      <c r="R298" s="3"/>
      <c r="S298" s="3">
        <v>161</v>
      </c>
      <c r="T298" s="3"/>
      <c r="U298" s="3">
        <v>166.3</v>
      </c>
      <c r="V298" s="3"/>
      <c r="W298" s="3">
        <v>175</v>
      </c>
      <c r="X298" s="3"/>
      <c r="Y298" s="3">
        <v>171.6</v>
      </c>
      <c r="Z298" s="3"/>
      <c r="AA298" s="3">
        <v>160.5</v>
      </c>
      <c r="AB298" s="3"/>
      <c r="AC298" s="3">
        <v>189.02</v>
      </c>
      <c r="AD298" s="3"/>
      <c r="AE298" s="3">
        <v>189.06</v>
      </c>
      <c r="AF298" s="3"/>
      <c r="AG298" s="3">
        <v>189.47</v>
      </c>
      <c r="AH298" s="3"/>
    </row>
    <row r="299" spans="1:34">
      <c r="A299" t="s">
        <v>474</v>
      </c>
      <c r="B299" t="s">
        <v>475</v>
      </c>
      <c r="C299" s="3" t="s">
        <v>43</v>
      </c>
      <c r="D299" s="3"/>
      <c r="E299" s="3" t="s">
        <v>43</v>
      </c>
      <c r="F299" s="3"/>
      <c r="G299" s="3" t="s">
        <v>43</v>
      </c>
      <c r="H299" s="3"/>
      <c r="I299" s="3">
        <v>29.3</v>
      </c>
      <c r="J299" s="3"/>
      <c r="K299" s="3">
        <v>20.9</v>
      </c>
      <c r="L299" s="3"/>
      <c r="M299" s="3">
        <v>30.4</v>
      </c>
      <c r="N299" s="3"/>
      <c r="O299" s="3">
        <v>21.4</v>
      </c>
      <c r="P299" s="3"/>
      <c r="Q299" s="3">
        <v>23.5</v>
      </c>
      <c r="R299" s="3"/>
      <c r="S299" s="3">
        <v>36.799999999999997</v>
      </c>
      <c r="T299" s="3"/>
      <c r="U299" s="3">
        <v>33.6</v>
      </c>
      <c r="V299" s="3"/>
      <c r="W299" s="3">
        <v>39.200000000000003</v>
      </c>
      <c r="X299" s="3"/>
      <c r="Y299" s="3">
        <v>35.4</v>
      </c>
      <c r="Z299" s="3"/>
      <c r="AA299" s="3">
        <v>33.1</v>
      </c>
      <c r="AB299" s="3"/>
      <c r="AC299" s="3">
        <v>41.09</v>
      </c>
      <c r="AD299" s="3"/>
      <c r="AE299" s="3">
        <v>43.34</v>
      </c>
      <c r="AF299" s="3"/>
      <c r="AG299" s="3">
        <v>44.33</v>
      </c>
      <c r="AH299" s="3"/>
    </row>
    <row r="300" spans="1:34">
      <c r="A300" t="s">
        <v>476</v>
      </c>
      <c r="B300" t="s">
        <v>477</v>
      </c>
      <c r="C300" s="3" t="s">
        <v>43</v>
      </c>
      <c r="D300" s="3"/>
      <c r="E300" s="3" t="s">
        <v>43</v>
      </c>
      <c r="F300" s="3"/>
      <c r="G300" s="3" t="s">
        <v>43</v>
      </c>
      <c r="H300" s="3"/>
      <c r="I300" s="3">
        <v>32.799999999999997</v>
      </c>
      <c r="J300" s="3"/>
      <c r="K300" s="3">
        <v>36.700000000000003</v>
      </c>
      <c r="L300" s="3"/>
      <c r="M300" s="3">
        <v>33</v>
      </c>
      <c r="N300" s="3"/>
      <c r="O300" s="3">
        <v>29.8</v>
      </c>
      <c r="P300" s="3"/>
      <c r="Q300" s="3">
        <v>35.4</v>
      </c>
      <c r="R300" s="3"/>
      <c r="S300" s="3">
        <v>46.9</v>
      </c>
      <c r="T300" s="3"/>
      <c r="U300" s="3">
        <v>53.9</v>
      </c>
      <c r="V300" s="3"/>
      <c r="W300" s="3">
        <v>50.4</v>
      </c>
      <c r="X300" s="3"/>
      <c r="Y300" s="3">
        <v>51.1</v>
      </c>
      <c r="Z300" s="3"/>
      <c r="AA300" s="3">
        <v>41.6</v>
      </c>
      <c r="AB300" s="3"/>
      <c r="AC300" s="3">
        <v>53.48</v>
      </c>
      <c r="AD300" s="3"/>
      <c r="AE300" s="3">
        <v>55.13</v>
      </c>
      <c r="AF300" s="3"/>
      <c r="AG300" s="3">
        <v>61.57</v>
      </c>
      <c r="AH300" s="3"/>
    </row>
    <row r="301" spans="1:34">
      <c r="A301" t="s">
        <v>478</v>
      </c>
      <c r="B301" t="s">
        <v>479</v>
      </c>
      <c r="C301" s="3" t="s">
        <v>43</v>
      </c>
      <c r="D301" s="3"/>
      <c r="E301" s="3" t="s">
        <v>43</v>
      </c>
      <c r="F301" s="3"/>
      <c r="G301" s="3" t="s">
        <v>43</v>
      </c>
      <c r="H301" s="3"/>
      <c r="I301" s="3">
        <v>170.7</v>
      </c>
      <c r="J301" s="3"/>
      <c r="K301" s="3">
        <v>155.5</v>
      </c>
      <c r="L301" s="3"/>
      <c r="M301" s="3">
        <v>156.19999999999999</v>
      </c>
      <c r="N301" s="3"/>
      <c r="O301" s="3">
        <v>170.5</v>
      </c>
      <c r="P301" s="3"/>
      <c r="Q301" s="3">
        <v>185.1</v>
      </c>
      <c r="R301" s="3"/>
      <c r="S301" s="3">
        <v>222.2</v>
      </c>
      <c r="T301" s="3"/>
      <c r="U301" s="3">
        <v>196.3</v>
      </c>
      <c r="V301" s="3"/>
      <c r="W301" s="3">
        <v>186.7</v>
      </c>
      <c r="X301" s="3"/>
      <c r="Y301" s="3">
        <v>198.6</v>
      </c>
      <c r="Z301" s="3"/>
      <c r="AA301" s="3">
        <v>145.19999999999999</v>
      </c>
      <c r="AB301" s="3"/>
      <c r="AC301" s="3">
        <v>143.68</v>
      </c>
      <c r="AD301" s="3"/>
      <c r="AE301" s="3">
        <v>151.79</v>
      </c>
      <c r="AF301" s="3"/>
      <c r="AG301" s="3">
        <v>166.67</v>
      </c>
      <c r="AH301" s="3"/>
    </row>
    <row r="302" spans="1:34">
      <c r="A302" t="s">
        <v>480</v>
      </c>
      <c r="B302" t="s">
        <v>481</v>
      </c>
      <c r="C302" s="3">
        <v>4</v>
      </c>
      <c r="D302" s="3"/>
      <c r="E302" s="3">
        <v>4.3</v>
      </c>
      <c r="F302" s="3"/>
      <c r="G302" s="3">
        <v>3.5</v>
      </c>
      <c r="H302" s="3"/>
      <c r="I302" s="3">
        <v>3.1</v>
      </c>
      <c r="J302" s="3"/>
      <c r="K302" s="3">
        <v>2.2000000000000002</v>
      </c>
      <c r="L302" s="3"/>
      <c r="M302" s="3">
        <v>1.8</v>
      </c>
      <c r="N302" s="3"/>
      <c r="O302" s="3">
        <v>1.7</v>
      </c>
      <c r="P302" s="3"/>
      <c r="Q302" s="3">
        <v>1.7</v>
      </c>
      <c r="R302" s="3"/>
      <c r="S302" s="3">
        <v>1.9</v>
      </c>
      <c r="T302" s="3"/>
      <c r="U302" s="3">
        <v>2</v>
      </c>
      <c r="V302" s="3"/>
      <c r="W302" s="3">
        <v>2.2999999999999998</v>
      </c>
      <c r="X302" s="3"/>
      <c r="Y302" s="3">
        <v>2.2000000000000002</v>
      </c>
      <c r="Z302" s="3"/>
      <c r="AA302" s="3">
        <v>2</v>
      </c>
      <c r="AB302" s="3"/>
      <c r="AC302" s="3">
        <v>2.44</v>
      </c>
      <c r="AD302" s="3"/>
      <c r="AE302" s="3">
        <v>2.65</v>
      </c>
      <c r="AF302" s="3"/>
      <c r="AG302" s="3">
        <v>2.89</v>
      </c>
      <c r="AH302" s="3"/>
    </row>
    <row r="303" spans="1:34">
      <c r="A303" t="s">
        <v>482</v>
      </c>
      <c r="B303" t="s">
        <v>483</v>
      </c>
      <c r="C303" s="3">
        <v>4</v>
      </c>
      <c r="D303" s="3"/>
      <c r="E303" s="3">
        <v>4.3</v>
      </c>
      <c r="F303" s="3"/>
      <c r="G303" s="3">
        <v>3.5</v>
      </c>
      <c r="H303" s="3"/>
      <c r="I303" s="3">
        <v>3.1</v>
      </c>
      <c r="J303" s="3"/>
      <c r="K303" s="3">
        <v>2.2000000000000002</v>
      </c>
      <c r="L303" s="3"/>
      <c r="M303" s="3">
        <v>1.8</v>
      </c>
      <c r="N303" s="3"/>
      <c r="O303" s="3">
        <v>1.7</v>
      </c>
      <c r="P303" s="3"/>
      <c r="Q303" s="3">
        <v>1.7</v>
      </c>
      <c r="R303" s="3"/>
      <c r="S303" s="3">
        <v>1.9</v>
      </c>
      <c r="T303" s="3"/>
      <c r="U303" s="3">
        <v>2</v>
      </c>
      <c r="V303" s="3"/>
      <c r="W303" s="3">
        <v>2.2999999999999998</v>
      </c>
      <c r="X303" s="3"/>
      <c r="Y303" s="3">
        <v>2.2000000000000002</v>
      </c>
      <c r="Z303" s="3"/>
      <c r="AA303" s="3">
        <v>2</v>
      </c>
      <c r="AB303" s="3"/>
      <c r="AC303" s="3">
        <v>2.44</v>
      </c>
      <c r="AD303" s="3"/>
      <c r="AE303" s="3">
        <v>2.65</v>
      </c>
      <c r="AF303" s="3"/>
      <c r="AG303" s="3">
        <v>2.89</v>
      </c>
      <c r="AH303" s="3"/>
    </row>
    <row r="304" spans="1:34">
      <c r="A304" t="s">
        <v>484</v>
      </c>
      <c r="B304" t="s">
        <v>483</v>
      </c>
      <c r="C304" s="3">
        <v>4</v>
      </c>
      <c r="D304" s="3"/>
      <c r="E304" s="3">
        <v>4.3</v>
      </c>
      <c r="F304" s="3"/>
      <c r="G304" s="3">
        <v>3.5</v>
      </c>
      <c r="H304" s="3"/>
      <c r="I304" s="3">
        <v>3.1</v>
      </c>
      <c r="J304" s="3"/>
      <c r="K304" s="3">
        <v>2.2000000000000002</v>
      </c>
      <c r="L304" s="3"/>
      <c r="M304" s="3">
        <v>1.8</v>
      </c>
      <c r="N304" s="3"/>
      <c r="O304" s="3">
        <v>1.7</v>
      </c>
      <c r="P304" s="3"/>
      <c r="Q304" s="3">
        <v>1.7</v>
      </c>
      <c r="R304" s="3"/>
      <c r="S304" s="3">
        <v>1.9</v>
      </c>
      <c r="T304" s="3"/>
      <c r="U304" s="3">
        <v>2</v>
      </c>
      <c r="V304" s="3"/>
      <c r="W304" s="3">
        <v>2.2999999999999998</v>
      </c>
      <c r="X304" s="3"/>
      <c r="Y304" s="3">
        <v>2.2000000000000002</v>
      </c>
      <c r="Z304" s="3"/>
      <c r="AA304" s="3">
        <v>2</v>
      </c>
      <c r="AB304" s="3"/>
      <c r="AC304" s="3">
        <v>2.44</v>
      </c>
      <c r="AD304" s="3"/>
      <c r="AE304" s="3">
        <v>2.65</v>
      </c>
      <c r="AF304" s="3"/>
      <c r="AG304" s="3">
        <v>2.89</v>
      </c>
      <c r="AH304" s="3"/>
    </row>
    <row r="305" spans="1:34">
      <c r="A305" t="s">
        <v>485</v>
      </c>
      <c r="B305" t="s">
        <v>486</v>
      </c>
      <c r="C305" s="3">
        <v>13.2</v>
      </c>
      <c r="D305" s="3"/>
      <c r="E305" s="3">
        <v>8.3000000000000007</v>
      </c>
      <c r="F305" s="3"/>
      <c r="G305" s="3">
        <v>9.5</v>
      </c>
      <c r="H305" s="3"/>
      <c r="I305" s="3">
        <v>12.6</v>
      </c>
      <c r="J305" s="3"/>
      <c r="K305" s="3">
        <v>15.3</v>
      </c>
      <c r="L305" s="3"/>
      <c r="M305" s="3">
        <v>16.7</v>
      </c>
      <c r="N305" s="3"/>
      <c r="O305" s="3">
        <v>18.7</v>
      </c>
      <c r="P305" s="3"/>
      <c r="Q305" s="3">
        <v>20.6</v>
      </c>
      <c r="R305" s="3"/>
      <c r="S305" s="3">
        <v>22.3</v>
      </c>
      <c r="T305" s="3"/>
      <c r="U305" s="3">
        <v>25.9</v>
      </c>
      <c r="V305" s="3"/>
      <c r="W305" s="3">
        <v>30.9</v>
      </c>
      <c r="X305" s="3"/>
      <c r="Y305" s="3">
        <v>32.700000000000003</v>
      </c>
      <c r="Z305" s="3"/>
      <c r="AA305" s="3">
        <v>29.8</v>
      </c>
      <c r="AB305" s="3"/>
      <c r="AC305" s="3">
        <v>35.26</v>
      </c>
      <c r="AD305" s="3"/>
      <c r="AE305" s="3">
        <v>41.94</v>
      </c>
      <c r="AF305" s="3"/>
      <c r="AG305" s="3">
        <v>45.31</v>
      </c>
      <c r="AH305" s="3"/>
    </row>
    <row r="306" spans="1:34">
      <c r="A306" t="s">
        <v>487</v>
      </c>
      <c r="B306" t="s">
        <v>488</v>
      </c>
      <c r="C306" s="3">
        <v>13.2</v>
      </c>
      <c r="D306" s="3"/>
      <c r="E306" s="3">
        <v>8.3000000000000007</v>
      </c>
      <c r="F306" s="3"/>
      <c r="G306" s="3">
        <v>9.5</v>
      </c>
      <c r="H306" s="3"/>
      <c r="I306" s="3">
        <v>12.6</v>
      </c>
      <c r="J306" s="3"/>
      <c r="K306" s="3">
        <v>15.3</v>
      </c>
      <c r="L306" s="3"/>
      <c r="M306" s="3">
        <v>16.7</v>
      </c>
      <c r="N306" s="3"/>
      <c r="O306" s="3">
        <v>18.7</v>
      </c>
      <c r="P306" s="3"/>
      <c r="Q306" s="3">
        <v>20.6</v>
      </c>
      <c r="R306" s="3"/>
      <c r="S306" s="3">
        <v>22.3</v>
      </c>
      <c r="T306" s="3"/>
      <c r="U306" s="3">
        <v>25.9</v>
      </c>
      <c r="V306" s="3"/>
      <c r="W306" s="3">
        <v>30.9</v>
      </c>
      <c r="X306" s="3"/>
      <c r="Y306" s="3">
        <v>32.700000000000003</v>
      </c>
      <c r="Z306" s="3"/>
      <c r="AA306" s="3">
        <v>29.8</v>
      </c>
      <c r="AB306" s="3"/>
      <c r="AC306" s="3">
        <v>35.26</v>
      </c>
      <c r="AD306" s="3"/>
      <c r="AE306" s="3">
        <v>41.94</v>
      </c>
      <c r="AF306" s="3"/>
      <c r="AG306" s="3" t="s">
        <v>43</v>
      </c>
      <c r="AH306" s="3"/>
    </row>
    <row r="307" spans="1:34">
      <c r="A307" t="s">
        <v>489</v>
      </c>
      <c r="B307" t="s">
        <v>488</v>
      </c>
      <c r="C307" s="3">
        <v>13.2</v>
      </c>
      <c r="D307" s="3"/>
      <c r="E307" s="3">
        <v>8.3000000000000007</v>
      </c>
      <c r="F307" s="3"/>
      <c r="G307" s="3">
        <v>9.5</v>
      </c>
      <c r="H307" s="3"/>
      <c r="I307" s="3">
        <v>12.6</v>
      </c>
      <c r="J307" s="3"/>
      <c r="K307" s="3">
        <v>15.3</v>
      </c>
      <c r="L307" s="3"/>
      <c r="M307" s="3">
        <v>16.7</v>
      </c>
      <c r="N307" s="3"/>
      <c r="O307" s="3">
        <v>18.7</v>
      </c>
      <c r="P307" s="3"/>
      <c r="Q307" s="3">
        <v>20.6</v>
      </c>
      <c r="R307" s="3"/>
      <c r="S307" s="3">
        <v>22.3</v>
      </c>
      <c r="T307" s="3"/>
      <c r="U307" s="3">
        <v>25.9</v>
      </c>
      <c r="V307" s="3"/>
      <c r="W307" s="3">
        <v>30.9</v>
      </c>
      <c r="X307" s="3"/>
      <c r="Y307" s="3">
        <v>32.700000000000003</v>
      </c>
      <c r="Z307" s="3"/>
      <c r="AA307" s="3">
        <v>29.8</v>
      </c>
      <c r="AB307" s="3"/>
      <c r="AC307" s="3">
        <v>35.26</v>
      </c>
      <c r="AD307" s="3"/>
      <c r="AE307" s="3">
        <v>41.94</v>
      </c>
      <c r="AF307" s="3"/>
      <c r="AG307" s="3" t="s">
        <v>43</v>
      </c>
      <c r="AH307" s="3"/>
    </row>
    <row r="308" spans="1:34">
      <c r="A308" t="s">
        <v>990</v>
      </c>
      <c r="B308" t="s">
        <v>68</v>
      </c>
      <c r="C308" s="3" t="s">
        <v>43</v>
      </c>
      <c r="D308" s="3"/>
      <c r="E308" s="3">
        <v>0</v>
      </c>
      <c r="F308" s="3"/>
      <c r="G308" s="3">
        <v>0</v>
      </c>
      <c r="H308" s="3"/>
      <c r="I308" s="3">
        <v>0</v>
      </c>
      <c r="J308" s="3"/>
      <c r="K308" s="3" t="s">
        <v>43</v>
      </c>
      <c r="L308" s="3"/>
      <c r="M308" s="3" t="s">
        <v>43</v>
      </c>
      <c r="N308" s="3"/>
      <c r="O308" s="3" t="s">
        <v>43</v>
      </c>
      <c r="P308" s="3"/>
      <c r="Q308" s="3" t="s">
        <v>43</v>
      </c>
      <c r="R308" s="3"/>
      <c r="S308" s="3">
        <v>0</v>
      </c>
      <c r="T308" s="3"/>
      <c r="U308" s="3" t="s">
        <v>43</v>
      </c>
      <c r="V308" s="3"/>
      <c r="W308" s="3">
        <v>0</v>
      </c>
      <c r="X308" s="3"/>
      <c r="Y308" s="3" t="s">
        <v>43</v>
      </c>
      <c r="Z308" s="3"/>
      <c r="AA308" s="3" t="s">
        <v>43</v>
      </c>
      <c r="AB308" s="3"/>
      <c r="AC308" s="3"/>
      <c r="AD308" s="3"/>
      <c r="AE308" s="3"/>
      <c r="AF308" s="3"/>
      <c r="AG308" s="3"/>
      <c r="AH308" s="3"/>
    </row>
    <row r="309" spans="1:34">
      <c r="A309" t="s">
        <v>991</v>
      </c>
      <c r="B309" t="s">
        <v>70</v>
      </c>
      <c r="C309" s="3" t="s">
        <v>43</v>
      </c>
      <c r="D309" s="3"/>
      <c r="E309" s="3">
        <v>0</v>
      </c>
      <c r="F309" s="3"/>
      <c r="G309" s="3">
        <v>0</v>
      </c>
      <c r="H309" s="3"/>
      <c r="I309" s="3">
        <v>0</v>
      </c>
      <c r="J309" s="3"/>
      <c r="K309" s="3" t="s">
        <v>43</v>
      </c>
      <c r="L309" s="3"/>
      <c r="M309" s="3" t="s">
        <v>43</v>
      </c>
      <c r="N309" s="3"/>
      <c r="O309" s="3" t="s">
        <v>43</v>
      </c>
      <c r="P309" s="3"/>
      <c r="Q309" s="3" t="s">
        <v>43</v>
      </c>
      <c r="R309" s="3"/>
      <c r="S309" s="3">
        <v>0</v>
      </c>
      <c r="T309" s="3"/>
      <c r="U309" s="3" t="s">
        <v>43</v>
      </c>
      <c r="V309" s="3"/>
      <c r="W309" s="3">
        <v>0</v>
      </c>
      <c r="X309" s="3"/>
      <c r="Y309" s="3" t="s">
        <v>43</v>
      </c>
      <c r="Z309" s="3"/>
      <c r="AA309" s="3" t="s">
        <v>43</v>
      </c>
      <c r="AB309" s="3"/>
      <c r="AC309" s="3"/>
      <c r="AD309" s="3"/>
      <c r="AE309" s="3"/>
      <c r="AF309" s="3"/>
      <c r="AG309" s="3"/>
      <c r="AH309" s="3"/>
    </row>
    <row r="310" spans="1:34">
      <c r="A310" t="s">
        <v>490</v>
      </c>
      <c r="B310" t="s">
        <v>491</v>
      </c>
      <c r="C310" s="3">
        <v>22.7</v>
      </c>
      <c r="D310" s="3"/>
      <c r="E310" s="3">
        <v>11.6</v>
      </c>
      <c r="F310" s="3"/>
      <c r="G310" s="3">
        <v>9.3000000000000007</v>
      </c>
      <c r="H310" s="3"/>
      <c r="I310" s="3">
        <v>11.3</v>
      </c>
      <c r="J310" s="3"/>
      <c r="K310" s="3">
        <v>14.8</v>
      </c>
      <c r="L310" s="3"/>
      <c r="M310" s="3">
        <v>15.6</v>
      </c>
      <c r="N310" s="3"/>
      <c r="O310" s="3">
        <v>27.9</v>
      </c>
      <c r="P310" s="3"/>
      <c r="Q310" s="3">
        <v>38.4</v>
      </c>
      <c r="R310" s="3"/>
      <c r="S310" s="3">
        <v>47.1</v>
      </c>
      <c r="T310" s="3"/>
      <c r="U310" s="3">
        <v>56.7</v>
      </c>
      <c r="V310" s="3"/>
      <c r="W310" s="3">
        <v>72.099999999999994</v>
      </c>
      <c r="X310" s="3" t="s">
        <v>334</v>
      </c>
      <c r="Y310" s="3">
        <v>101.1</v>
      </c>
      <c r="Z310" s="3"/>
      <c r="AA310" s="3">
        <v>92.7</v>
      </c>
      <c r="AB310" s="3"/>
      <c r="AC310" s="3">
        <v>102.62</v>
      </c>
      <c r="AD310" s="3"/>
      <c r="AE310" s="3">
        <v>134.13</v>
      </c>
      <c r="AF310" s="3"/>
      <c r="AG310" s="3">
        <v>164.64</v>
      </c>
      <c r="AH310" s="3"/>
    </row>
    <row r="311" spans="1:34">
      <c r="A311" t="s">
        <v>492</v>
      </c>
      <c r="B311" t="s">
        <v>493</v>
      </c>
      <c r="C311" s="3">
        <v>22.7</v>
      </c>
      <c r="D311" s="3"/>
      <c r="E311" s="3">
        <v>11.6</v>
      </c>
      <c r="F311" s="3"/>
      <c r="G311" s="3">
        <v>9.3000000000000007</v>
      </c>
      <c r="H311" s="3"/>
      <c r="I311" s="3">
        <v>11.3</v>
      </c>
      <c r="J311" s="3"/>
      <c r="K311" s="3">
        <v>14.8</v>
      </c>
      <c r="L311" s="3"/>
      <c r="M311" s="3">
        <v>15.6</v>
      </c>
      <c r="N311" s="3"/>
      <c r="O311" s="3">
        <v>27.9</v>
      </c>
      <c r="P311" s="3"/>
      <c r="Q311" s="3">
        <v>38.4</v>
      </c>
      <c r="R311" s="3"/>
      <c r="S311" s="3">
        <v>47.1</v>
      </c>
      <c r="T311" s="3"/>
      <c r="U311" s="3">
        <v>56.7</v>
      </c>
      <c r="V311" s="3"/>
      <c r="W311" s="3">
        <v>72.099999999999994</v>
      </c>
      <c r="X311" s="3" t="s">
        <v>334</v>
      </c>
      <c r="Y311" s="3">
        <v>101.1</v>
      </c>
      <c r="Z311" s="3"/>
      <c r="AA311" s="3">
        <v>92.7</v>
      </c>
      <c r="AB311" s="3"/>
      <c r="AC311" s="3">
        <v>102.62</v>
      </c>
      <c r="AD311" s="3"/>
      <c r="AE311" s="3">
        <v>134.13</v>
      </c>
      <c r="AF311" s="3"/>
      <c r="AG311" s="3">
        <v>164.64</v>
      </c>
      <c r="AH311" s="3"/>
    </row>
    <row r="312" spans="1:34">
      <c r="A312" t="s">
        <v>494</v>
      </c>
      <c r="B312" t="s">
        <v>495</v>
      </c>
      <c r="C312" s="3" t="s">
        <v>43</v>
      </c>
      <c r="D312" s="3"/>
      <c r="E312" s="3" t="s">
        <v>43</v>
      </c>
      <c r="F312" s="3"/>
      <c r="G312" s="3" t="s">
        <v>43</v>
      </c>
      <c r="H312" s="3"/>
      <c r="I312" s="3" t="s">
        <v>43</v>
      </c>
      <c r="J312" s="3"/>
      <c r="K312" s="3" t="s">
        <v>43</v>
      </c>
      <c r="L312" s="3"/>
      <c r="M312" s="3" t="s">
        <v>43</v>
      </c>
      <c r="N312" s="3"/>
      <c r="O312" s="3" t="s">
        <v>43</v>
      </c>
      <c r="P312" s="3"/>
      <c r="Q312" s="3" t="s">
        <v>43</v>
      </c>
      <c r="R312" s="3"/>
      <c r="S312" s="3">
        <v>5.3</v>
      </c>
      <c r="T312" s="3"/>
      <c r="U312" s="3">
        <v>5.5</v>
      </c>
      <c r="V312" s="3"/>
      <c r="W312" s="3">
        <v>8.1999999999999993</v>
      </c>
      <c r="X312" s="3" t="s">
        <v>334</v>
      </c>
      <c r="Y312" s="3">
        <v>9.1999999999999993</v>
      </c>
      <c r="Z312" s="3"/>
      <c r="AA312" s="3">
        <v>8.8000000000000007</v>
      </c>
      <c r="AB312" s="3"/>
      <c r="AC312" s="3">
        <v>8.51</v>
      </c>
      <c r="AD312" s="3"/>
      <c r="AE312" s="3">
        <v>10.47</v>
      </c>
      <c r="AF312" s="3"/>
      <c r="AG312" s="3">
        <v>13.46</v>
      </c>
      <c r="AH312" s="3"/>
    </row>
    <row r="313" spans="1:34">
      <c r="A313" t="s">
        <v>496</v>
      </c>
      <c r="B313" t="s">
        <v>497</v>
      </c>
      <c r="C313" s="3" t="s">
        <v>43</v>
      </c>
      <c r="D313" s="3"/>
      <c r="E313" s="3" t="s">
        <v>43</v>
      </c>
      <c r="F313" s="3"/>
      <c r="G313" s="3" t="s">
        <v>43</v>
      </c>
      <c r="H313" s="3"/>
      <c r="I313" s="3" t="s">
        <v>43</v>
      </c>
      <c r="J313" s="3"/>
      <c r="K313" s="3" t="s">
        <v>43</v>
      </c>
      <c r="L313" s="3"/>
      <c r="M313" s="3" t="s">
        <v>43</v>
      </c>
      <c r="N313" s="3"/>
      <c r="O313" s="3" t="s">
        <v>43</v>
      </c>
      <c r="P313" s="3"/>
      <c r="Q313" s="3" t="s">
        <v>43</v>
      </c>
      <c r="R313" s="3"/>
      <c r="S313" s="3">
        <v>41.8</v>
      </c>
      <c r="T313" s="3"/>
      <c r="U313" s="3">
        <v>51.2</v>
      </c>
      <c r="V313" s="3"/>
      <c r="W313" s="3">
        <v>63.8</v>
      </c>
      <c r="X313" s="3" t="s">
        <v>334</v>
      </c>
      <c r="Y313" s="3">
        <v>91.9</v>
      </c>
      <c r="Z313" s="3"/>
      <c r="AA313" s="3">
        <v>83.9</v>
      </c>
      <c r="AB313" s="3"/>
      <c r="AC313" s="3">
        <v>94.11</v>
      </c>
      <c r="AD313" s="3"/>
      <c r="AE313" s="3">
        <v>123.65</v>
      </c>
      <c r="AF313" s="3"/>
      <c r="AG313" s="3">
        <v>151.18</v>
      </c>
      <c r="AH313" s="3"/>
    </row>
    <row r="314" spans="1:34">
      <c r="A314" t="s">
        <v>992</v>
      </c>
      <c r="B314" t="s">
        <v>993</v>
      </c>
      <c r="C314" s="3">
        <v>22.7</v>
      </c>
      <c r="D314" s="3"/>
      <c r="E314" s="3">
        <v>11.6</v>
      </c>
      <c r="F314" s="3"/>
      <c r="G314" s="3">
        <v>9.3000000000000007</v>
      </c>
      <c r="H314" s="3"/>
      <c r="I314" s="3">
        <v>11.3</v>
      </c>
      <c r="J314" s="3"/>
      <c r="K314" s="3">
        <v>14.8</v>
      </c>
      <c r="L314" s="3"/>
      <c r="M314" s="3">
        <v>15.6</v>
      </c>
      <c r="N314" s="3"/>
      <c r="O314" s="3">
        <v>27.9</v>
      </c>
      <c r="P314" s="3"/>
      <c r="Q314" s="3">
        <v>38.4</v>
      </c>
      <c r="R314" s="3"/>
      <c r="S314" s="3" t="s">
        <v>43</v>
      </c>
      <c r="T314" s="3"/>
      <c r="U314" s="3" t="s">
        <v>43</v>
      </c>
      <c r="V314" s="3"/>
      <c r="W314" s="3" t="s">
        <v>43</v>
      </c>
      <c r="X314" s="3"/>
      <c r="Y314" s="3" t="s">
        <v>43</v>
      </c>
      <c r="Z314" s="3"/>
      <c r="AA314" s="3" t="s">
        <v>43</v>
      </c>
      <c r="AB314" s="3"/>
      <c r="AC314" s="3"/>
      <c r="AD314" s="3"/>
      <c r="AE314" s="3"/>
      <c r="AF314" s="3"/>
      <c r="AG314" s="3"/>
      <c r="AH314" s="3"/>
    </row>
    <row r="315" spans="1:34">
      <c r="A315" t="s">
        <v>498</v>
      </c>
      <c r="B315" t="s">
        <v>499</v>
      </c>
      <c r="C315" s="3" t="s">
        <v>43</v>
      </c>
      <c r="D315" s="3"/>
      <c r="E315" s="3" t="s">
        <v>43</v>
      </c>
      <c r="F315" s="3" t="s">
        <v>44</v>
      </c>
      <c r="G315" s="3" t="s">
        <v>43</v>
      </c>
      <c r="H315" s="3" t="s">
        <v>44</v>
      </c>
      <c r="I315" s="3" t="s">
        <v>43</v>
      </c>
      <c r="J315" s="3" t="s">
        <v>44</v>
      </c>
      <c r="K315" s="3" t="s">
        <v>43</v>
      </c>
      <c r="L315" s="3" t="s">
        <v>44</v>
      </c>
      <c r="M315" s="3" t="s">
        <v>43</v>
      </c>
      <c r="N315" s="3" t="s">
        <v>44</v>
      </c>
      <c r="O315" s="3" t="s">
        <v>43</v>
      </c>
      <c r="P315" s="3" t="s">
        <v>44</v>
      </c>
      <c r="Q315" s="3" t="s">
        <v>43</v>
      </c>
      <c r="R315" s="3" t="s">
        <v>44</v>
      </c>
      <c r="S315" s="3" t="s">
        <v>43</v>
      </c>
      <c r="T315" s="3" t="s">
        <v>44</v>
      </c>
      <c r="U315" s="3" t="s">
        <v>43</v>
      </c>
      <c r="V315" s="3" t="s">
        <v>44</v>
      </c>
      <c r="W315" s="3" t="s">
        <v>43</v>
      </c>
      <c r="X315" s="3" t="s">
        <v>44</v>
      </c>
      <c r="Y315" s="3" t="s">
        <v>43</v>
      </c>
      <c r="Z315" s="3" t="s">
        <v>44</v>
      </c>
      <c r="AA315" s="3" t="s">
        <v>43</v>
      </c>
      <c r="AB315" s="3" t="s">
        <v>44</v>
      </c>
      <c r="AC315" s="3" t="s">
        <v>43</v>
      </c>
      <c r="AD315" s="3" t="s">
        <v>44</v>
      </c>
      <c r="AE315" s="3" t="s">
        <v>43</v>
      </c>
      <c r="AF315" s="3" t="s">
        <v>44</v>
      </c>
      <c r="AG315" s="3" t="s">
        <v>43</v>
      </c>
      <c r="AH315" s="3" t="s">
        <v>44</v>
      </c>
    </row>
    <row r="316" spans="1:34">
      <c r="A316" t="s">
        <v>500</v>
      </c>
      <c r="B316" t="s">
        <v>499</v>
      </c>
      <c r="C316" s="3" t="s">
        <v>43</v>
      </c>
      <c r="D316" s="3"/>
      <c r="E316" s="3" t="s">
        <v>43</v>
      </c>
      <c r="F316" s="3" t="s">
        <v>44</v>
      </c>
      <c r="G316" s="3" t="s">
        <v>43</v>
      </c>
      <c r="H316" s="3" t="s">
        <v>44</v>
      </c>
      <c r="I316" s="3" t="s">
        <v>43</v>
      </c>
      <c r="J316" s="3" t="s">
        <v>44</v>
      </c>
      <c r="K316" s="3" t="s">
        <v>43</v>
      </c>
      <c r="L316" s="3" t="s">
        <v>44</v>
      </c>
      <c r="M316" s="3" t="s">
        <v>43</v>
      </c>
      <c r="N316" s="3" t="s">
        <v>44</v>
      </c>
      <c r="O316" s="3" t="s">
        <v>43</v>
      </c>
      <c r="P316" s="3" t="s">
        <v>44</v>
      </c>
      <c r="Q316" s="3" t="s">
        <v>43</v>
      </c>
      <c r="R316" s="3" t="s">
        <v>44</v>
      </c>
      <c r="S316" s="3" t="s">
        <v>43</v>
      </c>
      <c r="T316" s="3" t="s">
        <v>44</v>
      </c>
      <c r="U316" s="3" t="s">
        <v>43</v>
      </c>
      <c r="V316" s="3" t="s">
        <v>44</v>
      </c>
      <c r="W316" s="3" t="s">
        <v>43</v>
      </c>
      <c r="X316" s="3" t="s">
        <v>44</v>
      </c>
      <c r="Y316" s="3" t="s">
        <v>43</v>
      </c>
      <c r="Z316" s="3" t="s">
        <v>44</v>
      </c>
      <c r="AA316" s="3" t="s">
        <v>43</v>
      </c>
      <c r="AB316" s="3" t="s">
        <v>44</v>
      </c>
      <c r="AC316" s="3" t="s">
        <v>43</v>
      </c>
      <c r="AD316" s="3" t="s">
        <v>44</v>
      </c>
      <c r="AE316" s="3" t="s">
        <v>43</v>
      </c>
      <c r="AF316" s="3" t="s">
        <v>44</v>
      </c>
      <c r="AG316" s="3" t="s">
        <v>43</v>
      </c>
      <c r="AH316" s="3" t="s">
        <v>44</v>
      </c>
    </row>
    <row r="317" spans="1:34">
      <c r="A317" t="s">
        <v>501</v>
      </c>
      <c r="B317" t="s">
        <v>499</v>
      </c>
      <c r="C317" s="3" t="s">
        <v>43</v>
      </c>
      <c r="D317" s="3"/>
      <c r="E317" s="3" t="s">
        <v>43</v>
      </c>
      <c r="F317" s="3" t="s">
        <v>44</v>
      </c>
      <c r="G317" s="3" t="s">
        <v>43</v>
      </c>
      <c r="H317" s="3" t="s">
        <v>44</v>
      </c>
      <c r="I317" s="3" t="s">
        <v>43</v>
      </c>
      <c r="J317" s="3" t="s">
        <v>44</v>
      </c>
      <c r="K317" s="3" t="s">
        <v>43</v>
      </c>
      <c r="L317" s="3" t="s">
        <v>44</v>
      </c>
      <c r="M317" s="3" t="s">
        <v>43</v>
      </c>
      <c r="N317" s="3" t="s">
        <v>44</v>
      </c>
      <c r="O317" s="3" t="s">
        <v>43</v>
      </c>
      <c r="P317" s="3" t="s">
        <v>44</v>
      </c>
      <c r="Q317" s="3" t="s">
        <v>43</v>
      </c>
      <c r="R317" s="3" t="s">
        <v>44</v>
      </c>
      <c r="S317" s="3" t="s">
        <v>43</v>
      </c>
      <c r="T317" s="3" t="s">
        <v>44</v>
      </c>
      <c r="U317" s="3" t="s">
        <v>43</v>
      </c>
      <c r="V317" s="3" t="s">
        <v>44</v>
      </c>
      <c r="W317" s="3" t="s">
        <v>43</v>
      </c>
      <c r="X317" s="3" t="s">
        <v>44</v>
      </c>
      <c r="Y317" s="3" t="s">
        <v>43</v>
      </c>
      <c r="Z317" s="3" t="s">
        <v>44</v>
      </c>
      <c r="AA317" s="3" t="s">
        <v>43</v>
      </c>
      <c r="AB317" s="3" t="s">
        <v>44</v>
      </c>
      <c r="AC317" s="3" t="s">
        <v>43</v>
      </c>
      <c r="AD317" s="3" t="s">
        <v>44</v>
      </c>
      <c r="AE317" s="3" t="s">
        <v>43</v>
      </c>
      <c r="AF317" s="3" t="s">
        <v>44</v>
      </c>
      <c r="AG317" s="3" t="s">
        <v>43</v>
      </c>
      <c r="AH317" s="3" t="s">
        <v>44</v>
      </c>
    </row>
    <row r="318" spans="1:34">
      <c r="A318" t="s">
        <v>502</v>
      </c>
      <c r="B318" t="s">
        <v>503</v>
      </c>
      <c r="C318" s="3">
        <v>836.5</v>
      </c>
      <c r="D318" s="3"/>
      <c r="E318" s="3">
        <v>633.29999999999995</v>
      </c>
      <c r="F318" s="3"/>
      <c r="G318" s="3">
        <v>752.8</v>
      </c>
      <c r="H318" s="3"/>
      <c r="I318" s="3">
        <v>876.9</v>
      </c>
      <c r="J318" s="3"/>
      <c r="K318" s="3">
        <v>917.9</v>
      </c>
      <c r="L318" s="3"/>
      <c r="M318" s="3">
        <v>1004.2</v>
      </c>
      <c r="N318" s="3"/>
      <c r="O318" s="3">
        <v>1097.4000000000001</v>
      </c>
      <c r="P318" s="3"/>
      <c r="Q318" s="3">
        <v>1243.8</v>
      </c>
      <c r="R318" s="3"/>
      <c r="S318" s="3">
        <v>1367.4</v>
      </c>
      <c r="T318" s="3"/>
      <c r="U318" s="3">
        <v>1574.8</v>
      </c>
      <c r="V318" s="3"/>
      <c r="W318" s="3">
        <v>1800.5</v>
      </c>
      <c r="X318" s="3" t="s">
        <v>334</v>
      </c>
      <c r="Y318" s="3">
        <v>1976.8</v>
      </c>
      <c r="Z318" s="3"/>
      <c r="AA318" s="3">
        <v>1814.5</v>
      </c>
      <c r="AB318" s="3"/>
      <c r="AC318" s="3">
        <v>1921.66</v>
      </c>
      <c r="AD318" s="3"/>
      <c r="AE318" s="3">
        <v>2080.73</v>
      </c>
      <c r="AF318" s="3"/>
      <c r="AG318" s="3">
        <v>2753.88</v>
      </c>
      <c r="AH318" s="3"/>
    </row>
    <row r="319" spans="1:34">
      <c r="A319" t="s">
        <v>504</v>
      </c>
      <c r="B319" t="s">
        <v>505</v>
      </c>
      <c r="C319" s="3">
        <v>91.8</v>
      </c>
      <c r="D319" s="3"/>
      <c r="E319" s="3">
        <v>65.5</v>
      </c>
      <c r="F319" s="3"/>
      <c r="G319" s="3">
        <v>81.599999999999994</v>
      </c>
      <c r="H319" s="3"/>
      <c r="I319" s="3">
        <v>86.3</v>
      </c>
      <c r="J319" s="3"/>
      <c r="K319" s="3">
        <v>80.599999999999994</v>
      </c>
      <c r="L319" s="3"/>
      <c r="M319" s="3">
        <v>83.7</v>
      </c>
      <c r="N319" s="3"/>
      <c r="O319" s="3">
        <v>87.4</v>
      </c>
      <c r="P319" s="3"/>
      <c r="Q319" s="3">
        <v>89.6</v>
      </c>
      <c r="R319" s="3"/>
      <c r="S319" s="3">
        <v>115.8</v>
      </c>
      <c r="T319" s="3"/>
      <c r="U319" s="3">
        <v>137.5</v>
      </c>
      <c r="V319" s="3"/>
      <c r="W319" s="3">
        <v>165.6</v>
      </c>
      <c r="X319" s="3" t="s">
        <v>334</v>
      </c>
      <c r="Y319" s="3">
        <v>224.1</v>
      </c>
      <c r="Z319" s="3"/>
      <c r="AA319" s="3">
        <v>205.4</v>
      </c>
      <c r="AB319" s="3"/>
      <c r="AC319" s="3">
        <v>231.62</v>
      </c>
      <c r="AD319" s="3"/>
      <c r="AE319" s="3">
        <v>253.9</v>
      </c>
      <c r="AF319" s="3"/>
      <c r="AG319" s="3">
        <v>316.82</v>
      </c>
      <c r="AH319" s="3"/>
    </row>
    <row r="320" spans="1:34">
      <c r="A320" t="s">
        <v>506</v>
      </c>
      <c r="B320" t="s">
        <v>507</v>
      </c>
      <c r="C320" s="3" t="s">
        <v>43</v>
      </c>
      <c r="D320" s="3"/>
      <c r="E320" s="3" t="s">
        <v>43</v>
      </c>
      <c r="F320" s="3"/>
      <c r="G320" s="3" t="s">
        <v>43</v>
      </c>
      <c r="H320" s="3"/>
      <c r="I320" s="3" t="s">
        <v>43</v>
      </c>
      <c r="J320" s="3"/>
      <c r="K320" s="3" t="s">
        <v>43</v>
      </c>
      <c r="L320" s="3"/>
      <c r="M320" s="3" t="s">
        <v>43</v>
      </c>
      <c r="N320" s="3"/>
      <c r="O320" s="3" t="s">
        <v>43</v>
      </c>
      <c r="P320" s="3"/>
      <c r="Q320" s="3" t="s">
        <v>43</v>
      </c>
      <c r="R320" s="3"/>
      <c r="S320" s="3">
        <v>54.3</v>
      </c>
      <c r="T320" s="3"/>
      <c r="U320" s="3">
        <v>67.099999999999994</v>
      </c>
      <c r="V320" s="3"/>
      <c r="W320" s="3">
        <v>75.8</v>
      </c>
      <c r="X320" s="3" t="s">
        <v>334</v>
      </c>
      <c r="Y320" s="3">
        <v>99.9</v>
      </c>
      <c r="Z320" s="3"/>
      <c r="AA320" s="3">
        <v>63.6</v>
      </c>
      <c r="AB320" s="3"/>
      <c r="AC320" s="3">
        <v>106.04</v>
      </c>
      <c r="AD320" s="3"/>
      <c r="AE320" s="3">
        <v>120.05</v>
      </c>
      <c r="AF320" s="3"/>
      <c r="AG320" s="3">
        <v>187.63</v>
      </c>
      <c r="AH320" s="3"/>
    </row>
    <row r="321" spans="1:34">
      <c r="A321" t="s">
        <v>508</v>
      </c>
      <c r="B321" t="s">
        <v>509</v>
      </c>
      <c r="C321" s="3" t="s">
        <v>43</v>
      </c>
      <c r="D321" s="3"/>
      <c r="E321" s="3" t="s">
        <v>43</v>
      </c>
      <c r="F321" s="3"/>
      <c r="G321" s="3" t="s">
        <v>43</v>
      </c>
      <c r="H321" s="3"/>
      <c r="I321" s="3" t="s">
        <v>43</v>
      </c>
      <c r="J321" s="3"/>
      <c r="K321" s="3" t="s">
        <v>43</v>
      </c>
      <c r="L321" s="3"/>
      <c r="M321" s="3" t="s">
        <v>43</v>
      </c>
      <c r="N321" s="3"/>
      <c r="O321" s="3" t="s">
        <v>43</v>
      </c>
      <c r="P321" s="3"/>
      <c r="Q321" s="3" t="s">
        <v>43</v>
      </c>
      <c r="R321" s="3"/>
      <c r="S321" s="3">
        <v>61.5</v>
      </c>
      <c r="T321" s="3"/>
      <c r="U321" s="3">
        <v>70.5</v>
      </c>
      <c r="V321" s="3"/>
      <c r="W321" s="3">
        <v>89.7</v>
      </c>
      <c r="X321" s="3" t="s">
        <v>334</v>
      </c>
      <c r="Y321" s="3">
        <v>124.1</v>
      </c>
      <c r="Z321" s="3"/>
      <c r="AA321" s="3">
        <v>141.80000000000001</v>
      </c>
      <c r="AB321" s="3"/>
      <c r="AC321" s="3">
        <v>125.58</v>
      </c>
      <c r="AD321" s="3"/>
      <c r="AE321" s="3">
        <v>133.85</v>
      </c>
      <c r="AF321" s="3"/>
      <c r="AG321" s="3">
        <v>129.19</v>
      </c>
      <c r="AH321" s="3"/>
    </row>
    <row r="322" spans="1:34">
      <c r="A322" t="s">
        <v>994</v>
      </c>
      <c r="B322" t="s">
        <v>995</v>
      </c>
      <c r="C322" s="3">
        <v>91.8</v>
      </c>
      <c r="D322" s="3"/>
      <c r="E322" s="3">
        <v>65.5</v>
      </c>
      <c r="F322" s="3"/>
      <c r="G322" s="3">
        <v>81.599999999999994</v>
      </c>
      <c r="H322" s="3"/>
      <c r="I322" s="3">
        <v>86.3</v>
      </c>
      <c r="J322" s="3"/>
      <c r="K322" s="3">
        <v>80.599999999999994</v>
      </c>
      <c r="L322" s="3"/>
      <c r="M322" s="3">
        <v>83.7</v>
      </c>
      <c r="N322" s="3"/>
      <c r="O322" s="3">
        <v>87.4</v>
      </c>
      <c r="P322" s="3"/>
      <c r="Q322" s="3">
        <v>89.6</v>
      </c>
      <c r="R322" s="3"/>
      <c r="S322" s="3" t="s">
        <v>43</v>
      </c>
      <c r="T322" s="3"/>
      <c r="U322" s="3" t="s">
        <v>43</v>
      </c>
      <c r="V322" s="3"/>
      <c r="W322" s="3" t="s">
        <v>43</v>
      </c>
      <c r="X322" s="3"/>
      <c r="Y322" s="3" t="s">
        <v>43</v>
      </c>
      <c r="Z322" s="3"/>
      <c r="AA322" s="3" t="s">
        <v>43</v>
      </c>
      <c r="AB322" s="3"/>
      <c r="AC322" s="3"/>
      <c r="AD322" s="3"/>
      <c r="AE322" s="3"/>
      <c r="AF322" s="3"/>
      <c r="AG322" s="3"/>
      <c r="AH322" s="3"/>
    </row>
    <row r="323" spans="1:34">
      <c r="A323" t="s">
        <v>510</v>
      </c>
      <c r="B323" t="s">
        <v>511</v>
      </c>
      <c r="C323" s="3">
        <v>553</v>
      </c>
      <c r="D323" s="3"/>
      <c r="E323" s="3">
        <v>432</v>
      </c>
      <c r="F323" s="3"/>
      <c r="G323" s="3">
        <v>520.5</v>
      </c>
      <c r="H323" s="3"/>
      <c r="I323" s="3">
        <v>608.29999999999995</v>
      </c>
      <c r="J323" s="3"/>
      <c r="K323" s="3">
        <v>641.9</v>
      </c>
      <c r="L323" s="3"/>
      <c r="M323" s="3">
        <v>702.7</v>
      </c>
      <c r="N323" s="3"/>
      <c r="O323" s="3">
        <v>772</v>
      </c>
      <c r="P323" s="3"/>
      <c r="Q323" s="3">
        <v>880.5</v>
      </c>
      <c r="R323" s="3"/>
      <c r="S323" s="3">
        <v>953.1</v>
      </c>
      <c r="T323" s="3"/>
      <c r="U323" s="3">
        <v>1072.9000000000001</v>
      </c>
      <c r="V323" s="3"/>
      <c r="W323" s="3">
        <v>1201.7</v>
      </c>
      <c r="X323" s="3" t="s">
        <v>334</v>
      </c>
      <c r="Y323" s="3">
        <v>1282</v>
      </c>
      <c r="Z323" s="3"/>
      <c r="AA323" s="3">
        <v>1215.4000000000001</v>
      </c>
      <c r="AB323" s="3"/>
      <c r="AC323" s="3">
        <v>1253.98</v>
      </c>
      <c r="AD323" s="3"/>
      <c r="AE323" s="3">
        <v>1360.54</v>
      </c>
      <c r="AF323" s="3"/>
      <c r="AG323" s="3">
        <v>1821.1</v>
      </c>
      <c r="AH323" s="3"/>
    </row>
    <row r="324" spans="1:34">
      <c r="A324" t="s">
        <v>512</v>
      </c>
      <c r="B324" t="s">
        <v>513</v>
      </c>
      <c r="C324" s="3">
        <v>260.39999999999998</v>
      </c>
      <c r="D324" s="3"/>
      <c r="E324" s="3">
        <v>206.5</v>
      </c>
      <c r="F324" s="3"/>
      <c r="G324" s="3">
        <v>228.7</v>
      </c>
      <c r="H324" s="3"/>
      <c r="I324" s="3">
        <v>239.2</v>
      </c>
      <c r="J324" s="3"/>
      <c r="K324" s="3">
        <v>229.7</v>
      </c>
      <c r="L324" s="3"/>
      <c r="M324" s="3">
        <v>243.9</v>
      </c>
      <c r="N324" s="3"/>
      <c r="O324" s="3">
        <v>267</v>
      </c>
      <c r="P324" s="3"/>
      <c r="Q324" s="3">
        <v>312.10000000000002</v>
      </c>
      <c r="R324" s="3"/>
      <c r="S324" s="3">
        <v>356.8</v>
      </c>
      <c r="T324" s="3"/>
      <c r="U324" s="3">
        <v>428.3</v>
      </c>
      <c r="V324" s="3"/>
      <c r="W324" s="3">
        <v>461.5</v>
      </c>
      <c r="X324" s="3" t="s">
        <v>334</v>
      </c>
      <c r="Y324" s="3">
        <v>479.8</v>
      </c>
      <c r="Z324" s="3"/>
      <c r="AA324" s="3">
        <v>457.9</v>
      </c>
      <c r="AB324" s="3"/>
      <c r="AC324" s="3">
        <v>449.43</v>
      </c>
      <c r="AD324" s="3"/>
      <c r="AE324" s="3">
        <v>503.35</v>
      </c>
      <c r="AF324" s="3"/>
      <c r="AG324" s="3">
        <v>688.34</v>
      </c>
      <c r="AH324" s="3"/>
    </row>
    <row r="325" spans="1:34">
      <c r="A325" t="s">
        <v>514</v>
      </c>
      <c r="B325" t="s">
        <v>515</v>
      </c>
      <c r="C325" s="3">
        <v>278.39999999999998</v>
      </c>
      <c r="D325" s="3"/>
      <c r="E325" s="3">
        <v>214.7</v>
      </c>
      <c r="F325" s="3"/>
      <c r="G325" s="3">
        <v>277.7</v>
      </c>
      <c r="H325" s="3"/>
      <c r="I325" s="3">
        <v>353.8</v>
      </c>
      <c r="J325" s="3"/>
      <c r="K325" s="3">
        <v>394.7</v>
      </c>
      <c r="L325" s="3"/>
      <c r="M325" s="3">
        <v>440.7</v>
      </c>
      <c r="N325" s="3"/>
      <c r="O325" s="3">
        <v>484</v>
      </c>
      <c r="P325" s="3"/>
      <c r="Q325" s="3">
        <v>544.29999999999995</v>
      </c>
      <c r="R325" s="3"/>
      <c r="S325" s="3">
        <v>571.20000000000005</v>
      </c>
      <c r="T325" s="3"/>
      <c r="U325" s="3">
        <v>615.70000000000005</v>
      </c>
      <c r="V325" s="3"/>
      <c r="W325" s="3">
        <v>707.6</v>
      </c>
      <c r="X325" s="3" t="s">
        <v>334</v>
      </c>
      <c r="Y325" s="3">
        <v>766</v>
      </c>
      <c r="Z325" s="3"/>
      <c r="AA325" s="3">
        <v>733.5</v>
      </c>
      <c r="AB325" s="3"/>
      <c r="AC325" s="3">
        <v>774.32</v>
      </c>
      <c r="AD325" s="3"/>
      <c r="AE325" s="3">
        <v>827.14</v>
      </c>
      <c r="AF325" s="3"/>
      <c r="AG325" s="3">
        <v>1080.68</v>
      </c>
      <c r="AH325" s="3"/>
    </row>
    <row r="326" spans="1:34">
      <c r="A326" t="s">
        <v>516</v>
      </c>
      <c r="B326" t="s">
        <v>517</v>
      </c>
      <c r="C326" s="3">
        <v>14.2</v>
      </c>
      <c r="D326" s="3"/>
      <c r="E326" s="3">
        <v>10.8</v>
      </c>
      <c r="F326" s="3"/>
      <c r="G326" s="3">
        <v>14.1</v>
      </c>
      <c r="H326" s="3"/>
      <c r="I326" s="3">
        <v>15.4</v>
      </c>
      <c r="J326" s="3"/>
      <c r="K326" s="3">
        <v>17.600000000000001</v>
      </c>
      <c r="L326" s="3"/>
      <c r="M326" s="3">
        <v>18.100000000000001</v>
      </c>
      <c r="N326" s="3"/>
      <c r="O326" s="3">
        <v>20.9</v>
      </c>
      <c r="P326" s="3"/>
      <c r="Q326" s="3">
        <v>24.1</v>
      </c>
      <c r="R326" s="3"/>
      <c r="S326" s="3">
        <v>25.1</v>
      </c>
      <c r="T326" s="3"/>
      <c r="U326" s="3">
        <v>29</v>
      </c>
      <c r="V326" s="3"/>
      <c r="W326" s="3">
        <v>32.6</v>
      </c>
      <c r="X326" s="3" t="s">
        <v>334</v>
      </c>
      <c r="Y326" s="3">
        <v>36.299999999999997</v>
      </c>
      <c r="Z326" s="3"/>
      <c r="AA326" s="3">
        <v>24</v>
      </c>
      <c r="AB326" s="3"/>
      <c r="AC326" s="3">
        <v>30.23</v>
      </c>
      <c r="AD326" s="3"/>
      <c r="AE326" s="3">
        <v>30.05</v>
      </c>
      <c r="AF326" s="3"/>
      <c r="AG326" s="3">
        <v>52.08</v>
      </c>
      <c r="AH326" s="3"/>
    </row>
    <row r="327" spans="1:34">
      <c r="A327" t="s">
        <v>518</v>
      </c>
      <c r="B327" t="s">
        <v>519</v>
      </c>
      <c r="C327" s="3">
        <v>191.7</v>
      </c>
      <c r="D327" s="3"/>
      <c r="E327" s="3">
        <v>135.69999999999999</v>
      </c>
      <c r="F327" s="3"/>
      <c r="G327" s="3">
        <v>150.69999999999999</v>
      </c>
      <c r="H327" s="3"/>
      <c r="I327" s="3">
        <v>182.2</v>
      </c>
      <c r="J327" s="3"/>
      <c r="K327" s="3">
        <v>195.4</v>
      </c>
      <c r="L327" s="3"/>
      <c r="M327" s="3">
        <v>217.9</v>
      </c>
      <c r="N327" s="3"/>
      <c r="O327" s="3">
        <v>238</v>
      </c>
      <c r="P327" s="3"/>
      <c r="Q327" s="3">
        <v>273.7</v>
      </c>
      <c r="R327" s="3"/>
      <c r="S327" s="3">
        <v>298.5</v>
      </c>
      <c r="T327" s="3"/>
      <c r="U327" s="3">
        <v>364.4</v>
      </c>
      <c r="V327" s="3"/>
      <c r="W327" s="3">
        <v>433.2</v>
      </c>
      <c r="X327" s="3" t="s">
        <v>334</v>
      </c>
      <c r="Y327" s="3">
        <v>470.7</v>
      </c>
      <c r="Z327" s="3"/>
      <c r="AA327" s="3">
        <v>393.6</v>
      </c>
      <c r="AB327" s="3"/>
      <c r="AC327" s="3">
        <v>436.05</v>
      </c>
      <c r="AD327" s="3"/>
      <c r="AE327" s="3">
        <v>466.29</v>
      </c>
      <c r="AF327" s="3"/>
      <c r="AG327" s="3">
        <v>615.96</v>
      </c>
      <c r="AH327" s="3"/>
    </row>
    <row r="328" spans="1:34">
      <c r="A328" t="s">
        <v>520</v>
      </c>
      <c r="B328" t="s">
        <v>521</v>
      </c>
      <c r="C328" s="3">
        <v>123.6</v>
      </c>
      <c r="D328" s="3"/>
      <c r="E328" s="3">
        <v>86.9</v>
      </c>
      <c r="F328" s="3"/>
      <c r="G328" s="3">
        <v>87.9</v>
      </c>
      <c r="H328" s="3"/>
      <c r="I328" s="3">
        <v>114.1</v>
      </c>
      <c r="J328" s="3"/>
      <c r="K328" s="3">
        <v>108</v>
      </c>
      <c r="L328" s="3"/>
      <c r="M328" s="3">
        <v>119.5</v>
      </c>
      <c r="N328" s="3"/>
      <c r="O328" s="3">
        <v>125.3</v>
      </c>
      <c r="P328" s="3"/>
      <c r="Q328" s="3">
        <v>147.80000000000001</v>
      </c>
      <c r="R328" s="3"/>
      <c r="S328" s="3">
        <v>165.5</v>
      </c>
      <c r="T328" s="3"/>
      <c r="U328" s="3">
        <v>200.6</v>
      </c>
      <c r="V328" s="3"/>
      <c r="W328" s="3">
        <v>232.3</v>
      </c>
      <c r="X328" s="3" t="s">
        <v>334</v>
      </c>
      <c r="Y328" s="3">
        <v>232.6</v>
      </c>
      <c r="Z328" s="3"/>
      <c r="AA328" s="3">
        <v>198.7</v>
      </c>
      <c r="AB328" s="3"/>
      <c r="AC328" s="3">
        <v>180.2</v>
      </c>
      <c r="AD328" s="3"/>
      <c r="AE328" s="3">
        <v>186.28</v>
      </c>
      <c r="AF328" s="3"/>
      <c r="AG328" s="3">
        <v>231.28</v>
      </c>
      <c r="AH328" s="3"/>
    </row>
    <row r="329" spans="1:34">
      <c r="A329" t="s">
        <v>522</v>
      </c>
      <c r="B329" t="s">
        <v>523</v>
      </c>
      <c r="C329" s="3">
        <v>20.9</v>
      </c>
      <c r="D329" s="3"/>
      <c r="E329" s="3">
        <v>15.9</v>
      </c>
      <c r="F329" s="3"/>
      <c r="G329" s="3">
        <v>21.5</v>
      </c>
      <c r="H329" s="3"/>
      <c r="I329" s="3">
        <v>21.8</v>
      </c>
      <c r="J329" s="3"/>
      <c r="K329" s="3">
        <v>19.5</v>
      </c>
      <c r="L329" s="3"/>
      <c r="M329" s="3">
        <v>19.8</v>
      </c>
      <c r="N329" s="3"/>
      <c r="O329" s="3">
        <v>17.8</v>
      </c>
      <c r="P329" s="3"/>
      <c r="Q329" s="3">
        <v>16.5</v>
      </c>
      <c r="R329" s="3"/>
      <c r="S329" s="3">
        <v>17.600000000000001</v>
      </c>
      <c r="T329" s="3"/>
      <c r="U329" s="3">
        <v>25.6</v>
      </c>
      <c r="V329" s="3"/>
      <c r="W329" s="3">
        <v>33.4</v>
      </c>
      <c r="X329" s="3" t="s">
        <v>334</v>
      </c>
      <c r="Y329" s="3">
        <v>51.3</v>
      </c>
      <c r="Z329" s="3"/>
      <c r="AA329" s="3">
        <v>31</v>
      </c>
      <c r="AB329" s="3"/>
      <c r="AC329" s="3">
        <v>63.88</v>
      </c>
      <c r="AD329" s="3"/>
      <c r="AE329" s="3">
        <v>71.02</v>
      </c>
      <c r="AF329" s="3"/>
      <c r="AG329" s="3">
        <v>128.65</v>
      </c>
      <c r="AH329" s="3"/>
    </row>
    <row r="330" spans="1:34">
      <c r="A330" t="s">
        <v>524</v>
      </c>
      <c r="B330" t="s">
        <v>525</v>
      </c>
      <c r="C330" s="3">
        <v>47.2</v>
      </c>
      <c r="D330" s="3"/>
      <c r="E330" s="3">
        <v>32.9</v>
      </c>
      <c r="F330" s="3"/>
      <c r="G330" s="3">
        <v>41.3</v>
      </c>
      <c r="H330" s="3"/>
      <c r="I330" s="3">
        <v>46.4</v>
      </c>
      <c r="J330" s="3"/>
      <c r="K330" s="3">
        <v>67.900000000000006</v>
      </c>
      <c r="L330" s="3"/>
      <c r="M330" s="3">
        <v>78.599999999999994</v>
      </c>
      <c r="N330" s="3"/>
      <c r="O330" s="3">
        <v>94.9</v>
      </c>
      <c r="P330" s="3"/>
      <c r="Q330" s="3">
        <v>109.4</v>
      </c>
      <c r="R330" s="3"/>
      <c r="S330" s="3">
        <v>115.4</v>
      </c>
      <c r="T330" s="3"/>
      <c r="U330" s="3">
        <v>138.1</v>
      </c>
      <c r="V330" s="3"/>
      <c r="W330" s="3">
        <v>167.5</v>
      </c>
      <c r="X330" s="3" t="s">
        <v>334</v>
      </c>
      <c r="Y330" s="3">
        <v>186.9</v>
      </c>
      <c r="Z330" s="3"/>
      <c r="AA330" s="3">
        <v>164</v>
      </c>
      <c r="AB330" s="3"/>
      <c r="AC330" s="3">
        <v>191.97</v>
      </c>
      <c r="AD330" s="3"/>
      <c r="AE330" s="3">
        <v>208.99</v>
      </c>
      <c r="AF330" s="3"/>
      <c r="AG330" s="3">
        <v>256.02999999999997</v>
      </c>
      <c r="AH330" s="3"/>
    </row>
    <row r="331" spans="1:34">
      <c r="A331" t="s">
        <v>526</v>
      </c>
      <c r="B331" t="s">
        <v>527</v>
      </c>
      <c r="C331" s="3" t="s">
        <v>43</v>
      </c>
      <c r="D331" s="3" t="s">
        <v>44</v>
      </c>
      <c r="E331" s="3" t="s">
        <v>43</v>
      </c>
      <c r="F331" s="3" t="s">
        <v>44</v>
      </c>
      <c r="G331" s="3" t="s">
        <v>43</v>
      </c>
      <c r="H331" s="3" t="s">
        <v>44</v>
      </c>
      <c r="I331" s="3" t="s">
        <v>43</v>
      </c>
      <c r="J331" s="3" t="s">
        <v>44</v>
      </c>
      <c r="K331" s="3" t="s">
        <v>43</v>
      </c>
      <c r="L331" s="3" t="s">
        <v>44</v>
      </c>
      <c r="M331" s="3" t="s">
        <v>43</v>
      </c>
      <c r="N331" s="3" t="s">
        <v>44</v>
      </c>
      <c r="O331" s="3" t="s">
        <v>43</v>
      </c>
      <c r="P331" s="3" t="s">
        <v>44</v>
      </c>
      <c r="Q331" s="3" t="s">
        <v>43</v>
      </c>
      <c r="R331" s="3" t="s">
        <v>44</v>
      </c>
      <c r="S331" s="3" t="s">
        <v>43</v>
      </c>
      <c r="T331" s="3" t="s">
        <v>44</v>
      </c>
      <c r="U331" s="3">
        <v>27</v>
      </c>
      <c r="V331" s="3"/>
      <c r="W331" s="3">
        <v>30.1</v>
      </c>
      <c r="X331" s="3"/>
      <c r="Y331" s="3" t="s">
        <v>43</v>
      </c>
      <c r="Z331" s="3" t="s">
        <v>44</v>
      </c>
      <c r="AA331" s="3" t="s">
        <v>43</v>
      </c>
      <c r="AB331" s="3" t="s">
        <v>44</v>
      </c>
      <c r="AC331" s="3">
        <v>31.38</v>
      </c>
      <c r="AD331" s="3"/>
      <c r="AE331" s="3" t="s">
        <v>43</v>
      </c>
      <c r="AF331" s="3" t="s">
        <v>44</v>
      </c>
      <c r="AG331" s="3" t="s">
        <v>43</v>
      </c>
      <c r="AH331" s="3" t="s">
        <v>44</v>
      </c>
    </row>
    <row r="332" spans="1:34">
      <c r="A332" t="s">
        <v>528</v>
      </c>
      <c r="B332" t="s">
        <v>527</v>
      </c>
      <c r="C332" s="3" t="s">
        <v>43</v>
      </c>
      <c r="D332" s="3" t="s">
        <v>44</v>
      </c>
      <c r="E332" s="3" t="s">
        <v>43</v>
      </c>
      <c r="F332" s="3" t="s">
        <v>44</v>
      </c>
      <c r="G332" s="3" t="s">
        <v>43</v>
      </c>
      <c r="H332" s="3" t="s">
        <v>44</v>
      </c>
      <c r="I332" s="3" t="s">
        <v>43</v>
      </c>
      <c r="J332" s="3" t="s">
        <v>44</v>
      </c>
      <c r="K332" s="3" t="s">
        <v>43</v>
      </c>
      <c r="L332" s="3" t="s">
        <v>44</v>
      </c>
      <c r="M332" s="3" t="s">
        <v>43</v>
      </c>
      <c r="N332" s="3" t="s">
        <v>44</v>
      </c>
      <c r="O332" s="3" t="s">
        <v>43</v>
      </c>
      <c r="P332" s="3" t="s">
        <v>44</v>
      </c>
      <c r="Q332" s="3" t="s">
        <v>43</v>
      </c>
      <c r="R332" s="3" t="s">
        <v>44</v>
      </c>
      <c r="S332" s="3" t="s">
        <v>43</v>
      </c>
      <c r="T332" s="3" t="s">
        <v>44</v>
      </c>
      <c r="U332" s="3">
        <v>27</v>
      </c>
      <c r="V332" s="3"/>
      <c r="W332" s="3">
        <v>30.1</v>
      </c>
      <c r="X332" s="3"/>
      <c r="Y332" s="3" t="s">
        <v>43</v>
      </c>
      <c r="Z332" s="3" t="s">
        <v>44</v>
      </c>
      <c r="AA332" s="3" t="s">
        <v>43</v>
      </c>
      <c r="AB332" s="3" t="s">
        <v>44</v>
      </c>
      <c r="AC332" s="3">
        <v>31.38</v>
      </c>
      <c r="AD332" s="3"/>
      <c r="AE332" s="3" t="s">
        <v>43</v>
      </c>
      <c r="AF332" s="3" t="s">
        <v>44</v>
      </c>
      <c r="AG332" s="3" t="s">
        <v>43</v>
      </c>
      <c r="AH332" s="3" t="s">
        <v>44</v>
      </c>
    </row>
    <row r="333" spans="1:34">
      <c r="A333" t="s">
        <v>529</v>
      </c>
      <c r="B333" t="s">
        <v>527</v>
      </c>
      <c r="C333" s="3" t="s">
        <v>43</v>
      </c>
      <c r="D333" s="3" t="s">
        <v>44</v>
      </c>
      <c r="E333" s="3" t="s">
        <v>43</v>
      </c>
      <c r="F333" s="3" t="s">
        <v>44</v>
      </c>
      <c r="G333" s="3" t="s">
        <v>43</v>
      </c>
      <c r="H333" s="3" t="s">
        <v>44</v>
      </c>
      <c r="I333" s="3" t="s">
        <v>43</v>
      </c>
      <c r="J333" s="3" t="s">
        <v>44</v>
      </c>
      <c r="K333" s="3" t="s">
        <v>43</v>
      </c>
      <c r="L333" s="3" t="s">
        <v>44</v>
      </c>
      <c r="M333" s="3" t="s">
        <v>43</v>
      </c>
      <c r="N333" s="3" t="s">
        <v>44</v>
      </c>
      <c r="O333" s="3" t="s">
        <v>43</v>
      </c>
      <c r="P333" s="3" t="s">
        <v>44</v>
      </c>
      <c r="Q333" s="3" t="s">
        <v>43</v>
      </c>
      <c r="R333" s="3" t="s">
        <v>44</v>
      </c>
      <c r="S333" s="3" t="s">
        <v>43</v>
      </c>
      <c r="T333" s="3" t="s">
        <v>44</v>
      </c>
      <c r="U333" s="3">
        <v>27</v>
      </c>
      <c r="V333" s="3"/>
      <c r="W333" s="3">
        <v>30.1</v>
      </c>
      <c r="X333" s="3"/>
      <c r="Y333" s="3" t="s">
        <v>43</v>
      </c>
      <c r="Z333" s="3" t="s">
        <v>44</v>
      </c>
      <c r="AA333" s="3" t="s">
        <v>43</v>
      </c>
      <c r="AB333" s="3" t="s">
        <v>44</v>
      </c>
      <c r="AC333" s="3">
        <v>31.38</v>
      </c>
      <c r="AD333" s="3"/>
      <c r="AE333" s="3" t="s">
        <v>43</v>
      </c>
      <c r="AF333" s="3" t="s">
        <v>44</v>
      </c>
      <c r="AG333" s="3" t="s">
        <v>43</v>
      </c>
      <c r="AH333" s="3" t="s">
        <v>44</v>
      </c>
    </row>
    <row r="334" spans="1:34">
      <c r="A334" t="s">
        <v>530</v>
      </c>
      <c r="B334" t="s">
        <v>531</v>
      </c>
      <c r="C334" s="3" t="s">
        <v>43</v>
      </c>
      <c r="D334" s="3" t="s">
        <v>44</v>
      </c>
      <c r="E334" s="3">
        <v>745.1</v>
      </c>
      <c r="F334" s="3"/>
      <c r="G334" s="3">
        <v>763.9</v>
      </c>
      <c r="H334" s="3"/>
      <c r="I334" s="3">
        <v>801.7</v>
      </c>
      <c r="J334" s="3"/>
      <c r="K334" s="3">
        <v>891.3</v>
      </c>
      <c r="L334" s="3"/>
      <c r="M334" s="3">
        <v>812.8</v>
      </c>
      <c r="N334" s="3"/>
      <c r="O334" s="3">
        <v>827</v>
      </c>
      <c r="P334" s="3"/>
      <c r="Q334" s="3">
        <v>930.3</v>
      </c>
      <c r="R334" s="3"/>
      <c r="S334" s="3">
        <v>955.4</v>
      </c>
      <c r="T334" s="3"/>
      <c r="U334" s="3">
        <v>1032.0999999999999</v>
      </c>
      <c r="V334" s="3"/>
      <c r="W334" s="3">
        <v>1183.5</v>
      </c>
      <c r="X334" s="3"/>
      <c r="Y334" s="3">
        <v>1219.0999999999999</v>
      </c>
      <c r="Z334" s="3"/>
      <c r="AA334" s="3">
        <v>1350.8</v>
      </c>
      <c r="AB334" s="3"/>
      <c r="AC334" s="3">
        <v>1177.95</v>
      </c>
      <c r="AD334" s="3"/>
      <c r="AE334" s="3">
        <v>1243.6600000000001</v>
      </c>
      <c r="AF334" s="3"/>
      <c r="AG334" s="3">
        <v>1314.5</v>
      </c>
      <c r="AH334" s="3"/>
    </row>
    <row r="335" spans="1:34">
      <c r="A335" t="s">
        <v>532</v>
      </c>
      <c r="B335" t="s">
        <v>533</v>
      </c>
      <c r="C335" s="3" t="s">
        <v>43</v>
      </c>
      <c r="D335" s="3" t="s">
        <v>44</v>
      </c>
      <c r="E335" s="3">
        <v>87.8</v>
      </c>
      <c r="F335" s="3"/>
      <c r="G335" s="3">
        <v>50.7</v>
      </c>
      <c r="H335" s="3"/>
      <c r="I335" s="3">
        <v>43.9</v>
      </c>
      <c r="J335" s="3"/>
      <c r="K335" s="3">
        <v>46.7</v>
      </c>
      <c r="L335" s="3"/>
      <c r="M335" s="3" t="s">
        <v>43</v>
      </c>
      <c r="N335" s="3" t="s">
        <v>44</v>
      </c>
      <c r="O335" s="3">
        <v>43.9</v>
      </c>
      <c r="P335" s="3"/>
      <c r="Q335" s="3">
        <v>40.299999999999997</v>
      </c>
      <c r="R335" s="3"/>
      <c r="S335" s="3">
        <v>37.6</v>
      </c>
      <c r="T335" s="3"/>
      <c r="U335" s="3">
        <v>36.200000000000003</v>
      </c>
      <c r="V335" s="3"/>
      <c r="W335" s="3">
        <v>39.5</v>
      </c>
      <c r="X335" s="3"/>
      <c r="Y335" s="3">
        <v>41.1</v>
      </c>
      <c r="Z335" s="3"/>
      <c r="AA335" s="3">
        <v>49.7</v>
      </c>
      <c r="AB335" s="3"/>
      <c r="AC335" s="3">
        <v>42.06</v>
      </c>
      <c r="AD335" s="3"/>
      <c r="AE335" s="3">
        <v>36.840000000000003</v>
      </c>
      <c r="AF335" s="3"/>
      <c r="AG335" s="3">
        <v>40.26</v>
      </c>
      <c r="AH335" s="3"/>
    </row>
    <row r="336" spans="1:34">
      <c r="A336" t="s">
        <v>534</v>
      </c>
      <c r="B336" t="s">
        <v>535</v>
      </c>
      <c r="C336" s="3">
        <v>17.899999999999999</v>
      </c>
      <c r="D336" s="3"/>
      <c r="E336" s="3">
        <v>7.7</v>
      </c>
      <c r="F336" s="3"/>
      <c r="G336" s="3">
        <v>7.6</v>
      </c>
      <c r="H336" s="3"/>
      <c r="I336" s="3" t="s">
        <v>43</v>
      </c>
      <c r="J336" s="3" t="s">
        <v>44</v>
      </c>
      <c r="K336" s="3" t="s">
        <v>43</v>
      </c>
      <c r="L336" s="3" t="s">
        <v>44</v>
      </c>
      <c r="M336" s="3" t="s">
        <v>43</v>
      </c>
      <c r="N336" s="3" t="s">
        <v>44</v>
      </c>
      <c r="O336" s="3">
        <v>6.8</v>
      </c>
      <c r="P336" s="3"/>
      <c r="Q336" s="3">
        <v>7.7</v>
      </c>
      <c r="R336" s="3"/>
      <c r="S336" s="3" t="s">
        <v>43</v>
      </c>
      <c r="T336" s="3" t="s">
        <v>44</v>
      </c>
      <c r="U336" s="3">
        <v>6.8</v>
      </c>
      <c r="V336" s="3"/>
      <c r="W336" s="3">
        <v>4.5</v>
      </c>
      <c r="X336" s="3"/>
      <c r="Y336" s="3" t="s">
        <v>43</v>
      </c>
      <c r="Z336" s="3" t="s">
        <v>44</v>
      </c>
      <c r="AA336" s="3" t="s">
        <v>43</v>
      </c>
      <c r="AB336" s="3" t="s">
        <v>44</v>
      </c>
      <c r="AC336" s="3">
        <v>9.01</v>
      </c>
      <c r="AD336" s="3"/>
      <c r="AE336" s="3">
        <v>8.32</v>
      </c>
      <c r="AF336" s="3"/>
      <c r="AG336" s="3">
        <v>9.44</v>
      </c>
      <c r="AH336" s="3"/>
    </row>
    <row r="337" spans="1:34">
      <c r="A337" t="s">
        <v>536</v>
      </c>
      <c r="B337" t="s">
        <v>537</v>
      </c>
      <c r="C337" s="3">
        <v>23.5</v>
      </c>
      <c r="D337" s="3"/>
      <c r="E337" s="3">
        <v>18.899999999999999</v>
      </c>
      <c r="F337" s="3"/>
      <c r="G337" s="3">
        <v>17.100000000000001</v>
      </c>
      <c r="H337" s="3"/>
      <c r="I337" s="3">
        <v>17.3</v>
      </c>
      <c r="J337" s="3"/>
      <c r="K337" s="3">
        <v>18.7</v>
      </c>
      <c r="L337" s="3"/>
      <c r="M337" s="3" t="s">
        <v>43</v>
      </c>
      <c r="N337" s="3" t="s">
        <v>44</v>
      </c>
      <c r="O337" s="3">
        <v>17.3</v>
      </c>
      <c r="P337" s="3"/>
      <c r="Q337" s="3">
        <v>18</v>
      </c>
      <c r="R337" s="3"/>
      <c r="S337" s="3">
        <v>17.8</v>
      </c>
      <c r="T337" s="3"/>
      <c r="U337" s="3">
        <v>19.5</v>
      </c>
      <c r="V337" s="3"/>
      <c r="W337" s="3">
        <v>26.1</v>
      </c>
      <c r="X337" s="3"/>
      <c r="Y337" s="3">
        <v>23.9</v>
      </c>
      <c r="Z337" s="3"/>
      <c r="AA337" s="3">
        <v>29.2</v>
      </c>
      <c r="AB337" s="3"/>
      <c r="AC337" s="3">
        <v>25.14</v>
      </c>
      <c r="AD337" s="3"/>
      <c r="AE337" s="3">
        <v>21.25</v>
      </c>
      <c r="AF337" s="3"/>
      <c r="AG337" s="3">
        <v>22.79</v>
      </c>
      <c r="AH337" s="3"/>
    </row>
    <row r="338" spans="1:34">
      <c r="A338" t="s">
        <v>538</v>
      </c>
      <c r="B338" t="s">
        <v>539</v>
      </c>
      <c r="C338" s="3" t="s">
        <v>43</v>
      </c>
      <c r="D338" s="3" t="s">
        <v>44</v>
      </c>
      <c r="E338" s="3">
        <v>61.2</v>
      </c>
      <c r="F338" s="3"/>
      <c r="G338" s="3">
        <v>26</v>
      </c>
      <c r="H338" s="3"/>
      <c r="I338" s="3" t="s">
        <v>43</v>
      </c>
      <c r="J338" s="3" t="s">
        <v>44</v>
      </c>
      <c r="K338" s="3" t="s">
        <v>43</v>
      </c>
      <c r="L338" s="3" t="s">
        <v>44</v>
      </c>
      <c r="M338" s="3" t="s">
        <v>43</v>
      </c>
      <c r="N338" s="3" t="s">
        <v>44</v>
      </c>
      <c r="O338" s="3">
        <v>19.8</v>
      </c>
      <c r="P338" s="3"/>
      <c r="Q338" s="3">
        <v>14.5</v>
      </c>
      <c r="R338" s="3"/>
      <c r="S338" s="3" t="s">
        <v>43</v>
      </c>
      <c r="T338" s="3" t="s">
        <v>44</v>
      </c>
      <c r="U338" s="3">
        <v>9.8000000000000007</v>
      </c>
      <c r="V338" s="3"/>
      <c r="W338" s="3">
        <v>8.9</v>
      </c>
      <c r="X338" s="3"/>
      <c r="Y338" s="3" t="s">
        <v>43</v>
      </c>
      <c r="Z338" s="3" t="s">
        <v>44</v>
      </c>
      <c r="AA338" s="3" t="s">
        <v>43</v>
      </c>
      <c r="AB338" s="3" t="s">
        <v>44</v>
      </c>
      <c r="AC338" s="3">
        <v>7.91</v>
      </c>
      <c r="AD338" s="3"/>
      <c r="AE338" s="3">
        <v>7.26</v>
      </c>
      <c r="AF338" s="3"/>
      <c r="AG338" s="3">
        <v>8.0299999999999994</v>
      </c>
      <c r="AH338" s="3"/>
    </row>
    <row r="339" spans="1:34">
      <c r="A339" t="s">
        <v>540</v>
      </c>
      <c r="B339" t="s">
        <v>541</v>
      </c>
      <c r="C339" s="3" t="s">
        <v>43</v>
      </c>
      <c r="D339" s="3" t="s">
        <v>44</v>
      </c>
      <c r="E339" s="3">
        <v>124.6</v>
      </c>
      <c r="F339" s="3"/>
      <c r="G339" s="3">
        <v>141.9</v>
      </c>
      <c r="H339" s="3"/>
      <c r="I339" s="3">
        <v>143.80000000000001</v>
      </c>
      <c r="J339" s="3"/>
      <c r="K339" s="3">
        <v>145.30000000000001</v>
      </c>
      <c r="L339" s="3"/>
      <c r="M339" s="3">
        <v>143.19999999999999</v>
      </c>
      <c r="N339" s="3"/>
      <c r="O339" s="3">
        <v>153.5</v>
      </c>
      <c r="P339" s="3"/>
      <c r="Q339" s="3">
        <v>174.7</v>
      </c>
      <c r="R339" s="3"/>
      <c r="S339" s="3">
        <v>174.6</v>
      </c>
      <c r="T339" s="3"/>
      <c r="U339" s="3">
        <v>187</v>
      </c>
      <c r="V339" s="3"/>
      <c r="W339" s="3">
        <v>217.9</v>
      </c>
      <c r="X339" s="3"/>
      <c r="Y339" s="3" t="s">
        <v>43</v>
      </c>
      <c r="Z339" s="3" t="s">
        <v>44</v>
      </c>
      <c r="AA339" s="3" t="s">
        <v>43</v>
      </c>
      <c r="AB339" s="3" t="s">
        <v>44</v>
      </c>
      <c r="AC339" s="3">
        <v>237.49</v>
      </c>
      <c r="AD339" s="3"/>
      <c r="AE339" s="3">
        <v>261.12</v>
      </c>
      <c r="AF339" s="3"/>
      <c r="AG339" s="3">
        <v>276.05</v>
      </c>
      <c r="AH339" s="3"/>
    </row>
    <row r="340" spans="1:34">
      <c r="A340" t="s">
        <v>542</v>
      </c>
      <c r="B340" t="s">
        <v>543</v>
      </c>
      <c r="C340" s="3">
        <v>84.6</v>
      </c>
      <c r="D340" s="3"/>
      <c r="E340" s="3">
        <v>42.2</v>
      </c>
      <c r="F340" s="3"/>
      <c r="G340" s="3">
        <v>75.400000000000006</v>
      </c>
      <c r="H340" s="3"/>
      <c r="I340" s="3">
        <v>79.7</v>
      </c>
      <c r="J340" s="3"/>
      <c r="K340" s="3" t="s">
        <v>43</v>
      </c>
      <c r="L340" s="3" t="s">
        <v>44</v>
      </c>
      <c r="M340" s="3" t="s">
        <v>43</v>
      </c>
      <c r="N340" s="3" t="s">
        <v>44</v>
      </c>
      <c r="O340" s="3" t="s">
        <v>43</v>
      </c>
      <c r="P340" s="3" t="s">
        <v>44</v>
      </c>
      <c r="Q340" s="3">
        <v>107.3</v>
      </c>
      <c r="R340" s="3"/>
      <c r="S340" s="3" t="s">
        <v>43</v>
      </c>
      <c r="T340" s="3" t="s">
        <v>44</v>
      </c>
      <c r="U340" s="3">
        <v>116.4</v>
      </c>
      <c r="V340" s="3"/>
      <c r="W340" s="3">
        <v>123.6</v>
      </c>
      <c r="X340" s="3"/>
      <c r="Y340" s="3">
        <v>125.8</v>
      </c>
      <c r="Z340" s="3"/>
      <c r="AA340" s="3">
        <v>134.19999999999999</v>
      </c>
      <c r="AB340" s="3"/>
      <c r="AC340" s="3">
        <v>133.94</v>
      </c>
      <c r="AD340" s="3"/>
      <c r="AE340" s="3">
        <v>153.31</v>
      </c>
      <c r="AF340" s="3"/>
      <c r="AG340" s="3">
        <v>157.31</v>
      </c>
      <c r="AH340" s="3"/>
    </row>
    <row r="341" spans="1:34">
      <c r="A341" t="s">
        <v>544</v>
      </c>
      <c r="B341" t="s">
        <v>545</v>
      </c>
      <c r="C341" s="3" t="s">
        <v>43</v>
      </c>
      <c r="D341" s="3" t="s">
        <v>44</v>
      </c>
      <c r="E341" s="3">
        <v>61.3</v>
      </c>
      <c r="F341" s="3"/>
      <c r="G341" s="3">
        <v>50.4</v>
      </c>
      <c r="H341" s="3"/>
      <c r="I341" s="3">
        <v>47.9</v>
      </c>
      <c r="J341" s="3"/>
      <c r="K341" s="3">
        <v>46.2</v>
      </c>
      <c r="L341" s="3"/>
      <c r="M341" s="3">
        <v>41.9</v>
      </c>
      <c r="N341" s="3"/>
      <c r="O341" s="3">
        <v>47.6</v>
      </c>
      <c r="P341" s="3"/>
      <c r="Q341" s="3">
        <v>51.9</v>
      </c>
      <c r="R341" s="3"/>
      <c r="S341" s="3">
        <v>50.3</v>
      </c>
      <c r="T341" s="3"/>
      <c r="U341" s="3">
        <v>55.4</v>
      </c>
      <c r="V341" s="3"/>
      <c r="W341" s="3">
        <v>65.7</v>
      </c>
      <c r="X341" s="3"/>
      <c r="Y341" s="3">
        <v>63.2</v>
      </c>
      <c r="Z341" s="3"/>
      <c r="AA341" s="3">
        <v>68.900000000000006</v>
      </c>
      <c r="AB341" s="3"/>
      <c r="AC341" s="3">
        <v>62.93</v>
      </c>
      <c r="AD341" s="3"/>
      <c r="AE341" s="3">
        <v>69.38</v>
      </c>
      <c r="AF341" s="3"/>
      <c r="AG341" s="3">
        <v>78.86</v>
      </c>
      <c r="AH341" s="3"/>
    </row>
    <row r="342" spans="1:34">
      <c r="A342" t="s">
        <v>546</v>
      </c>
      <c r="B342" t="s">
        <v>547</v>
      </c>
      <c r="C342" s="3" t="s">
        <v>43</v>
      </c>
      <c r="D342" s="3" t="s">
        <v>44</v>
      </c>
      <c r="E342" s="3">
        <v>21.1</v>
      </c>
      <c r="F342" s="3"/>
      <c r="G342" s="3">
        <v>16.100000000000001</v>
      </c>
      <c r="H342" s="3"/>
      <c r="I342" s="3">
        <v>16.2</v>
      </c>
      <c r="J342" s="3"/>
      <c r="K342" s="3" t="s">
        <v>43</v>
      </c>
      <c r="L342" s="3" t="s">
        <v>44</v>
      </c>
      <c r="M342" s="3" t="s">
        <v>43</v>
      </c>
      <c r="N342" s="3" t="s">
        <v>44</v>
      </c>
      <c r="O342" s="3" t="s">
        <v>43</v>
      </c>
      <c r="P342" s="3" t="s">
        <v>44</v>
      </c>
      <c r="Q342" s="3">
        <v>15.5</v>
      </c>
      <c r="R342" s="3"/>
      <c r="S342" s="3" t="s">
        <v>43</v>
      </c>
      <c r="T342" s="3" t="s">
        <v>44</v>
      </c>
      <c r="U342" s="3">
        <v>15.3</v>
      </c>
      <c r="V342" s="3"/>
      <c r="W342" s="3">
        <v>28.5</v>
      </c>
      <c r="X342" s="3"/>
      <c r="Y342" s="3" t="s">
        <v>43</v>
      </c>
      <c r="Z342" s="3" t="s">
        <v>44</v>
      </c>
      <c r="AA342" s="3" t="s">
        <v>43</v>
      </c>
      <c r="AB342" s="3" t="s">
        <v>44</v>
      </c>
      <c r="AC342" s="3">
        <v>40.619999999999997</v>
      </c>
      <c r="AD342" s="3"/>
      <c r="AE342" s="3">
        <v>38.43</v>
      </c>
      <c r="AF342" s="3"/>
      <c r="AG342" s="3">
        <v>39.880000000000003</v>
      </c>
      <c r="AH342" s="3"/>
    </row>
    <row r="343" spans="1:34">
      <c r="A343" t="s">
        <v>548</v>
      </c>
      <c r="B343" t="s">
        <v>549</v>
      </c>
      <c r="C343" s="3" t="s">
        <v>43</v>
      </c>
      <c r="D343" s="3" t="s">
        <v>44</v>
      </c>
      <c r="E343" s="3">
        <v>132.80000000000001</v>
      </c>
      <c r="F343" s="3"/>
      <c r="G343" s="3">
        <v>127.2</v>
      </c>
      <c r="H343" s="3"/>
      <c r="I343" s="3">
        <v>122.8</v>
      </c>
      <c r="J343" s="3"/>
      <c r="K343" s="3">
        <v>118.3</v>
      </c>
      <c r="L343" s="3"/>
      <c r="M343" s="3">
        <v>107.6</v>
      </c>
      <c r="N343" s="3"/>
      <c r="O343" s="3">
        <v>109.6</v>
      </c>
      <c r="P343" s="3"/>
      <c r="Q343" s="3">
        <v>141.1</v>
      </c>
      <c r="R343" s="3"/>
      <c r="S343" s="3">
        <v>145.5</v>
      </c>
      <c r="T343" s="3"/>
      <c r="U343" s="3">
        <v>165.7</v>
      </c>
      <c r="V343" s="3"/>
      <c r="W343" s="3">
        <v>185.3</v>
      </c>
      <c r="X343" s="3"/>
      <c r="Y343" s="3" t="s">
        <v>43</v>
      </c>
      <c r="Z343" s="3" t="s">
        <v>44</v>
      </c>
      <c r="AA343" s="3" t="s">
        <v>43</v>
      </c>
      <c r="AB343" s="3" t="s">
        <v>44</v>
      </c>
      <c r="AC343" s="3">
        <v>142.02000000000001</v>
      </c>
      <c r="AD343" s="3"/>
      <c r="AE343" s="3">
        <v>159.16</v>
      </c>
      <c r="AF343" s="3"/>
      <c r="AG343" s="3">
        <v>159.69999999999999</v>
      </c>
      <c r="AH343" s="3"/>
    </row>
    <row r="344" spans="1:34">
      <c r="A344" t="s">
        <v>550</v>
      </c>
      <c r="B344" t="s">
        <v>551</v>
      </c>
      <c r="C344" s="3" t="s">
        <v>43</v>
      </c>
      <c r="D344" s="3" t="s">
        <v>44</v>
      </c>
      <c r="E344" s="3" t="s">
        <v>43</v>
      </c>
      <c r="F344" s="3" t="s">
        <v>44</v>
      </c>
      <c r="G344" s="3">
        <v>38.299999999999997</v>
      </c>
      <c r="H344" s="3"/>
      <c r="I344" s="3">
        <v>28.9</v>
      </c>
      <c r="J344" s="3"/>
      <c r="K344" s="3">
        <v>21.7</v>
      </c>
      <c r="L344" s="3"/>
      <c r="M344" s="3">
        <v>23.1</v>
      </c>
      <c r="N344" s="3"/>
      <c r="O344" s="3">
        <v>22.7</v>
      </c>
      <c r="P344" s="3"/>
      <c r="Q344" s="3" t="s">
        <v>43</v>
      </c>
      <c r="R344" s="3" t="s">
        <v>44</v>
      </c>
      <c r="S344" s="3" t="s">
        <v>43</v>
      </c>
      <c r="T344" s="3" t="s">
        <v>44</v>
      </c>
      <c r="U344" s="3" t="s">
        <v>43</v>
      </c>
      <c r="V344" s="3" t="s">
        <v>44</v>
      </c>
      <c r="W344" s="3" t="s">
        <v>43</v>
      </c>
      <c r="X344" s="3" t="s">
        <v>44</v>
      </c>
      <c r="Y344" s="3" t="s">
        <v>43</v>
      </c>
      <c r="Z344" s="3" t="s">
        <v>44</v>
      </c>
      <c r="AA344" s="3" t="s">
        <v>43</v>
      </c>
      <c r="AB344" s="3" t="s">
        <v>44</v>
      </c>
      <c r="AC344" s="3">
        <v>20.239999999999998</v>
      </c>
      <c r="AD344" s="3"/>
      <c r="AE344" s="3" t="s">
        <v>43</v>
      </c>
      <c r="AF344" s="3"/>
      <c r="AG344" s="3" t="s">
        <v>43</v>
      </c>
      <c r="AH344" s="3"/>
    </row>
    <row r="345" spans="1:34">
      <c r="A345" t="s">
        <v>552</v>
      </c>
      <c r="B345" t="s">
        <v>553</v>
      </c>
      <c r="C345" s="3" t="s">
        <v>43</v>
      </c>
      <c r="D345" s="3" t="s">
        <v>44</v>
      </c>
      <c r="E345" s="3">
        <v>22.7</v>
      </c>
      <c r="F345" s="3"/>
      <c r="G345" s="3">
        <v>24.8</v>
      </c>
      <c r="H345" s="3"/>
      <c r="I345" s="3">
        <v>24.8</v>
      </c>
      <c r="J345" s="3"/>
      <c r="K345" s="3">
        <v>25.1</v>
      </c>
      <c r="L345" s="3"/>
      <c r="M345" s="3">
        <v>19.399999999999999</v>
      </c>
      <c r="N345" s="3"/>
      <c r="O345" s="3">
        <v>23.2</v>
      </c>
      <c r="P345" s="3"/>
      <c r="Q345" s="3" t="s">
        <v>43</v>
      </c>
      <c r="R345" s="3" t="s">
        <v>44</v>
      </c>
      <c r="S345" s="3" t="s">
        <v>43</v>
      </c>
      <c r="T345" s="3" t="s">
        <v>44</v>
      </c>
      <c r="U345" s="3" t="s">
        <v>43</v>
      </c>
      <c r="V345" s="3" t="s">
        <v>44</v>
      </c>
      <c r="W345" s="3" t="s">
        <v>43</v>
      </c>
      <c r="X345" s="3" t="s">
        <v>44</v>
      </c>
      <c r="Y345" s="3" t="s">
        <v>43</v>
      </c>
      <c r="Z345" s="3" t="s">
        <v>44</v>
      </c>
      <c r="AA345" s="3" t="s">
        <v>43</v>
      </c>
      <c r="AB345" s="3" t="s">
        <v>44</v>
      </c>
      <c r="AC345" s="3">
        <v>30.07</v>
      </c>
      <c r="AD345" s="3"/>
      <c r="AE345" s="3">
        <v>34.18</v>
      </c>
      <c r="AF345" s="3"/>
      <c r="AG345" s="3">
        <v>32.9</v>
      </c>
      <c r="AH345" s="3"/>
    </row>
    <row r="346" spans="1:34">
      <c r="A346" t="s">
        <v>554</v>
      </c>
      <c r="B346" t="s">
        <v>555</v>
      </c>
      <c r="C346" s="3" t="s">
        <v>43</v>
      </c>
      <c r="D346" s="3" t="s">
        <v>44</v>
      </c>
      <c r="E346" s="3">
        <v>71</v>
      </c>
      <c r="F346" s="3"/>
      <c r="G346" s="3">
        <v>60.8</v>
      </c>
      <c r="H346" s="3"/>
      <c r="I346" s="3">
        <v>63.7</v>
      </c>
      <c r="J346" s="3"/>
      <c r="K346" s="3">
        <v>66.5</v>
      </c>
      <c r="L346" s="3"/>
      <c r="M346" s="3">
        <v>60.1</v>
      </c>
      <c r="N346" s="3"/>
      <c r="O346" s="3">
        <v>58.5</v>
      </c>
      <c r="P346" s="3"/>
      <c r="Q346" s="3">
        <v>62</v>
      </c>
      <c r="R346" s="3"/>
      <c r="S346" s="3">
        <v>66</v>
      </c>
      <c r="T346" s="3"/>
      <c r="U346" s="3">
        <v>66.2</v>
      </c>
      <c r="V346" s="3"/>
      <c r="W346" s="3">
        <v>75.900000000000006</v>
      </c>
      <c r="X346" s="3"/>
      <c r="Y346" s="3">
        <v>77.900000000000006</v>
      </c>
      <c r="Z346" s="3"/>
      <c r="AA346" s="3">
        <v>86</v>
      </c>
      <c r="AB346" s="3"/>
      <c r="AC346" s="3">
        <v>81.59</v>
      </c>
      <c r="AD346" s="3"/>
      <c r="AE346" s="3" t="s">
        <v>43</v>
      </c>
      <c r="AF346" s="3"/>
      <c r="AG346" s="3" t="s">
        <v>43</v>
      </c>
      <c r="AH346" s="3"/>
    </row>
    <row r="347" spans="1:34">
      <c r="A347" t="s">
        <v>556</v>
      </c>
      <c r="B347" t="s">
        <v>557</v>
      </c>
      <c r="C347" s="3">
        <v>3.6</v>
      </c>
      <c r="D347" s="3"/>
      <c r="E347" s="3" t="s">
        <v>43</v>
      </c>
      <c r="F347" s="3" t="s">
        <v>44</v>
      </c>
      <c r="G347" s="3">
        <v>3.3</v>
      </c>
      <c r="H347" s="3"/>
      <c r="I347" s="3">
        <v>5.4</v>
      </c>
      <c r="J347" s="3"/>
      <c r="K347" s="3">
        <v>5</v>
      </c>
      <c r="L347" s="3"/>
      <c r="M347" s="3">
        <v>5</v>
      </c>
      <c r="N347" s="3"/>
      <c r="O347" s="3">
        <v>5.0999999999999996</v>
      </c>
      <c r="P347" s="3"/>
      <c r="Q347" s="3" t="s">
        <v>43</v>
      </c>
      <c r="R347" s="3" t="s">
        <v>44</v>
      </c>
      <c r="S347" s="3" t="s">
        <v>43</v>
      </c>
      <c r="T347" s="3" t="s">
        <v>44</v>
      </c>
      <c r="U347" s="3" t="s">
        <v>43</v>
      </c>
      <c r="V347" s="3" t="s">
        <v>44</v>
      </c>
      <c r="W347" s="3" t="s">
        <v>43</v>
      </c>
      <c r="X347" s="3" t="s">
        <v>44</v>
      </c>
      <c r="Y347" s="3" t="s">
        <v>43</v>
      </c>
      <c r="Z347" s="3" t="s">
        <v>44</v>
      </c>
      <c r="AA347" s="3" t="s">
        <v>43</v>
      </c>
      <c r="AB347" s="3" t="s">
        <v>44</v>
      </c>
      <c r="AC347" s="3">
        <v>10.119999999999999</v>
      </c>
      <c r="AD347" s="3"/>
      <c r="AE347" s="3">
        <v>11.14</v>
      </c>
      <c r="AF347" s="3"/>
      <c r="AG347" s="3">
        <v>10.84</v>
      </c>
      <c r="AH347" s="3"/>
    </row>
    <row r="348" spans="1:34">
      <c r="A348" t="s">
        <v>562</v>
      </c>
      <c r="B348" t="s">
        <v>563</v>
      </c>
      <c r="C348" s="3" t="s">
        <v>43</v>
      </c>
      <c r="D348" s="3" t="s">
        <v>44</v>
      </c>
      <c r="E348" s="3">
        <v>399.9</v>
      </c>
      <c r="F348" s="3"/>
      <c r="G348" s="3">
        <v>444</v>
      </c>
      <c r="H348" s="3"/>
      <c r="I348" s="3">
        <v>491.3</v>
      </c>
      <c r="J348" s="3"/>
      <c r="K348" s="3">
        <v>581.1</v>
      </c>
      <c r="L348" s="3"/>
      <c r="M348" s="3" t="s">
        <v>43</v>
      </c>
      <c r="N348" s="3" t="s">
        <v>44</v>
      </c>
      <c r="O348" s="3">
        <v>520</v>
      </c>
      <c r="P348" s="3"/>
      <c r="Q348" s="3">
        <v>574.20000000000005</v>
      </c>
      <c r="R348" s="3"/>
      <c r="S348" s="3">
        <v>597.70000000000005</v>
      </c>
      <c r="T348" s="3"/>
      <c r="U348" s="3">
        <v>643.20000000000005</v>
      </c>
      <c r="V348" s="3"/>
      <c r="W348" s="3">
        <v>740.8</v>
      </c>
      <c r="X348" s="3"/>
      <c r="Y348" s="3">
        <v>757.7</v>
      </c>
      <c r="Z348" s="3"/>
      <c r="AA348" s="3">
        <v>750.9</v>
      </c>
      <c r="AB348" s="3"/>
      <c r="AC348" s="3">
        <v>756.39</v>
      </c>
      <c r="AD348" s="3"/>
      <c r="AE348" s="3">
        <v>786.55</v>
      </c>
      <c r="AF348" s="3"/>
      <c r="AG348" s="3">
        <v>838.49</v>
      </c>
      <c r="AH348" s="3"/>
    </row>
    <row r="349" spans="1:34">
      <c r="A349" t="s">
        <v>564</v>
      </c>
      <c r="B349" t="s">
        <v>565</v>
      </c>
      <c r="C349" s="3" t="s">
        <v>43</v>
      </c>
      <c r="D349" s="3" t="s">
        <v>44</v>
      </c>
      <c r="E349" s="3">
        <v>306.5</v>
      </c>
      <c r="F349" s="3"/>
      <c r="G349" s="3">
        <v>337.3</v>
      </c>
      <c r="H349" s="3"/>
      <c r="I349" s="3">
        <v>378.9</v>
      </c>
      <c r="J349" s="3"/>
      <c r="K349" s="3">
        <v>394.3</v>
      </c>
      <c r="L349" s="3"/>
      <c r="M349" s="3" t="s">
        <v>43</v>
      </c>
      <c r="N349" s="3" t="s">
        <v>44</v>
      </c>
      <c r="O349" s="3">
        <v>396.6</v>
      </c>
      <c r="P349" s="3"/>
      <c r="Q349" s="3" t="s">
        <v>43</v>
      </c>
      <c r="R349" s="3" t="s">
        <v>44</v>
      </c>
      <c r="S349" s="3">
        <v>431.2</v>
      </c>
      <c r="T349" s="3"/>
      <c r="U349" s="3" t="s">
        <v>43</v>
      </c>
      <c r="V349" s="3" t="s">
        <v>44</v>
      </c>
      <c r="W349" s="3" t="s">
        <v>43</v>
      </c>
      <c r="X349" s="3" t="s">
        <v>44</v>
      </c>
      <c r="Y349" s="3" t="s">
        <v>43</v>
      </c>
      <c r="Z349" s="3" t="s">
        <v>44</v>
      </c>
      <c r="AA349" s="3" t="s">
        <v>43</v>
      </c>
      <c r="AB349" s="3" t="s">
        <v>44</v>
      </c>
      <c r="AC349" s="3" t="s">
        <v>43</v>
      </c>
      <c r="AD349" s="3" t="s">
        <v>44</v>
      </c>
      <c r="AE349" s="3" t="s">
        <v>43</v>
      </c>
      <c r="AF349" s="3" t="s">
        <v>44</v>
      </c>
      <c r="AG349" s="3" t="s">
        <v>43</v>
      </c>
      <c r="AH349" s="3" t="s">
        <v>44</v>
      </c>
    </row>
    <row r="350" spans="1:34">
      <c r="A350" t="s">
        <v>566</v>
      </c>
      <c r="B350" t="s">
        <v>567</v>
      </c>
      <c r="C350" s="3">
        <v>128.30000000000001</v>
      </c>
      <c r="D350" s="3"/>
      <c r="E350" s="3">
        <v>93.4</v>
      </c>
      <c r="F350" s="3"/>
      <c r="G350" s="3">
        <v>106.7</v>
      </c>
      <c r="H350" s="3"/>
      <c r="I350" s="3">
        <v>112.4</v>
      </c>
      <c r="J350" s="3"/>
      <c r="K350" s="3">
        <v>186.8</v>
      </c>
      <c r="L350" s="3"/>
      <c r="M350" s="3">
        <v>122.9</v>
      </c>
      <c r="N350" s="3"/>
      <c r="O350" s="3">
        <v>123.4</v>
      </c>
      <c r="P350" s="3"/>
      <c r="Q350" s="3" t="s">
        <v>43</v>
      </c>
      <c r="R350" s="3" t="s">
        <v>44</v>
      </c>
      <c r="S350" s="3">
        <v>166.5</v>
      </c>
      <c r="T350" s="3"/>
      <c r="U350" s="3" t="s">
        <v>43</v>
      </c>
      <c r="V350" s="3" t="s">
        <v>44</v>
      </c>
      <c r="W350" s="3" t="s">
        <v>43</v>
      </c>
      <c r="X350" s="3" t="s">
        <v>44</v>
      </c>
      <c r="Y350" s="3" t="s">
        <v>43</v>
      </c>
      <c r="Z350" s="3" t="s">
        <v>44</v>
      </c>
      <c r="AA350" s="3" t="s">
        <v>43</v>
      </c>
      <c r="AB350" s="3" t="s">
        <v>44</v>
      </c>
      <c r="AC350" s="3" t="s">
        <v>43</v>
      </c>
      <c r="AD350" s="3" t="s">
        <v>44</v>
      </c>
      <c r="AE350" s="3" t="s">
        <v>43</v>
      </c>
      <c r="AF350" s="3" t="s">
        <v>44</v>
      </c>
      <c r="AG350" s="3" t="s">
        <v>43</v>
      </c>
      <c r="AH350" s="3" t="s">
        <v>44</v>
      </c>
    </row>
    <row r="351" spans="1:34">
      <c r="A351" t="s">
        <v>570</v>
      </c>
      <c r="B351" t="s">
        <v>571</v>
      </c>
      <c r="C351" s="3">
        <v>1393</v>
      </c>
      <c r="D351" s="3"/>
      <c r="E351" s="3">
        <v>1211.4000000000001</v>
      </c>
      <c r="F351" s="3"/>
      <c r="G351" s="3">
        <v>1275.9000000000001</v>
      </c>
      <c r="H351" s="3"/>
      <c r="I351" s="3">
        <v>1392.1</v>
      </c>
      <c r="J351" s="3"/>
      <c r="K351" s="3">
        <v>1542.8</v>
      </c>
      <c r="L351" s="3"/>
      <c r="M351" s="3">
        <v>1397.8</v>
      </c>
      <c r="N351" s="3"/>
      <c r="O351" s="3">
        <v>1434.9</v>
      </c>
      <c r="P351" s="3"/>
      <c r="Q351" s="3">
        <v>1496.5</v>
      </c>
      <c r="R351" s="3"/>
      <c r="S351" s="3">
        <v>1600.5</v>
      </c>
      <c r="T351" s="3"/>
      <c r="U351" s="3">
        <v>1645.3</v>
      </c>
      <c r="V351" s="3"/>
      <c r="W351" s="3">
        <v>1979</v>
      </c>
      <c r="X351" s="3" t="s">
        <v>334</v>
      </c>
      <c r="Y351" s="3">
        <v>2096.8000000000002</v>
      </c>
      <c r="Z351" s="3"/>
      <c r="AA351" s="3">
        <v>1937.8</v>
      </c>
      <c r="AB351" s="3"/>
      <c r="AC351" s="3">
        <v>1880.49</v>
      </c>
      <c r="AD351" s="3"/>
      <c r="AE351" s="3">
        <v>1948.3</v>
      </c>
      <c r="AF351" s="3"/>
      <c r="AG351" s="3">
        <v>2182.94</v>
      </c>
      <c r="AH351" s="3"/>
    </row>
    <row r="352" spans="1:34">
      <c r="A352" t="s">
        <v>572</v>
      </c>
      <c r="B352" t="s">
        <v>573</v>
      </c>
      <c r="C352" s="3">
        <v>229.3</v>
      </c>
      <c r="D352" s="3"/>
      <c r="E352" s="3">
        <v>213.6</v>
      </c>
      <c r="F352" s="3"/>
      <c r="G352" s="3">
        <v>231.3</v>
      </c>
      <c r="H352" s="3"/>
      <c r="I352" s="3">
        <v>237.7</v>
      </c>
      <c r="J352" s="3"/>
      <c r="K352" s="3">
        <v>265.39999999999998</v>
      </c>
      <c r="L352" s="3"/>
      <c r="M352" s="3">
        <v>272.10000000000002</v>
      </c>
      <c r="N352" s="3"/>
      <c r="O352" s="3">
        <v>290.3</v>
      </c>
      <c r="P352" s="3"/>
      <c r="Q352" s="3">
        <v>331</v>
      </c>
      <c r="R352" s="3"/>
      <c r="S352" s="3">
        <v>364.8</v>
      </c>
      <c r="T352" s="3"/>
      <c r="U352" s="3">
        <v>355.3</v>
      </c>
      <c r="V352" s="3"/>
      <c r="W352" s="3">
        <v>374.1</v>
      </c>
      <c r="X352" s="3" t="s">
        <v>334</v>
      </c>
      <c r="Y352" s="3">
        <v>397.6</v>
      </c>
      <c r="Z352" s="3"/>
      <c r="AA352" s="3">
        <v>366.8</v>
      </c>
      <c r="AB352" s="3"/>
      <c r="AC352" s="3">
        <v>289.81</v>
      </c>
      <c r="AD352" s="3"/>
      <c r="AE352" s="3">
        <v>310.17</v>
      </c>
      <c r="AF352" s="3"/>
      <c r="AG352" s="3">
        <v>342.41</v>
      </c>
      <c r="AH352" s="3"/>
    </row>
    <row r="353" spans="1:34">
      <c r="A353" t="s">
        <v>574</v>
      </c>
      <c r="B353" t="s">
        <v>575</v>
      </c>
      <c r="C353" s="3">
        <v>24.1</v>
      </c>
      <c r="D353" s="3"/>
      <c r="E353" s="3">
        <v>20.9</v>
      </c>
      <c r="F353" s="3"/>
      <c r="G353" s="3">
        <v>22</v>
      </c>
      <c r="H353" s="3"/>
      <c r="I353" s="3">
        <v>18.899999999999999</v>
      </c>
      <c r="J353" s="3"/>
      <c r="K353" s="3">
        <v>17.5</v>
      </c>
      <c r="L353" s="3"/>
      <c r="M353" s="3">
        <v>18.100000000000001</v>
      </c>
      <c r="N353" s="3"/>
      <c r="O353" s="3">
        <v>20.3</v>
      </c>
      <c r="P353" s="3"/>
      <c r="Q353" s="3">
        <v>21.8</v>
      </c>
      <c r="R353" s="3"/>
      <c r="S353" s="3">
        <v>24.5</v>
      </c>
      <c r="T353" s="3"/>
      <c r="U353" s="3">
        <v>24.2</v>
      </c>
      <c r="V353" s="3"/>
      <c r="W353" s="3">
        <v>25.8</v>
      </c>
      <c r="X353" s="3" t="s">
        <v>334</v>
      </c>
      <c r="Y353" s="3">
        <v>26.6</v>
      </c>
      <c r="Z353" s="3"/>
      <c r="AA353" s="3">
        <v>29.4</v>
      </c>
      <c r="AB353" s="3"/>
      <c r="AC353" s="3">
        <v>30.54</v>
      </c>
      <c r="AD353" s="3"/>
      <c r="AE353" s="3">
        <v>31.74</v>
      </c>
      <c r="AF353" s="3"/>
      <c r="AG353" s="3">
        <v>36.549999999999997</v>
      </c>
      <c r="AH353" s="3"/>
    </row>
    <row r="354" spans="1:34">
      <c r="A354" t="s">
        <v>576</v>
      </c>
      <c r="B354" t="s">
        <v>577</v>
      </c>
      <c r="C354" s="3">
        <v>88.6</v>
      </c>
      <c r="D354" s="3"/>
      <c r="E354" s="3">
        <v>82.2</v>
      </c>
      <c r="F354" s="3"/>
      <c r="G354" s="3">
        <v>91.7</v>
      </c>
      <c r="H354" s="3"/>
      <c r="I354" s="3">
        <v>104.6</v>
      </c>
      <c r="J354" s="3"/>
      <c r="K354" s="3">
        <v>99.7</v>
      </c>
      <c r="L354" s="3"/>
      <c r="M354" s="3">
        <v>140.4</v>
      </c>
      <c r="N354" s="3"/>
      <c r="O354" s="3">
        <v>143.1</v>
      </c>
      <c r="P354" s="3"/>
      <c r="Q354" s="3">
        <v>151.1</v>
      </c>
      <c r="R354" s="3"/>
      <c r="S354" s="3">
        <v>164.7</v>
      </c>
      <c r="T354" s="3"/>
      <c r="U354" s="3">
        <v>169.7</v>
      </c>
      <c r="V354" s="3"/>
      <c r="W354" s="3">
        <v>180.1</v>
      </c>
      <c r="X354" s="3" t="s">
        <v>334</v>
      </c>
      <c r="Y354" s="3">
        <v>197.4</v>
      </c>
      <c r="Z354" s="3"/>
      <c r="AA354" s="3">
        <v>185.4</v>
      </c>
      <c r="AB354" s="3"/>
      <c r="AC354" s="3">
        <v>146.69999999999999</v>
      </c>
      <c r="AD354" s="3"/>
      <c r="AE354" s="3">
        <v>163.32</v>
      </c>
      <c r="AF354" s="3"/>
      <c r="AG354" s="3">
        <v>182.03</v>
      </c>
      <c r="AH354" s="3"/>
    </row>
    <row r="355" spans="1:34">
      <c r="A355" t="s">
        <v>578</v>
      </c>
      <c r="B355" t="s">
        <v>579</v>
      </c>
      <c r="C355" s="3">
        <v>116.7</v>
      </c>
      <c r="D355" s="3"/>
      <c r="E355" s="3">
        <v>110.5</v>
      </c>
      <c r="F355" s="3"/>
      <c r="G355" s="3">
        <v>117.6</v>
      </c>
      <c r="H355" s="3"/>
      <c r="I355" s="3">
        <v>114.2</v>
      </c>
      <c r="J355" s="3"/>
      <c r="K355" s="3">
        <v>148.19999999999999</v>
      </c>
      <c r="L355" s="3"/>
      <c r="M355" s="3">
        <v>113.6</v>
      </c>
      <c r="N355" s="3"/>
      <c r="O355" s="3">
        <v>126.9</v>
      </c>
      <c r="P355" s="3"/>
      <c r="Q355" s="3">
        <v>158.1</v>
      </c>
      <c r="R355" s="3"/>
      <c r="S355" s="3">
        <v>175.6</v>
      </c>
      <c r="T355" s="3"/>
      <c r="U355" s="3">
        <v>161.4</v>
      </c>
      <c r="V355" s="3"/>
      <c r="W355" s="3">
        <v>168.2</v>
      </c>
      <c r="X355" s="3" t="s">
        <v>334</v>
      </c>
      <c r="Y355" s="3">
        <v>173.6</v>
      </c>
      <c r="Z355" s="3"/>
      <c r="AA355" s="3">
        <v>152</v>
      </c>
      <c r="AB355" s="3"/>
      <c r="AC355" s="3">
        <v>112.58</v>
      </c>
      <c r="AD355" s="3"/>
      <c r="AE355" s="3">
        <v>115.12</v>
      </c>
      <c r="AF355" s="3"/>
      <c r="AG355" s="3">
        <v>123.83</v>
      </c>
      <c r="AH355" s="3"/>
    </row>
    <row r="356" spans="1:34">
      <c r="A356" t="s">
        <v>580</v>
      </c>
      <c r="B356" t="s">
        <v>581</v>
      </c>
      <c r="C356" s="3">
        <v>479.1</v>
      </c>
      <c r="D356" s="3"/>
      <c r="E356" s="3">
        <v>413.4</v>
      </c>
      <c r="F356" s="3"/>
      <c r="G356" s="3">
        <v>446</v>
      </c>
      <c r="H356" s="3"/>
      <c r="I356" s="3">
        <v>469</v>
      </c>
      <c r="J356" s="3"/>
      <c r="K356" s="3">
        <v>540.20000000000005</v>
      </c>
      <c r="L356" s="3"/>
      <c r="M356" s="3">
        <v>402.5</v>
      </c>
      <c r="N356" s="3"/>
      <c r="O356" s="3">
        <v>405.9</v>
      </c>
      <c r="P356" s="3"/>
      <c r="Q356" s="3">
        <v>452.4</v>
      </c>
      <c r="R356" s="3"/>
      <c r="S356" s="3">
        <v>483.8</v>
      </c>
      <c r="T356" s="3"/>
      <c r="U356" s="3">
        <v>515.29999999999995</v>
      </c>
      <c r="V356" s="3"/>
      <c r="W356" s="3">
        <v>761.2</v>
      </c>
      <c r="X356" s="3" t="s">
        <v>334</v>
      </c>
      <c r="Y356" s="3">
        <v>810.9</v>
      </c>
      <c r="Z356" s="3"/>
      <c r="AA356" s="3">
        <v>712.1</v>
      </c>
      <c r="AB356" s="3"/>
      <c r="AC356" s="3">
        <v>768.1</v>
      </c>
      <c r="AD356" s="3"/>
      <c r="AE356" s="3">
        <v>775.59</v>
      </c>
      <c r="AF356" s="3"/>
      <c r="AG356" s="3">
        <v>895.67</v>
      </c>
      <c r="AH356" s="3"/>
    </row>
    <row r="357" spans="1:34">
      <c r="A357" t="s">
        <v>582</v>
      </c>
      <c r="B357" t="s">
        <v>583</v>
      </c>
      <c r="C357" s="3">
        <v>6.8</v>
      </c>
      <c r="D357" s="3"/>
      <c r="E357" s="3">
        <v>6.8</v>
      </c>
      <c r="F357" s="3"/>
      <c r="G357" s="3">
        <v>8.8000000000000007</v>
      </c>
      <c r="H357" s="3"/>
      <c r="I357" s="3">
        <v>12.3</v>
      </c>
      <c r="J357" s="3"/>
      <c r="K357" s="3">
        <v>11.2</v>
      </c>
      <c r="L357" s="3"/>
      <c r="M357" s="3">
        <v>14.3</v>
      </c>
      <c r="N357" s="3"/>
      <c r="O357" s="3">
        <v>17.3</v>
      </c>
      <c r="P357" s="3"/>
      <c r="Q357" s="3">
        <v>28.5</v>
      </c>
      <c r="R357" s="3"/>
      <c r="S357" s="3">
        <v>40.9</v>
      </c>
      <c r="T357" s="3"/>
      <c r="U357" s="3">
        <v>35.5</v>
      </c>
      <c r="V357" s="3"/>
      <c r="W357" s="3" t="s">
        <v>43</v>
      </c>
      <c r="X357" s="3" t="s">
        <v>403</v>
      </c>
      <c r="Y357" s="3" t="s">
        <v>43</v>
      </c>
      <c r="Z357" s="3" t="s">
        <v>44</v>
      </c>
      <c r="AA357" s="3" t="s">
        <v>43</v>
      </c>
      <c r="AB357" s="3" t="s">
        <v>44</v>
      </c>
      <c r="AC357" s="3">
        <v>8.19</v>
      </c>
      <c r="AD357" s="3"/>
      <c r="AE357" s="3">
        <v>8.5500000000000007</v>
      </c>
      <c r="AF357" s="3"/>
      <c r="AG357" s="3">
        <v>9.11</v>
      </c>
      <c r="AH357" s="3"/>
    </row>
    <row r="358" spans="1:34">
      <c r="A358" t="s">
        <v>584</v>
      </c>
      <c r="B358" t="s">
        <v>585</v>
      </c>
      <c r="C358" s="3">
        <v>472.3</v>
      </c>
      <c r="D358" s="3"/>
      <c r="E358" s="3">
        <v>406.6</v>
      </c>
      <c r="F358" s="3"/>
      <c r="G358" s="3">
        <v>437.2</v>
      </c>
      <c r="H358" s="3"/>
      <c r="I358" s="3">
        <v>456.8</v>
      </c>
      <c r="J358" s="3"/>
      <c r="K358" s="3">
        <v>529</v>
      </c>
      <c r="L358" s="3"/>
      <c r="M358" s="3">
        <v>388.2</v>
      </c>
      <c r="N358" s="3"/>
      <c r="O358" s="3">
        <v>388.6</v>
      </c>
      <c r="P358" s="3"/>
      <c r="Q358" s="3">
        <v>423.8</v>
      </c>
      <c r="R358" s="3"/>
      <c r="S358" s="3">
        <v>442.9</v>
      </c>
      <c r="T358" s="3"/>
      <c r="U358" s="3">
        <v>479.7</v>
      </c>
      <c r="V358" s="3"/>
      <c r="W358" s="3" t="s">
        <v>43</v>
      </c>
      <c r="X358" s="3" t="s">
        <v>403</v>
      </c>
      <c r="Y358" s="3" t="s">
        <v>43</v>
      </c>
      <c r="Z358" s="3" t="s">
        <v>44</v>
      </c>
      <c r="AA358" s="3" t="s">
        <v>43</v>
      </c>
      <c r="AB358" s="3" t="s">
        <v>44</v>
      </c>
      <c r="AC358" s="3">
        <v>759.9</v>
      </c>
      <c r="AD358" s="3"/>
      <c r="AE358" s="3">
        <v>767.04</v>
      </c>
      <c r="AF358" s="3"/>
      <c r="AG358" s="3">
        <v>886.56</v>
      </c>
      <c r="AH358" s="3"/>
    </row>
    <row r="359" spans="1:34">
      <c r="A359" t="s">
        <v>586</v>
      </c>
      <c r="B359" t="s">
        <v>587</v>
      </c>
      <c r="C359" s="3">
        <v>684.6</v>
      </c>
      <c r="D359" s="3"/>
      <c r="E359" s="3">
        <v>584.4</v>
      </c>
      <c r="F359" s="3"/>
      <c r="G359" s="3">
        <v>598.6</v>
      </c>
      <c r="H359" s="3"/>
      <c r="I359" s="3">
        <v>685.4</v>
      </c>
      <c r="J359" s="3"/>
      <c r="K359" s="3">
        <v>737.2</v>
      </c>
      <c r="L359" s="3"/>
      <c r="M359" s="3">
        <v>723.2</v>
      </c>
      <c r="N359" s="3"/>
      <c r="O359" s="3">
        <v>738.8</v>
      </c>
      <c r="P359" s="3"/>
      <c r="Q359" s="3">
        <v>713.1</v>
      </c>
      <c r="R359" s="3"/>
      <c r="S359" s="3">
        <v>752</v>
      </c>
      <c r="T359" s="3"/>
      <c r="U359" s="3">
        <v>774.7</v>
      </c>
      <c r="V359" s="3"/>
      <c r="W359" s="3">
        <v>843.6</v>
      </c>
      <c r="X359" s="3" t="s">
        <v>334</v>
      </c>
      <c r="Y359" s="3">
        <v>888.3</v>
      </c>
      <c r="Z359" s="3"/>
      <c r="AA359" s="3">
        <v>858.9</v>
      </c>
      <c r="AB359" s="3"/>
      <c r="AC359" s="3">
        <v>822.58</v>
      </c>
      <c r="AD359" s="3"/>
      <c r="AE359" s="3">
        <v>862.54</v>
      </c>
      <c r="AF359" s="3"/>
      <c r="AG359" s="3">
        <v>944.86</v>
      </c>
      <c r="AH359" s="3"/>
    </row>
    <row r="360" spans="1:34">
      <c r="A360" t="s">
        <v>588</v>
      </c>
      <c r="B360" t="s">
        <v>589</v>
      </c>
      <c r="C360" s="3">
        <v>516.9</v>
      </c>
      <c r="D360" s="3"/>
      <c r="E360" s="3">
        <v>447.9</v>
      </c>
      <c r="F360" s="3"/>
      <c r="G360" s="3">
        <v>462.4</v>
      </c>
      <c r="H360" s="3"/>
      <c r="I360" s="3">
        <v>523.20000000000005</v>
      </c>
      <c r="J360" s="3"/>
      <c r="K360" s="3">
        <v>571.5</v>
      </c>
      <c r="L360" s="3"/>
      <c r="M360" s="3">
        <v>568.5</v>
      </c>
      <c r="N360" s="3"/>
      <c r="O360" s="3">
        <v>581.1</v>
      </c>
      <c r="P360" s="3"/>
      <c r="Q360" s="3">
        <v>567.20000000000005</v>
      </c>
      <c r="R360" s="3"/>
      <c r="S360" s="3">
        <v>578.79999999999995</v>
      </c>
      <c r="T360" s="3"/>
      <c r="U360" s="3">
        <v>608.29999999999995</v>
      </c>
      <c r="V360" s="3"/>
      <c r="W360" s="3">
        <v>661.6</v>
      </c>
      <c r="X360" s="3" t="s">
        <v>334</v>
      </c>
      <c r="Y360" s="3">
        <v>693.9</v>
      </c>
      <c r="Z360" s="3"/>
      <c r="AA360" s="3">
        <v>678.1</v>
      </c>
      <c r="AB360" s="3"/>
      <c r="AC360" s="3">
        <v>635.67999999999995</v>
      </c>
      <c r="AD360" s="3"/>
      <c r="AE360" s="3">
        <v>663.09</v>
      </c>
      <c r="AF360" s="3"/>
      <c r="AG360" s="3">
        <v>708.1</v>
      </c>
      <c r="AH360" s="3"/>
    </row>
    <row r="361" spans="1:34">
      <c r="A361" t="s">
        <v>590</v>
      </c>
      <c r="B361" t="s">
        <v>591</v>
      </c>
      <c r="C361" s="3">
        <v>83.2</v>
      </c>
      <c r="D361" s="3"/>
      <c r="E361" s="3">
        <v>59.3</v>
      </c>
      <c r="F361" s="3"/>
      <c r="G361" s="3">
        <v>55.6</v>
      </c>
      <c r="H361" s="3"/>
      <c r="I361" s="3">
        <v>62.7</v>
      </c>
      <c r="J361" s="3"/>
      <c r="K361" s="3">
        <v>60.4</v>
      </c>
      <c r="L361" s="3"/>
      <c r="M361" s="3">
        <v>46.1</v>
      </c>
      <c r="N361" s="3"/>
      <c r="O361" s="3">
        <v>45.8</v>
      </c>
      <c r="P361" s="3"/>
      <c r="Q361" s="3">
        <v>47.8</v>
      </c>
      <c r="R361" s="3"/>
      <c r="S361" s="3">
        <v>65.2</v>
      </c>
      <c r="T361" s="3"/>
      <c r="U361" s="3">
        <v>63.1</v>
      </c>
      <c r="V361" s="3"/>
      <c r="W361" s="3">
        <v>62.4</v>
      </c>
      <c r="X361" s="3" t="s">
        <v>334</v>
      </c>
      <c r="Y361" s="3">
        <v>62.9</v>
      </c>
      <c r="Z361" s="3"/>
      <c r="AA361" s="3">
        <v>54.1</v>
      </c>
      <c r="AB361" s="3"/>
      <c r="AC361" s="3">
        <v>57.27</v>
      </c>
      <c r="AD361" s="3"/>
      <c r="AE361" s="3">
        <v>58.1</v>
      </c>
      <c r="AF361" s="3"/>
      <c r="AG361" s="3">
        <v>65.8</v>
      </c>
      <c r="AH361" s="3"/>
    </row>
    <row r="362" spans="1:34">
      <c r="A362" t="s">
        <v>592</v>
      </c>
      <c r="B362" t="s">
        <v>593</v>
      </c>
      <c r="C362" s="3">
        <v>36.799999999999997</v>
      </c>
      <c r="D362" s="3"/>
      <c r="E362" s="3">
        <v>33.299999999999997</v>
      </c>
      <c r="F362" s="3"/>
      <c r="G362" s="3">
        <v>36.6</v>
      </c>
      <c r="H362" s="3"/>
      <c r="I362" s="3">
        <v>43.7</v>
      </c>
      <c r="J362" s="3"/>
      <c r="K362" s="3">
        <v>44.5</v>
      </c>
      <c r="L362" s="3"/>
      <c r="M362" s="3">
        <v>43.2</v>
      </c>
      <c r="N362" s="3"/>
      <c r="O362" s="3">
        <v>44.2</v>
      </c>
      <c r="P362" s="3"/>
      <c r="Q362" s="3">
        <v>26.3</v>
      </c>
      <c r="R362" s="3"/>
      <c r="S362" s="3">
        <v>30</v>
      </c>
      <c r="T362" s="3"/>
      <c r="U362" s="3">
        <v>22.2</v>
      </c>
      <c r="V362" s="3"/>
      <c r="W362" s="3">
        <v>29.2</v>
      </c>
      <c r="X362" s="3" t="s">
        <v>334</v>
      </c>
      <c r="Y362" s="3">
        <v>32.9</v>
      </c>
      <c r="Z362" s="3"/>
      <c r="AA362" s="3">
        <v>36.6</v>
      </c>
      <c r="AB362" s="3"/>
      <c r="AC362" s="3">
        <v>32.46</v>
      </c>
      <c r="AD362" s="3"/>
      <c r="AE362" s="3">
        <v>40.64</v>
      </c>
      <c r="AF362" s="3"/>
      <c r="AG362" s="3">
        <v>51.67</v>
      </c>
      <c r="AH362" s="3"/>
    </row>
    <row r="363" spans="1:34">
      <c r="A363" t="s">
        <v>594</v>
      </c>
      <c r="B363" t="s">
        <v>595</v>
      </c>
      <c r="C363" s="3">
        <v>47.6</v>
      </c>
      <c r="D363" s="3"/>
      <c r="E363" s="3">
        <v>43.9</v>
      </c>
      <c r="F363" s="3"/>
      <c r="G363" s="3">
        <v>44</v>
      </c>
      <c r="H363" s="3"/>
      <c r="I363" s="3">
        <v>55.8</v>
      </c>
      <c r="J363" s="3"/>
      <c r="K363" s="3">
        <v>60.9</v>
      </c>
      <c r="L363" s="3"/>
      <c r="M363" s="3">
        <v>65.400000000000006</v>
      </c>
      <c r="N363" s="3"/>
      <c r="O363" s="3">
        <v>67.7</v>
      </c>
      <c r="P363" s="3"/>
      <c r="Q363" s="3">
        <v>71.8</v>
      </c>
      <c r="R363" s="3"/>
      <c r="S363" s="3">
        <v>78.099999999999994</v>
      </c>
      <c r="T363" s="3"/>
      <c r="U363" s="3">
        <v>81</v>
      </c>
      <c r="V363" s="3"/>
      <c r="W363" s="3">
        <v>90.4</v>
      </c>
      <c r="X363" s="3" t="s">
        <v>334</v>
      </c>
      <c r="Y363" s="3">
        <v>98.6</v>
      </c>
      <c r="Z363" s="3"/>
      <c r="AA363" s="3">
        <v>90.1</v>
      </c>
      <c r="AB363" s="3"/>
      <c r="AC363" s="3">
        <v>97.17</v>
      </c>
      <c r="AD363" s="3"/>
      <c r="AE363" s="3">
        <v>100.71</v>
      </c>
      <c r="AF363" s="3"/>
      <c r="AG363" s="3">
        <v>119.29</v>
      </c>
      <c r="AH363" s="3"/>
    </row>
    <row r="364" spans="1:34">
      <c r="A364" t="s">
        <v>598</v>
      </c>
      <c r="B364" t="s">
        <v>599</v>
      </c>
      <c r="C364" s="3">
        <v>1663.8</v>
      </c>
      <c r="D364" s="3"/>
      <c r="E364" s="3">
        <v>1376.5</v>
      </c>
      <c r="F364" s="3"/>
      <c r="G364" s="3">
        <v>1588.5</v>
      </c>
      <c r="H364" s="3"/>
      <c r="I364" s="3">
        <v>1736.2</v>
      </c>
      <c r="J364" s="3"/>
      <c r="K364" s="3">
        <v>1709.1</v>
      </c>
      <c r="L364" s="3"/>
      <c r="M364" s="3">
        <v>1906.8</v>
      </c>
      <c r="N364" s="3"/>
      <c r="O364" s="3">
        <v>2089.6</v>
      </c>
      <c r="P364" s="3"/>
      <c r="Q364" s="3">
        <v>2279.3000000000002</v>
      </c>
      <c r="R364" s="3"/>
      <c r="S364" s="3">
        <v>2371.1</v>
      </c>
      <c r="T364" s="3"/>
      <c r="U364" s="3">
        <v>2731</v>
      </c>
      <c r="V364" s="3"/>
      <c r="W364" s="3">
        <v>3066.2</v>
      </c>
      <c r="X364" s="3" t="s">
        <v>334</v>
      </c>
      <c r="Y364" s="3">
        <v>3284.3</v>
      </c>
      <c r="Z364" s="3"/>
      <c r="AA364" s="3">
        <v>3117.8</v>
      </c>
      <c r="AB364" s="3"/>
      <c r="AC364" s="3">
        <v>3280.97</v>
      </c>
      <c r="AD364" s="3"/>
      <c r="AE364" s="3">
        <v>3600.71</v>
      </c>
      <c r="AF364" s="3"/>
      <c r="AG364" s="3">
        <v>4266.46</v>
      </c>
      <c r="AH364" s="3"/>
    </row>
    <row r="365" spans="1:34">
      <c r="A365" t="s">
        <v>996</v>
      </c>
      <c r="B365" t="s">
        <v>997</v>
      </c>
      <c r="C365" s="3">
        <v>165.7</v>
      </c>
      <c r="D365" s="3"/>
      <c r="E365" s="3">
        <v>114.1</v>
      </c>
      <c r="F365" s="3"/>
      <c r="G365" s="3">
        <v>125.8</v>
      </c>
      <c r="H365" s="3"/>
      <c r="I365" s="3">
        <v>121.3</v>
      </c>
      <c r="J365" s="3"/>
      <c r="K365" s="3">
        <v>110</v>
      </c>
      <c r="L365" s="3"/>
      <c r="M365" s="3">
        <v>119.7</v>
      </c>
      <c r="N365" s="3"/>
      <c r="O365" s="3">
        <v>125.2</v>
      </c>
      <c r="P365" s="3"/>
      <c r="Q365" s="3">
        <v>133.5</v>
      </c>
      <c r="R365" s="3"/>
      <c r="S365" s="3" t="s">
        <v>43</v>
      </c>
      <c r="T365" s="3"/>
      <c r="U365" s="3" t="s">
        <v>43</v>
      </c>
      <c r="V365" s="3"/>
      <c r="W365" s="3" t="s">
        <v>43</v>
      </c>
      <c r="X365" s="3" t="s">
        <v>334</v>
      </c>
      <c r="Y365" s="3" t="s">
        <v>43</v>
      </c>
      <c r="Z365" s="3"/>
      <c r="AA365" s="3" t="s">
        <v>43</v>
      </c>
      <c r="AB365" s="3"/>
      <c r="AC365" s="3"/>
      <c r="AD365" s="3"/>
      <c r="AE365" s="3"/>
      <c r="AF365" s="3"/>
      <c r="AG365" s="3"/>
      <c r="AH365" s="3"/>
    </row>
    <row r="366" spans="1:34">
      <c r="A366" t="s">
        <v>998</v>
      </c>
      <c r="B366" t="s">
        <v>999</v>
      </c>
      <c r="C366" s="3">
        <v>51.5</v>
      </c>
      <c r="D366" s="3"/>
      <c r="E366" s="3">
        <v>34.5</v>
      </c>
      <c r="F366" s="3"/>
      <c r="G366" s="3">
        <v>45.8</v>
      </c>
      <c r="H366" s="3"/>
      <c r="I366" s="3">
        <v>47.8</v>
      </c>
      <c r="J366" s="3"/>
      <c r="K366" s="3">
        <v>48.3</v>
      </c>
      <c r="L366" s="3"/>
      <c r="M366" s="3">
        <v>51</v>
      </c>
      <c r="N366" s="3"/>
      <c r="O366" s="3">
        <v>49.6</v>
      </c>
      <c r="P366" s="3"/>
      <c r="Q366" s="3">
        <v>53.8</v>
      </c>
      <c r="R366" s="3"/>
      <c r="S366" s="3" t="s">
        <v>43</v>
      </c>
      <c r="T366" s="3"/>
      <c r="U366" s="3" t="s">
        <v>43</v>
      </c>
      <c r="V366" s="3"/>
      <c r="W366" s="3" t="s">
        <v>43</v>
      </c>
      <c r="X366" s="3" t="s">
        <v>334</v>
      </c>
      <c r="Y366" s="3" t="s">
        <v>43</v>
      </c>
      <c r="Z366" s="3"/>
      <c r="AA366" s="3" t="s">
        <v>43</v>
      </c>
      <c r="AB366" s="3"/>
      <c r="AC366" s="3"/>
      <c r="AD366" s="3"/>
      <c r="AE366" s="3"/>
      <c r="AF366" s="3"/>
      <c r="AG366" s="3"/>
      <c r="AH366" s="3"/>
    </row>
    <row r="367" spans="1:34">
      <c r="A367" t="s">
        <v>1000</v>
      </c>
      <c r="B367" t="s">
        <v>1001</v>
      </c>
      <c r="C367" s="3">
        <v>114.2</v>
      </c>
      <c r="D367" s="3"/>
      <c r="E367" s="3">
        <v>79.599999999999994</v>
      </c>
      <c r="F367" s="3"/>
      <c r="G367" s="3">
        <v>80</v>
      </c>
      <c r="H367" s="3"/>
      <c r="I367" s="3">
        <v>73.400000000000006</v>
      </c>
      <c r="J367" s="3"/>
      <c r="K367" s="3">
        <v>61.7</v>
      </c>
      <c r="L367" s="3"/>
      <c r="M367" s="3">
        <v>68.8</v>
      </c>
      <c r="N367" s="3"/>
      <c r="O367" s="3">
        <v>75.5</v>
      </c>
      <c r="P367" s="3"/>
      <c r="Q367" s="3">
        <v>79.7</v>
      </c>
      <c r="R367" s="3"/>
      <c r="S367" s="3" t="s">
        <v>43</v>
      </c>
      <c r="T367" s="3"/>
      <c r="U367" s="3" t="s">
        <v>43</v>
      </c>
      <c r="V367" s="3"/>
      <c r="W367" s="3" t="s">
        <v>43</v>
      </c>
      <c r="X367" s="3" t="s">
        <v>334</v>
      </c>
      <c r="Y367" s="3" t="s">
        <v>43</v>
      </c>
      <c r="Z367" s="3"/>
      <c r="AA367" s="3" t="s">
        <v>43</v>
      </c>
      <c r="AB367" s="3"/>
      <c r="AC367" s="3"/>
      <c r="AD367" s="3"/>
      <c r="AE367" s="3"/>
      <c r="AF367" s="3"/>
      <c r="AG367" s="3"/>
      <c r="AH367" s="3"/>
    </row>
    <row r="368" spans="1:34">
      <c r="A368" t="s">
        <v>600</v>
      </c>
      <c r="B368" t="s">
        <v>601</v>
      </c>
      <c r="C368" s="3">
        <v>584.20000000000005</v>
      </c>
      <c r="D368" s="3"/>
      <c r="E368" s="3">
        <v>531.5</v>
      </c>
      <c r="F368" s="3"/>
      <c r="G368" s="3">
        <v>623.29999999999995</v>
      </c>
      <c r="H368" s="3"/>
      <c r="I368" s="3">
        <v>640.5</v>
      </c>
      <c r="J368" s="3"/>
      <c r="K368" s="3">
        <v>649.29999999999995</v>
      </c>
      <c r="L368" s="3"/>
      <c r="M368" s="3">
        <v>702.7</v>
      </c>
      <c r="N368" s="3"/>
      <c r="O368" s="3">
        <v>767.4</v>
      </c>
      <c r="P368" s="3"/>
      <c r="Q368" s="3">
        <v>845.9</v>
      </c>
      <c r="R368" s="3"/>
      <c r="S368" s="3">
        <v>912.8</v>
      </c>
      <c r="T368" s="3"/>
      <c r="U368" s="3">
        <v>1016.2</v>
      </c>
      <c r="V368" s="3"/>
      <c r="W368" s="3">
        <v>1093.4000000000001</v>
      </c>
      <c r="X368" s="3" t="s">
        <v>334</v>
      </c>
      <c r="Y368" s="3">
        <v>1141.2</v>
      </c>
      <c r="Z368" s="3"/>
      <c r="AA368" s="3">
        <v>1064.8</v>
      </c>
      <c r="AB368" s="3"/>
      <c r="AC368" s="3">
        <v>1110.96</v>
      </c>
      <c r="AD368" s="3"/>
      <c r="AE368" s="3">
        <v>1278.0899999999999</v>
      </c>
      <c r="AF368" s="3"/>
      <c r="AG368" s="3">
        <v>1516.42</v>
      </c>
      <c r="AH368" s="3"/>
    </row>
    <row r="369" spans="1:34">
      <c r="A369" t="s">
        <v>602</v>
      </c>
      <c r="B369" t="s">
        <v>603</v>
      </c>
      <c r="C369" s="3">
        <v>72.5</v>
      </c>
      <c r="D369" s="3"/>
      <c r="E369" s="3">
        <v>53.6</v>
      </c>
      <c r="F369" s="3"/>
      <c r="G369" s="3">
        <v>60.3</v>
      </c>
      <c r="H369" s="3"/>
      <c r="I369" s="3">
        <v>70.3</v>
      </c>
      <c r="J369" s="3"/>
      <c r="K369" s="3">
        <v>85.7</v>
      </c>
      <c r="L369" s="3"/>
      <c r="M369" s="3">
        <v>98.2</v>
      </c>
      <c r="N369" s="3"/>
      <c r="O369" s="3">
        <v>107.4</v>
      </c>
      <c r="P369" s="3"/>
      <c r="Q369" s="3">
        <v>113.1</v>
      </c>
      <c r="R369" s="3"/>
      <c r="S369" s="3">
        <v>120.2</v>
      </c>
      <c r="T369" s="3"/>
      <c r="U369" s="3">
        <v>111.8</v>
      </c>
      <c r="V369" s="3"/>
      <c r="W369" s="3">
        <v>151.5</v>
      </c>
      <c r="X369" s="3" t="s">
        <v>334</v>
      </c>
      <c r="Y369" s="3">
        <v>162.6</v>
      </c>
      <c r="Z369" s="3"/>
      <c r="AA369" s="3">
        <v>153.5</v>
      </c>
      <c r="AB369" s="3"/>
      <c r="AC369" s="3">
        <v>161.76</v>
      </c>
      <c r="AD369" s="3"/>
      <c r="AE369" s="3">
        <v>201.78</v>
      </c>
      <c r="AF369" s="3"/>
      <c r="AG369" s="3">
        <v>279.79000000000002</v>
      </c>
      <c r="AH369" s="3"/>
    </row>
    <row r="370" spans="1:34">
      <c r="A370" t="s">
        <v>604</v>
      </c>
      <c r="B370" t="s">
        <v>605</v>
      </c>
      <c r="C370" s="3">
        <v>511.7</v>
      </c>
      <c r="D370" s="3"/>
      <c r="E370" s="3">
        <v>477.9</v>
      </c>
      <c r="F370" s="3"/>
      <c r="G370" s="3">
        <v>562.9</v>
      </c>
      <c r="H370" s="3"/>
      <c r="I370" s="3">
        <v>570.20000000000005</v>
      </c>
      <c r="J370" s="3"/>
      <c r="K370" s="3">
        <v>563.6</v>
      </c>
      <c r="L370" s="3"/>
      <c r="M370" s="3">
        <v>604.5</v>
      </c>
      <c r="N370" s="3"/>
      <c r="O370" s="3">
        <v>660.1</v>
      </c>
      <c r="P370" s="3"/>
      <c r="Q370" s="3">
        <v>732.8</v>
      </c>
      <c r="R370" s="3"/>
      <c r="S370" s="3">
        <v>792.5</v>
      </c>
      <c r="T370" s="3"/>
      <c r="U370" s="3">
        <v>904.4</v>
      </c>
      <c r="V370" s="3"/>
      <c r="W370" s="3">
        <v>941.8</v>
      </c>
      <c r="X370" s="3" t="s">
        <v>334</v>
      </c>
      <c r="Y370" s="3">
        <v>978.7</v>
      </c>
      <c r="Z370" s="3"/>
      <c r="AA370" s="3">
        <v>911.3</v>
      </c>
      <c r="AB370" s="3"/>
      <c r="AC370" s="3">
        <v>949.2</v>
      </c>
      <c r="AD370" s="3"/>
      <c r="AE370" s="3">
        <v>1076.31</v>
      </c>
      <c r="AF370" s="3"/>
      <c r="AG370" s="3">
        <v>1236.6400000000001</v>
      </c>
      <c r="AH370" s="3"/>
    </row>
    <row r="371" spans="1:34">
      <c r="A371" t="s">
        <v>1002</v>
      </c>
      <c r="B371" t="s">
        <v>1003</v>
      </c>
      <c r="C371" s="3">
        <v>172.8</v>
      </c>
      <c r="D371" s="3"/>
      <c r="E371" s="3">
        <v>154</v>
      </c>
      <c r="F371" s="3"/>
      <c r="G371" s="3">
        <v>153</v>
      </c>
      <c r="H371" s="3"/>
      <c r="I371" s="3">
        <v>167.3</v>
      </c>
      <c r="J371" s="3"/>
      <c r="K371" s="3">
        <v>172.6</v>
      </c>
      <c r="L371" s="3"/>
      <c r="M371" s="3">
        <v>194.2</v>
      </c>
      <c r="N371" s="3"/>
      <c r="O371" s="3">
        <v>220.3</v>
      </c>
      <c r="P371" s="3"/>
      <c r="Q371" s="3">
        <v>229.8</v>
      </c>
      <c r="R371" s="3"/>
      <c r="S371" s="3" t="s">
        <v>43</v>
      </c>
      <c r="T371" s="3"/>
      <c r="U371" s="3" t="s">
        <v>43</v>
      </c>
      <c r="V371" s="3"/>
      <c r="W371" s="3" t="s">
        <v>43</v>
      </c>
      <c r="X371" s="3" t="s">
        <v>334</v>
      </c>
      <c r="Y371" s="3" t="s">
        <v>43</v>
      </c>
      <c r="Z371" s="3"/>
      <c r="AA371" s="3" t="s">
        <v>43</v>
      </c>
      <c r="AB371" s="3"/>
      <c r="AC371" s="3"/>
      <c r="AD371" s="3"/>
      <c r="AE371" s="3"/>
      <c r="AF371" s="3"/>
      <c r="AG371" s="3"/>
      <c r="AH371" s="3"/>
    </row>
    <row r="372" spans="1:34">
      <c r="A372" t="s">
        <v>1004</v>
      </c>
      <c r="B372" t="s">
        <v>1005</v>
      </c>
      <c r="C372" s="3">
        <v>15.7</v>
      </c>
      <c r="D372" s="3"/>
      <c r="E372" s="3">
        <v>12.9</v>
      </c>
      <c r="F372" s="3"/>
      <c r="G372" s="3">
        <v>14.7</v>
      </c>
      <c r="H372" s="3"/>
      <c r="I372" s="3">
        <v>15.3</v>
      </c>
      <c r="J372" s="3"/>
      <c r="K372" s="3">
        <v>16.100000000000001</v>
      </c>
      <c r="L372" s="3"/>
      <c r="M372" s="3">
        <v>18.2</v>
      </c>
      <c r="N372" s="3"/>
      <c r="O372" s="3">
        <v>19.2</v>
      </c>
      <c r="P372" s="3"/>
      <c r="Q372" s="3">
        <v>23.3</v>
      </c>
      <c r="R372" s="3"/>
      <c r="S372" s="3" t="s">
        <v>43</v>
      </c>
      <c r="T372" s="3"/>
      <c r="U372" s="3" t="s">
        <v>43</v>
      </c>
      <c r="V372" s="3"/>
      <c r="W372" s="3" t="s">
        <v>43</v>
      </c>
      <c r="X372" s="3" t="s">
        <v>334</v>
      </c>
      <c r="Y372" s="3" t="s">
        <v>43</v>
      </c>
      <c r="Z372" s="3"/>
      <c r="AA372" s="3" t="s">
        <v>43</v>
      </c>
      <c r="AB372" s="3"/>
      <c r="AC372" s="3"/>
      <c r="AD372" s="3"/>
      <c r="AE372" s="3"/>
      <c r="AF372" s="3"/>
      <c r="AG372" s="3"/>
      <c r="AH372" s="3"/>
    </row>
    <row r="373" spans="1:34">
      <c r="A373" t="s">
        <v>1006</v>
      </c>
      <c r="B373" t="s">
        <v>1007</v>
      </c>
      <c r="C373" s="3">
        <v>110.3</v>
      </c>
      <c r="D373" s="3"/>
      <c r="E373" s="3">
        <v>96.3</v>
      </c>
      <c r="F373" s="3"/>
      <c r="G373" s="3">
        <v>87.9</v>
      </c>
      <c r="H373" s="3"/>
      <c r="I373" s="3">
        <v>92.2</v>
      </c>
      <c r="J373" s="3"/>
      <c r="K373" s="3">
        <v>97.2</v>
      </c>
      <c r="L373" s="3"/>
      <c r="M373" s="3">
        <v>117.4</v>
      </c>
      <c r="N373" s="3"/>
      <c r="O373" s="3">
        <v>124.7</v>
      </c>
      <c r="P373" s="3"/>
      <c r="Q373" s="3">
        <v>132.30000000000001</v>
      </c>
      <c r="R373" s="3"/>
      <c r="S373" s="3" t="s">
        <v>43</v>
      </c>
      <c r="T373" s="3"/>
      <c r="U373" s="3" t="s">
        <v>43</v>
      </c>
      <c r="V373" s="3"/>
      <c r="W373" s="3" t="s">
        <v>43</v>
      </c>
      <c r="X373" s="3" t="s">
        <v>334</v>
      </c>
      <c r="Y373" s="3" t="s">
        <v>43</v>
      </c>
      <c r="Z373" s="3"/>
      <c r="AA373" s="3" t="s">
        <v>43</v>
      </c>
      <c r="AB373" s="3"/>
      <c r="AC373" s="3"/>
      <c r="AD373" s="3"/>
      <c r="AE373" s="3"/>
      <c r="AF373" s="3"/>
      <c r="AG373" s="3"/>
      <c r="AH373" s="3"/>
    </row>
    <row r="374" spans="1:34">
      <c r="A374" t="s">
        <v>1008</v>
      </c>
      <c r="B374" t="s">
        <v>1009</v>
      </c>
      <c r="C374" s="3">
        <v>41.5</v>
      </c>
      <c r="D374" s="3"/>
      <c r="E374" s="3">
        <v>41.1</v>
      </c>
      <c r="F374" s="3"/>
      <c r="G374" s="3">
        <v>44.1</v>
      </c>
      <c r="H374" s="3"/>
      <c r="I374" s="3">
        <v>51.6</v>
      </c>
      <c r="J374" s="3"/>
      <c r="K374" s="3">
        <v>53.3</v>
      </c>
      <c r="L374" s="3"/>
      <c r="M374" s="3">
        <v>52.4</v>
      </c>
      <c r="N374" s="3"/>
      <c r="O374" s="3">
        <v>55.9</v>
      </c>
      <c r="P374" s="3"/>
      <c r="Q374" s="3">
        <v>67.2</v>
      </c>
      <c r="R374" s="3"/>
      <c r="S374" s="3" t="s">
        <v>43</v>
      </c>
      <c r="T374" s="3"/>
      <c r="U374" s="3" t="s">
        <v>43</v>
      </c>
      <c r="V374" s="3"/>
      <c r="W374" s="3" t="s">
        <v>43</v>
      </c>
      <c r="X374" s="3" t="s">
        <v>334</v>
      </c>
      <c r="Y374" s="3" t="s">
        <v>43</v>
      </c>
      <c r="Z374" s="3"/>
      <c r="AA374" s="3" t="s">
        <v>43</v>
      </c>
      <c r="AB374" s="3"/>
      <c r="AC374" s="3"/>
      <c r="AD374" s="3"/>
      <c r="AE374" s="3"/>
      <c r="AF374" s="3"/>
      <c r="AG374" s="3"/>
      <c r="AH374" s="3"/>
    </row>
    <row r="375" spans="1:34">
      <c r="A375" t="s">
        <v>1010</v>
      </c>
      <c r="B375" t="s">
        <v>1011</v>
      </c>
      <c r="C375" s="3">
        <v>5.4</v>
      </c>
      <c r="D375" s="3"/>
      <c r="E375" s="3">
        <v>3.8</v>
      </c>
      <c r="F375" s="3"/>
      <c r="G375" s="3">
        <v>6.4</v>
      </c>
      <c r="H375" s="3"/>
      <c r="I375" s="3">
        <v>8.1999999999999993</v>
      </c>
      <c r="J375" s="3"/>
      <c r="K375" s="3">
        <v>5.9</v>
      </c>
      <c r="L375" s="3"/>
      <c r="M375" s="3">
        <v>6.2</v>
      </c>
      <c r="N375" s="3"/>
      <c r="O375" s="3">
        <v>20.5</v>
      </c>
      <c r="P375" s="3"/>
      <c r="Q375" s="3">
        <v>7</v>
      </c>
      <c r="R375" s="3"/>
      <c r="S375" s="3" t="s">
        <v>43</v>
      </c>
      <c r="T375" s="3"/>
      <c r="U375" s="3" t="s">
        <v>43</v>
      </c>
      <c r="V375" s="3"/>
      <c r="W375" s="3" t="s">
        <v>43</v>
      </c>
      <c r="X375" s="3" t="s">
        <v>334</v>
      </c>
      <c r="Y375" s="3" t="s">
        <v>43</v>
      </c>
      <c r="Z375" s="3"/>
      <c r="AA375" s="3" t="s">
        <v>43</v>
      </c>
      <c r="AB375" s="3"/>
      <c r="AC375" s="3"/>
      <c r="AD375" s="3"/>
      <c r="AE375" s="3"/>
      <c r="AF375" s="3"/>
      <c r="AG375" s="3"/>
      <c r="AH375" s="3"/>
    </row>
    <row r="376" spans="1:34">
      <c r="A376" t="s">
        <v>606</v>
      </c>
      <c r="B376" t="s">
        <v>607</v>
      </c>
      <c r="C376" s="3">
        <v>384.6</v>
      </c>
      <c r="D376" s="3"/>
      <c r="E376" s="3">
        <v>316.3</v>
      </c>
      <c r="F376" s="3"/>
      <c r="G376" s="3">
        <v>360.3</v>
      </c>
      <c r="H376" s="3"/>
      <c r="I376" s="3">
        <v>402.4</v>
      </c>
      <c r="J376" s="3"/>
      <c r="K376" s="3">
        <v>387.7</v>
      </c>
      <c r="L376" s="3"/>
      <c r="M376" s="3">
        <v>418.8</v>
      </c>
      <c r="N376" s="3"/>
      <c r="O376" s="3">
        <v>460.5</v>
      </c>
      <c r="P376" s="3"/>
      <c r="Q376" s="3">
        <v>505</v>
      </c>
      <c r="R376" s="3"/>
      <c r="S376" s="3">
        <v>525.9</v>
      </c>
      <c r="T376" s="3"/>
      <c r="U376" s="3">
        <v>605.20000000000005</v>
      </c>
      <c r="V376" s="3"/>
      <c r="W376" s="3">
        <v>653.9</v>
      </c>
      <c r="X376" s="3" t="s">
        <v>334</v>
      </c>
      <c r="Y376" s="3">
        <v>698.4</v>
      </c>
      <c r="Z376" s="3"/>
      <c r="AA376" s="3">
        <v>697.2</v>
      </c>
      <c r="AB376" s="3"/>
      <c r="AC376" s="3">
        <v>664.29</v>
      </c>
      <c r="AD376" s="3"/>
      <c r="AE376" s="3">
        <v>727.07</v>
      </c>
      <c r="AF376" s="3"/>
      <c r="AG376" s="3">
        <v>876.59</v>
      </c>
      <c r="AH376" s="3"/>
    </row>
    <row r="377" spans="1:34">
      <c r="A377" t="s">
        <v>608</v>
      </c>
      <c r="B377" t="s">
        <v>609</v>
      </c>
      <c r="C377" s="3">
        <v>282.10000000000002</v>
      </c>
      <c r="D377" s="3"/>
      <c r="E377" s="3">
        <v>233.3</v>
      </c>
      <c r="F377" s="3"/>
      <c r="G377" s="3">
        <v>255.6</v>
      </c>
      <c r="H377" s="3"/>
      <c r="I377" s="3">
        <v>286.8</v>
      </c>
      <c r="J377" s="3"/>
      <c r="K377" s="3">
        <v>279.5</v>
      </c>
      <c r="L377" s="3"/>
      <c r="M377" s="3">
        <v>304.2</v>
      </c>
      <c r="N377" s="3"/>
      <c r="O377" s="3">
        <v>333</v>
      </c>
      <c r="P377" s="3"/>
      <c r="Q377" s="3">
        <v>366.7</v>
      </c>
      <c r="R377" s="3"/>
      <c r="S377" s="3">
        <v>399.6</v>
      </c>
      <c r="T377" s="3"/>
      <c r="U377" s="3">
        <v>444</v>
      </c>
      <c r="V377" s="3"/>
      <c r="W377" s="3">
        <v>476.1</v>
      </c>
      <c r="X377" s="3" t="s">
        <v>334</v>
      </c>
      <c r="Y377" s="3">
        <v>514.6</v>
      </c>
      <c r="Z377" s="3"/>
      <c r="AA377" s="3">
        <v>523.4</v>
      </c>
      <c r="AB377" s="3"/>
      <c r="AC377" s="3">
        <v>488.55</v>
      </c>
      <c r="AD377" s="3"/>
      <c r="AE377" s="3">
        <v>550.54999999999995</v>
      </c>
      <c r="AF377" s="3"/>
      <c r="AG377" s="3">
        <v>635.73</v>
      </c>
      <c r="AH377" s="3"/>
    </row>
    <row r="378" spans="1:34">
      <c r="A378" t="s">
        <v>610</v>
      </c>
      <c r="B378" t="s">
        <v>611</v>
      </c>
      <c r="C378" s="3">
        <v>15.6</v>
      </c>
      <c r="D378" s="3"/>
      <c r="E378" s="3">
        <v>14.2</v>
      </c>
      <c r="F378" s="3"/>
      <c r="G378" s="3">
        <v>19.5</v>
      </c>
      <c r="H378" s="3"/>
      <c r="I378" s="3">
        <v>24.3</v>
      </c>
      <c r="J378" s="3"/>
      <c r="K378" s="3">
        <v>21.6</v>
      </c>
      <c r="L378" s="3"/>
      <c r="M378" s="3">
        <v>26</v>
      </c>
      <c r="N378" s="3"/>
      <c r="O378" s="3">
        <v>28.2</v>
      </c>
      <c r="P378" s="3"/>
      <c r="Q378" s="3">
        <v>29.5</v>
      </c>
      <c r="R378" s="3"/>
      <c r="S378" s="3">
        <v>21</v>
      </c>
      <c r="T378" s="3"/>
      <c r="U378" s="3">
        <v>40.4</v>
      </c>
      <c r="V378" s="3"/>
      <c r="W378" s="3">
        <v>43.9</v>
      </c>
      <c r="X378" s="3" t="s">
        <v>334</v>
      </c>
      <c r="Y378" s="3">
        <v>46.9</v>
      </c>
      <c r="Z378" s="3"/>
      <c r="AA378" s="3">
        <v>46.9</v>
      </c>
      <c r="AB378" s="3"/>
      <c r="AC378" s="3">
        <v>52.74</v>
      </c>
      <c r="AD378" s="3"/>
      <c r="AE378" s="3">
        <v>54.4</v>
      </c>
      <c r="AF378" s="3"/>
      <c r="AG378" s="3">
        <v>69.45</v>
      </c>
      <c r="AH378" s="3"/>
    </row>
    <row r="379" spans="1:34">
      <c r="A379" t="s">
        <v>612</v>
      </c>
      <c r="B379" t="s">
        <v>613</v>
      </c>
      <c r="C379" s="3">
        <v>86.8</v>
      </c>
      <c r="D379" s="3"/>
      <c r="E379" s="3">
        <v>68.8</v>
      </c>
      <c r="F379" s="3"/>
      <c r="G379" s="3">
        <v>85.2</v>
      </c>
      <c r="H379" s="3"/>
      <c r="I379" s="3">
        <v>91.3</v>
      </c>
      <c r="J379" s="3"/>
      <c r="K379" s="3">
        <v>86.6</v>
      </c>
      <c r="L379" s="3"/>
      <c r="M379" s="3">
        <v>88.6</v>
      </c>
      <c r="N379" s="3"/>
      <c r="O379" s="3">
        <v>99.3</v>
      </c>
      <c r="P379" s="3"/>
      <c r="Q379" s="3">
        <v>108.8</v>
      </c>
      <c r="R379" s="3"/>
      <c r="S379" s="3">
        <v>105.2</v>
      </c>
      <c r="T379" s="3"/>
      <c r="U379" s="3">
        <v>120.7</v>
      </c>
      <c r="V379" s="3"/>
      <c r="W379" s="3">
        <v>133.80000000000001</v>
      </c>
      <c r="X379" s="3" t="s">
        <v>334</v>
      </c>
      <c r="Y379" s="3">
        <v>136.9</v>
      </c>
      <c r="Z379" s="3"/>
      <c r="AA379" s="3">
        <v>127</v>
      </c>
      <c r="AB379" s="3"/>
      <c r="AC379" s="3">
        <v>122.99</v>
      </c>
      <c r="AD379" s="3"/>
      <c r="AE379" s="3">
        <v>122.12</v>
      </c>
      <c r="AF379" s="3"/>
      <c r="AG379" s="3">
        <v>171.41</v>
      </c>
      <c r="AH379" s="3"/>
    </row>
    <row r="380" spans="1:34">
      <c r="A380" t="s">
        <v>614</v>
      </c>
      <c r="B380" t="s">
        <v>615</v>
      </c>
      <c r="C380" s="3">
        <v>283.3</v>
      </c>
      <c r="D380" s="3"/>
      <c r="E380" s="3">
        <v>207.6</v>
      </c>
      <c r="F380" s="3"/>
      <c r="G380" s="3">
        <v>267.2</v>
      </c>
      <c r="H380" s="3"/>
      <c r="I380" s="3">
        <v>337.3</v>
      </c>
      <c r="J380" s="3"/>
      <c r="K380" s="3">
        <v>326.39999999999998</v>
      </c>
      <c r="L380" s="3"/>
      <c r="M380" s="3">
        <v>402.1</v>
      </c>
      <c r="N380" s="3"/>
      <c r="O380" s="3">
        <v>444.5</v>
      </c>
      <c r="P380" s="3"/>
      <c r="Q380" s="3">
        <v>491.5</v>
      </c>
      <c r="R380" s="3"/>
      <c r="S380" s="3">
        <v>482.3</v>
      </c>
      <c r="T380" s="3"/>
      <c r="U380" s="3">
        <v>595.1</v>
      </c>
      <c r="V380" s="3"/>
      <c r="W380" s="3">
        <v>694</v>
      </c>
      <c r="X380" s="3" t="s">
        <v>334</v>
      </c>
      <c r="Y380" s="3">
        <v>794.4</v>
      </c>
      <c r="Z380" s="3"/>
      <c r="AA380" s="3">
        <v>729.3</v>
      </c>
      <c r="AB380" s="3"/>
      <c r="AC380" s="3">
        <v>819.79</v>
      </c>
      <c r="AD380" s="3"/>
      <c r="AE380" s="3">
        <v>870.02</v>
      </c>
      <c r="AF380" s="3"/>
      <c r="AG380" s="3">
        <v>986.86</v>
      </c>
      <c r="AH380" s="3"/>
    </row>
    <row r="381" spans="1:34">
      <c r="A381" t="s">
        <v>616</v>
      </c>
      <c r="B381" t="s">
        <v>617</v>
      </c>
      <c r="C381" s="3">
        <v>262.8</v>
      </c>
      <c r="D381" s="3"/>
      <c r="E381" s="3">
        <v>178.2</v>
      </c>
      <c r="F381" s="3"/>
      <c r="G381" s="3">
        <v>231.2</v>
      </c>
      <c r="H381" s="3"/>
      <c r="I381" s="3">
        <v>299</v>
      </c>
      <c r="J381" s="3"/>
      <c r="K381" s="3">
        <v>281.10000000000002</v>
      </c>
      <c r="L381" s="3"/>
      <c r="M381" s="3">
        <v>358.8</v>
      </c>
      <c r="N381" s="3"/>
      <c r="O381" s="3">
        <v>395</v>
      </c>
      <c r="P381" s="3"/>
      <c r="Q381" s="3">
        <v>436.8</v>
      </c>
      <c r="R381" s="3"/>
      <c r="S381" s="3">
        <v>429.2</v>
      </c>
      <c r="T381" s="3"/>
      <c r="U381" s="3">
        <v>528.5</v>
      </c>
      <c r="V381" s="3"/>
      <c r="W381" s="3">
        <v>611.9</v>
      </c>
      <c r="X381" s="3" t="s">
        <v>334</v>
      </c>
      <c r="Y381" s="3">
        <v>697</v>
      </c>
      <c r="Z381" s="3"/>
      <c r="AA381" s="3">
        <v>640.70000000000005</v>
      </c>
      <c r="AB381" s="3"/>
      <c r="AC381" s="3">
        <v>719.99</v>
      </c>
      <c r="AD381" s="3"/>
      <c r="AE381" s="3">
        <v>761.16</v>
      </c>
      <c r="AF381" s="3"/>
      <c r="AG381" s="3">
        <v>885</v>
      </c>
      <c r="AH381" s="3"/>
    </row>
    <row r="382" spans="1:34">
      <c r="A382" t="s">
        <v>618</v>
      </c>
      <c r="B382" t="s">
        <v>619</v>
      </c>
      <c r="C382" s="3">
        <v>20.5</v>
      </c>
      <c r="D382" s="3"/>
      <c r="E382" s="3">
        <v>29.3</v>
      </c>
      <c r="F382" s="3"/>
      <c r="G382" s="3">
        <v>35.9</v>
      </c>
      <c r="H382" s="3"/>
      <c r="I382" s="3">
        <v>38.299999999999997</v>
      </c>
      <c r="J382" s="3"/>
      <c r="K382" s="3">
        <v>45.3</v>
      </c>
      <c r="L382" s="3"/>
      <c r="M382" s="3">
        <v>43.4</v>
      </c>
      <c r="N382" s="3"/>
      <c r="O382" s="3">
        <v>49.6</v>
      </c>
      <c r="P382" s="3"/>
      <c r="Q382" s="3">
        <v>54.7</v>
      </c>
      <c r="R382" s="3"/>
      <c r="S382" s="3">
        <v>53.1</v>
      </c>
      <c r="T382" s="3"/>
      <c r="U382" s="3">
        <v>66.599999999999994</v>
      </c>
      <c r="V382" s="3"/>
      <c r="W382" s="3">
        <v>82</v>
      </c>
      <c r="X382" s="3" t="s">
        <v>334</v>
      </c>
      <c r="Y382" s="3">
        <v>97.5</v>
      </c>
      <c r="Z382" s="3"/>
      <c r="AA382" s="3">
        <v>88.6</v>
      </c>
      <c r="AB382" s="3"/>
      <c r="AC382" s="3">
        <v>99.79</v>
      </c>
      <c r="AD382" s="3"/>
      <c r="AE382" s="3">
        <v>108.86</v>
      </c>
      <c r="AF382" s="3"/>
      <c r="AG382" s="3">
        <v>101.87</v>
      </c>
      <c r="AH382" s="3"/>
    </row>
    <row r="383" spans="1:34">
      <c r="A383" t="s">
        <v>620</v>
      </c>
      <c r="B383" t="s">
        <v>621</v>
      </c>
      <c r="C383" s="3">
        <v>73.2</v>
      </c>
      <c r="D383" s="3"/>
      <c r="E383" s="3">
        <v>53</v>
      </c>
      <c r="F383" s="3"/>
      <c r="G383" s="3">
        <v>59</v>
      </c>
      <c r="H383" s="3"/>
      <c r="I383" s="3">
        <v>67.400000000000006</v>
      </c>
      <c r="J383" s="3"/>
      <c r="K383" s="3">
        <v>63.3</v>
      </c>
      <c r="L383" s="3"/>
      <c r="M383" s="3">
        <v>69.3</v>
      </c>
      <c r="N383" s="3"/>
      <c r="O383" s="3">
        <v>71.7</v>
      </c>
      <c r="P383" s="3"/>
      <c r="Q383" s="3">
        <v>73.5</v>
      </c>
      <c r="R383" s="3"/>
      <c r="S383" s="3">
        <v>71.7</v>
      </c>
      <c r="T383" s="3"/>
      <c r="U383" s="3">
        <v>78.599999999999994</v>
      </c>
      <c r="V383" s="3"/>
      <c r="W383" s="3">
        <v>93.3</v>
      </c>
      <c r="X383" s="3" t="s">
        <v>334</v>
      </c>
      <c r="Y383" s="3">
        <v>112.3</v>
      </c>
      <c r="Z383" s="3"/>
      <c r="AA383" s="3">
        <v>115.6</v>
      </c>
      <c r="AB383" s="3"/>
      <c r="AC383" s="3">
        <v>119.57</v>
      </c>
      <c r="AD383" s="3"/>
      <c r="AE383" s="3">
        <v>136.74</v>
      </c>
      <c r="AF383" s="3"/>
      <c r="AG383" s="3">
        <v>169.73</v>
      </c>
      <c r="AH383" s="3"/>
    </row>
    <row r="384" spans="1:34">
      <c r="A384" t="s">
        <v>622</v>
      </c>
      <c r="B384" t="s">
        <v>623</v>
      </c>
      <c r="C384" s="3">
        <v>20.8</v>
      </c>
      <c r="D384" s="3"/>
      <c r="E384" s="3">
        <v>14.5</v>
      </c>
      <c r="F384" s="3"/>
      <c r="G384" s="3">
        <v>14</v>
      </c>
      <c r="H384" s="3"/>
      <c r="I384" s="3">
        <v>18.3</v>
      </c>
      <c r="J384" s="3"/>
      <c r="K384" s="3">
        <v>16.3</v>
      </c>
      <c r="L384" s="3"/>
      <c r="M384" s="3">
        <v>17.5</v>
      </c>
      <c r="N384" s="3"/>
      <c r="O384" s="3">
        <v>14.7</v>
      </c>
      <c r="P384" s="3"/>
      <c r="Q384" s="3">
        <v>18</v>
      </c>
      <c r="R384" s="3"/>
      <c r="S384" s="3">
        <v>18.5</v>
      </c>
      <c r="T384" s="3"/>
      <c r="U384" s="3">
        <v>19.899999999999999</v>
      </c>
      <c r="V384" s="3"/>
      <c r="W384" s="3">
        <v>27.5</v>
      </c>
      <c r="X384" s="3" t="s">
        <v>334</v>
      </c>
      <c r="Y384" s="3">
        <v>37.1</v>
      </c>
      <c r="Z384" s="3"/>
      <c r="AA384" s="3">
        <v>40.5</v>
      </c>
      <c r="AB384" s="3"/>
      <c r="AC384" s="3">
        <v>41.06</v>
      </c>
      <c r="AD384" s="3"/>
      <c r="AE384" s="3">
        <v>50.02</v>
      </c>
      <c r="AF384" s="3"/>
      <c r="AG384" s="3">
        <v>51.19</v>
      </c>
      <c r="AH384" s="3"/>
    </row>
    <row r="385" spans="1:34">
      <c r="A385" t="s">
        <v>624</v>
      </c>
      <c r="B385" t="s">
        <v>625</v>
      </c>
      <c r="C385" s="3">
        <v>13.5</v>
      </c>
      <c r="D385" s="3"/>
      <c r="E385" s="3">
        <v>9</v>
      </c>
      <c r="F385" s="3"/>
      <c r="G385" s="3">
        <v>8.6999999999999993</v>
      </c>
      <c r="H385" s="3"/>
      <c r="I385" s="3">
        <v>8.1999999999999993</v>
      </c>
      <c r="J385" s="3"/>
      <c r="K385" s="3">
        <v>7.5</v>
      </c>
      <c r="L385" s="3"/>
      <c r="M385" s="3">
        <v>7.2</v>
      </c>
      <c r="N385" s="3"/>
      <c r="O385" s="3">
        <v>8</v>
      </c>
      <c r="P385" s="3"/>
      <c r="Q385" s="3">
        <v>8.9</v>
      </c>
      <c r="R385" s="3"/>
      <c r="S385" s="3">
        <v>8</v>
      </c>
      <c r="T385" s="3"/>
      <c r="U385" s="3">
        <v>8.1</v>
      </c>
      <c r="V385" s="3"/>
      <c r="W385" s="3">
        <v>10</v>
      </c>
      <c r="X385" s="3" t="s">
        <v>334</v>
      </c>
      <c r="Y385" s="3">
        <v>11.8</v>
      </c>
      <c r="Z385" s="3"/>
      <c r="AA385" s="3">
        <v>11.2</v>
      </c>
      <c r="AB385" s="3"/>
      <c r="AC385" s="3">
        <v>10.84</v>
      </c>
      <c r="AD385" s="3"/>
      <c r="AE385" s="3">
        <v>12.92</v>
      </c>
      <c r="AF385" s="3"/>
      <c r="AG385" s="3">
        <v>17.850000000000001</v>
      </c>
      <c r="AH385" s="3"/>
    </row>
    <row r="386" spans="1:34">
      <c r="A386" t="s">
        <v>626</v>
      </c>
      <c r="B386" t="s">
        <v>627</v>
      </c>
      <c r="C386" s="3">
        <v>39</v>
      </c>
      <c r="D386" s="3"/>
      <c r="E386" s="3">
        <v>29.5</v>
      </c>
      <c r="F386" s="3"/>
      <c r="G386" s="3">
        <v>36.299999999999997</v>
      </c>
      <c r="H386" s="3"/>
      <c r="I386" s="3">
        <v>40.9</v>
      </c>
      <c r="J386" s="3"/>
      <c r="K386" s="3">
        <v>39.5</v>
      </c>
      <c r="L386" s="3"/>
      <c r="M386" s="3">
        <v>44.6</v>
      </c>
      <c r="N386" s="3"/>
      <c r="O386" s="3">
        <v>49</v>
      </c>
      <c r="P386" s="3"/>
      <c r="Q386" s="3">
        <v>46.6</v>
      </c>
      <c r="R386" s="3"/>
      <c r="S386" s="3">
        <v>45.2</v>
      </c>
      <c r="T386" s="3"/>
      <c r="U386" s="3">
        <v>50.6</v>
      </c>
      <c r="V386" s="3"/>
      <c r="W386" s="3">
        <v>55.8</v>
      </c>
      <c r="X386" s="3" t="s">
        <v>334</v>
      </c>
      <c r="Y386" s="3">
        <v>63.4</v>
      </c>
      <c r="Z386" s="3"/>
      <c r="AA386" s="3">
        <v>63.9</v>
      </c>
      <c r="AB386" s="3"/>
      <c r="AC386" s="3">
        <v>67.67</v>
      </c>
      <c r="AD386" s="3"/>
      <c r="AE386" s="3">
        <v>73.81</v>
      </c>
      <c r="AF386" s="3"/>
      <c r="AG386" s="3">
        <v>100.69</v>
      </c>
      <c r="AH386" s="3"/>
    </row>
    <row r="387" spans="1:34">
      <c r="A387" t="s">
        <v>628</v>
      </c>
      <c r="B387" t="s">
        <v>629</v>
      </c>
      <c r="C387" s="3" t="s">
        <v>43</v>
      </c>
      <c r="D387" s="3"/>
      <c r="E387" s="3" t="s">
        <v>43</v>
      </c>
      <c r="F387" s="3"/>
      <c r="G387" s="3" t="s">
        <v>43</v>
      </c>
      <c r="H387" s="3"/>
      <c r="I387" s="3" t="s">
        <v>43</v>
      </c>
      <c r="J387" s="3"/>
      <c r="K387" s="3" t="s">
        <v>43</v>
      </c>
      <c r="L387" s="3"/>
      <c r="M387" s="3" t="s">
        <v>43</v>
      </c>
      <c r="N387" s="3"/>
      <c r="O387" s="3" t="s">
        <v>43</v>
      </c>
      <c r="P387" s="3"/>
      <c r="Q387" s="3" t="s">
        <v>43</v>
      </c>
      <c r="R387" s="3"/>
      <c r="S387" s="3">
        <v>120.7</v>
      </c>
      <c r="T387" s="3"/>
      <c r="U387" s="3">
        <v>152.4</v>
      </c>
      <c r="V387" s="3"/>
      <c r="W387" s="3">
        <v>176.5</v>
      </c>
      <c r="X387" s="3" t="s">
        <v>334</v>
      </c>
      <c r="Y387" s="3">
        <v>185</v>
      </c>
      <c r="Z387" s="3"/>
      <c r="AA387" s="3">
        <v>173.8</v>
      </c>
      <c r="AB387" s="3"/>
      <c r="AC387" s="3">
        <v>215.59</v>
      </c>
      <c r="AD387" s="3"/>
      <c r="AE387" s="3">
        <v>232.59</v>
      </c>
      <c r="AF387" s="3"/>
      <c r="AG387" s="3">
        <v>283.64</v>
      </c>
      <c r="AH387" s="3"/>
    </row>
    <row r="388" spans="1:34">
      <c r="A388" t="s">
        <v>630</v>
      </c>
      <c r="B388" t="s">
        <v>631</v>
      </c>
      <c r="C388" s="3" t="s">
        <v>43</v>
      </c>
      <c r="D388" s="3"/>
      <c r="E388" s="3" t="s">
        <v>43</v>
      </c>
      <c r="F388" s="3"/>
      <c r="G388" s="3" t="s">
        <v>43</v>
      </c>
      <c r="H388" s="3"/>
      <c r="I388" s="3" t="s">
        <v>43</v>
      </c>
      <c r="J388" s="3"/>
      <c r="K388" s="3" t="s">
        <v>43</v>
      </c>
      <c r="L388" s="3"/>
      <c r="M388" s="3" t="s">
        <v>43</v>
      </c>
      <c r="N388" s="3"/>
      <c r="O388" s="3" t="s">
        <v>43</v>
      </c>
      <c r="P388" s="3"/>
      <c r="Q388" s="3" t="s">
        <v>43</v>
      </c>
      <c r="R388" s="3"/>
      <c r="S388" s="3">
        <v>56.9</v>
      </c>
      <c r="T388" s="3"/>
      <c r="U388" s="3">
        <v>70.099999999999994</v>
      </c>
      <c r="V388" s="3"/>
      <c r="W388" s="3">
        <v>83.2</v>
      </c>
      <c r="X388" s="3" t="s">
        <v>334</v>
      </c>
      <c r="Y388" s="3">
        <v>77.7</v>
      </c>
      <c r="Z388" s="3"/>
      <c r="AA388" s="3">
        <v>73.3</v>
      </c>
      <c r="AB388" s="3"/>
      <c r="AC388" s="3">
        <v>104.7</v>
      </c>
      <c r="AD388" s="3"/>
      <c r="AE388" s="3">
        <v>120.7</v>
      </c>
      <c r="AF388" s="3"/>
      <c r="AG388" s="3">
        <v>142.24</v>
      </c>
      <c r="AH388" s="3"/>
    </row>
    <row r="389" spans="1:34">
      <c r="A389" t="s">
        <v>632</v>
      </c>
      <c r="B389" t="s">
        <v>633</v>
      </c>
      <c r="C389" s="3" t="s">
        <v>43</v>
      </c>
      <c r="D389" s="3"/>
      <c r="E389" s="3" t="s">
        <v>43</v>
      </c>
      <c r="F389" s="3"/>
      <c r="G389" s="3" t="s">
        <v>43</v>
      </c>
      <c r="H389" s="3"/>
      <c r="I389" s="3" t="s">
        <v>43</v>
      </c>
      <c r="J389" s="3"/>
      <c r="K389" s="3" t="s">
        <v>43</v>
      </c>
      <c r="L389" s="3"/>
      <c r="M389" s="3" t="s">
        <v>43</v>
      </c>
      <c r="N389" s="3"/>
      <c r="O389" s="3" t="s">
        <v>43</v>
      </c>
      <c r="P389" s="3"/>
      <c r="Q389" s="3" t="s">
        <v>43</v>
      </c>
      <c r="R389" s="3"/>
      <c r="S389" s="3">
        <v>63.8</v>
      </c>
      <c r="T389" s="3"/>
      <c r="U389" s="3">
        <v>82.3</v>
      </c>
      <c r="V389" s="3"/>
      <c r="W389" s="3">
        <v>93.3</v>
      </c>
      <c r="X389" s="3" t="s">
        <v>334</v>
      </c>
      <c r="Y389" s="3">
        <v>107.3</v>
      </c>
      <c r="Z389" s="3"/>
      <c r="AA389" s="3">
        <v>100.5</v>
      </c>
      <c r="AB389" s="3"/>
      <c r="AC389" s="3">
        <v>110.89</v>
      </c>
      <c r="AD389" s="3"/>
      <c r="AE389" s="3">
        <v>111.9</v>
      </c>
      <c r="AF389" s="3"/>
      <c r="AG389" s="3">
        <v>141.4</v>
      </c>
      <c r="AH389" s="3"/>
    </row>
    <row r="390" spans="1:34">
      <c r="A390" t="s">
        <v>634</v>
      </c>
      <c r="B390" t="s">
        <v>635</v>
      </c>
      <c r="C390" s="3" t="s">
        <v>43</v>
      </c>
      <c r="D390" s="3"/>
      <c r="E390" s="3" t="s">
        <v>43</v>
      </c>
      <c r="F390" s="3"/>
      <c r="G390" s="3" t="s">
        <v>43</v>
      </c>
      <c r="H390" s="3"/>
      <c r="I390" s="3" t="s">
        <v>43</v>
      </c>
      <c r="J390" s="3"/>
      <c r="K390" s="3" t="s">
        <v>43</v>
      </c>
      <c r="L390" s="3"/>
      <c r="M390" s="3" t="s">
        <v>43</v>
      </c>
      <c r="N390" s="3"/>
      <c r="O390" s="3" t="s">
        <v>43</v>
      </c>
      <c r="P390" s="3"/>
      <c r="Q390" s="3" t="s">
        <v>43</v>
      </c>
      <c r="R390" s="3"/>
      <c r="S390" s="3">
        <v>168.5</v>
      </c>
      <c r="T390" s="3"/>
      <c r="U390" s="3">
        <v>188.8</v>
      </c>
      <c r="V390" s="3"/>
      <c r="W390" s="3">
        <v>234.5</v>
      </c>
      <c r="X390" s="3" t="s">
        <v>334</v>
      </c>
      <c r="Y390" s="3">
        <v>260.2</v>
      </c>
      <c r="Z390" s="3"/>
      <c r="AA390" s="3">
        <v>215.5</v>
      </c>
      <c r="AB390" s="3"/>
      <c r="AC390" s="3">
        <v>228.45</v>
      </c>
      <c r="AD390" s="3"/>
      <c r="AE390" s="3">
        <v>239.14</v>
      </c>
      <c r="AF390" s="3"/>
      <c r="AG390" s="3">
        <v>304.73</v>
      </c>
      <c r="AH390" s="3"/>
    </row>
    <row r="391" spans="1:34">
      <c r="A391" t="s">
        <v>636</v>
      </c>
      <c r="B391" t="s">
        <v>637</v>
      </c>
      <c r="C391" s="3" t="s">
        <v>43</v>
      </c>
      <c r="D391" s="3"/>
      <c r="E391" s="3" t="s">
        <v>43</v>
      </c>
      <c r="F391" s="3"/>
      <c r="G391" s="3" t="s">
        <v>43</v>
      </c>
      <c r="H391" s="3"/>
      <c r="I391" s="3" t="s">
        <v>43</v>
      </c>
      <c r="J391" s="3"/>
      <c r="K391" s="3" t="s">
        <v>43</v>
      </c>
      <c r="L391" s="3"/>
      <c r="M391" s="3" t="s">
        <v>43</v>
      </c>
      <c r="N391" s="3"/>
      <c r="O391" s="3" t="s">
        <v>43</v>
      </c>
      <c r="P391" s="3"/>
      <c r="Q391" s="3" t="s">
        <v>43</v>
      </c>
      <c r="R391" s="3"/>
      <c r="S391" s="3">
        <v>24.9</v>
      </c>
      <c r="T391" s="3"/>
      <c r="U391" s="3">
        <v>29.7</v>
      </c>
      <c r="V391" s="3"/>
      <c r="W391" s="3">
        <v>42.8</v>
      </c>
      <c r="X391" s="3" t="s">
        <v>334</v>
      </c>
      <c r="Y391" s="3">
        <v>32.6</v>
      </c>
      <c r="Z391" s="3"/>
      <c r="AA391" s="3">
        <v>28.9</v>
      </c>
      <c r="AB391" s="3"/>
      <c r="AC391" s="3">
        <v>33.81</v>
      </c>
      <c r="AD391" s="3"/>
      <c r="AE391" s="3">
        <v>36.24</v>
      </c>
      <c r="AF391" s="3"/>
      <c r="AG391" s="3">
        <v>45.18</v>
      </c>
      <c r="AH391" s="3"/>
    </row>
    <row r="392" spans="1:34">
      <c r="A392" t="s">
        <v>638</v>
      </c>
      <c r="B392" t="s">
        <v>639</v>
      </c>
      <c r="C392" s="3" t="s">
        <v>43</v>
      </c>
      <c r="D392" s="3"/>
      <c r="E392" s="3" t="s">
        <v>43</v>
      </c>
      <c r="F392" s="3"/>
      <c r="G392" s="3" t="s">
        <v>43</v>
      </c>
      <c r="H392" s="3"/>
      <c r="I392" s="3" t="s">
        <v>43</v>
      </c>
      <c r="J392" s="3"/>
      <c r="K392" s="3" t="s">
        <v>43</v>
      </c>
      <c r="L392" s="3"/>
      <c r="M392" s="3" t="s">
        <v>43</v>
      </c>
      <c r="N392" s="3"/>
      <c r="O392" s="3" t="s">
        <v>43</v>
      </c>
      <c r="P392" s="3"/>
      <c r="Q392" s="3" t="s">
        <v>43</v>
      </c>
      <c r="R392" s="3"/>
      <c r="S392" s="3">
        <v>119.1</v>
      </c>
      <c r="T392" s="3"/>
      <c r="U392" s="3">
        <v>130.30000000000001</v>
      </c>
      <c r="V392" s="3"/>
      <c r="W392" s="3">
        <v>158.19999999999999</v>
      </c>
      <c r="X392" s="3" t="s">
        <v>334</v>
      </c>
      <c r="Y392" s="3">
        <v>190.8</v>
      </c>
      <c r="Z392" s="3"/>
      <c r="AA392" s="3">
        <v>174.3</v>
      </c>
      <c r="AB392" s="3"/>
      <c r="AC392" s="3">
        <v>178.13</v>
      </c>
      <c r="AD392" s="3"/>
      <c r="AE392" s="3">
        <v>187.18</v>
      </c>
      <c r="AF392" s="3"/>
      <c r="AG392" s="3">
        <v>241.05</v>
      </c>
      <c r="AH392" s="3"/>
    </row>
    <row r="393" spans="1:34">
      <c r="A393" t="s">
        <v>640</v>
      </c>
      <c r="B393" t="s">
        <v>641</v>
      </c>
      <c r="C393" s="3" t="s">
        <v>43</v>
      </c>
      <c r="D393" s="3"/>
      <c r="E393" s="3" t="s">
        <v>43</v>
      </c>
      <c r="F393" s="3"/>
      <c r="G393" s="3" t="s">
        <v>43</v>
      </c>
      <c r="H393" s="3"/>
      <c r="I393" s="3" t="s">
        <v>43</v>
      </c>
      <c r="J393" s="3"/>
      <c r="K393" s="3" t="s">
        <v>43</v>
      </c>
      <c r="L393" s="3"/>
      <c r="M393" s="3" t="s">
        <v>43</v>
      </c>
      <c r="N393" s="3"/>
      <c r="O393" s="3" t="s">
        <v>43</v>
      </c>
      <c r="P393" s="3"/>
      <c r="Q393" s="3" t="s">
        <v>43</v>
      </c>
      <c r="R393" s="3"/>
      <c r="S393" s="3">
        <v>24.6</v>
      </c>
      <c r="T393" s="3"/>
      <c r="U393" s="3">
        <v>28.8</v>
      </c>
      <c r="V393" s="3"/>
      <c r="W393" s="3">
        <v>33.5</v>
      </c>
      <c r="X393" s="3" t="s">
        <v>334</v>
      </c>
      <c r="Y393" s="3">
        <v>36.700000000000003</v>
      </c>
      <c r="Z393" s="3"/>
      <c r="AA393" s="3">
        <v>12.4</v>
      </c>
      <c r="AB393" s="3"/>
      <c r="AC393" s="3">
        <v>16.510000000000002</v>
      </c>
      <c r="AD393" s="3"/>
      <c r="AE393" s="3">
        <v>15.72</v>
      </c>
      <c r="AF393" s="3"/>
      <c r="AG393" s="3">
        <v>18.489999999999998</v>
      </c>
      <c r="AH393" s="3"/>
    </row>
    <row r="394" spans="1:34">
      <c r="A394" t="s">
        <v>642</v>
      </c>
      <c r="B394" t="s">
        <v>643</v>
      </c>
      <c r="C394" s="3" t="s">
        <v>43</v>
      </c>
      <c r="D394" s="3"/>
      <c r="E394" s="3" t="s">
        <v>43</v>
      </c>
      <c r="F394" s="3"/>
      <c r="G394" s="3" t="s">
        <v>43</v>
      </c>
      <c r="H394" s="3"/>
      <c r="I394" s="3" t="s">
        <v>43</v>
      </c>
      <c r="J394" s="3"/>
      <c r="K394" s="3" t="s">
        <v>43</v>
      </c>
      <c r="L394" s="3"/>
      <c r="M394" s="3" t="s">
        <v>43</v>
      </c>
      <c r="N394" s="3"/>
      <c r="O394" s="3" t="s">
        <v>43</v>
      </c>
      <c r="P394" s="3"/>
      <c r="Q394" s="3" t="s">
        <v>43</v>
      </c>
      <c r="R394" s="3"/>
      <c r="S394" s="3">
        <v>89.3</v>
      </c>
      <c r="T394" s="3"/>
      <c r="U394" s="3">
        <v>94.6</v>
      </c>
      <c r="V394" s="3"/>
      <c r="W394" s="3">
        <v>120.8</v>
      </c>
      <c r="X394" s="3" t="s">
        <v>334</v>
      </c>
      <c r="Y394" s="3">
        <v>92.7</v>
      </c>
      <c r="Z394" s="3"/>
      <c r="AA394" s="3">
        <v>121.6</v>
      </c>
      <c r="AB394" s="3"/>
      <c r="AC394" s="3">
        <v>122.32</v>
      </c>
      <c r="AD394" s="3"/>
      <c r="AE394" s="3">
        <v>117.05</v>
      </c>
      <c r="AF394" s="3"/>
      <c r="AG394" s="3">
        <v>128.49</v>
      </c>
      <c r="AH394" s="3"/>
    </row>
    <row r="395" spans="1:34">
      <c r="A395" t="s">
        <v>644</v>
      </c>
      <c r="B395" t="s">
        <v>645</v>
      </c>
      <c r="C395" s="3" t="s">
        <v>43</v>
      </c>
      <c r="D395" s="3"/>
      <c r="E395" s="3" t="s">
        <v>43</v>
      </c>
      <c r="F395" s="3"/>
      <c r="G395" s="3" t="s">
        <v>43</v>
      </c>
      <c r="H395" s="3"/>
      <c r="I395" s="3" t="s">
        <v>43</v>
      </c>
      <c r="J395" s="3"/>
      <c r="K395" s="3" t="s">
        <v>43</v>
      </c>
      <c r="L395" s="3"/>
      <c r="M395" s="3" t="s">
        <v>43</v>
      </c>
      <c r="N395" s="3"/>
      <c r="O395" s="3" t="s">
        <v>43</v>
      </c>
      <c r="P395" s="3"/>
      <c r="Q395" s="3" t="s">
        <v>43</v>
      </c>
      <c r="R395" s="3"/>
      <c r="S395" s="3">
        <v>43.5</v>
      </c>
      <c r="T395" s="3" t="s">
        <v>847</v>
      </c>
      <c r="U395" s="3">
        <v>47.1</v>
      </c>
      <c r="V395" s="3" t="s">
        <v>847</v>
      </c>
      <c r="W395" s="3">
        <v>65.2</v>
      </c>
      <c r="X395" s="3" t="s">
        <v>334</v>
      </c>
      <c r="Y395" s="3">
        <v>71</v>
      </c>
      <c r="Z395" s="3"/>
      <c r="AA395" s="3">
        <v>79.8</v>
      </c>
      <c r="AB395" s="3"/>
      <c r="AC395" s="3">
        <v>81.2</v>
      </c>
      <c r="AD395" s="3"/>
      <c r="AE395" s="3">
        <v>75.87</v>
      </c>
      <c r="AF395" s="3"/>
      <c r="AG395" s="3">
        <v>80.84</v>
      </c>
      <c r="AH395" s="3"/>
    </row>
    <row r="396" spans="1:34">
      <c r="A396" t="s">
        <v>646</v>
      </c>
      <c r="B396" t="s">
        <v>647</v>
      </c>
      <c r="C396" s="3" t="s">
        <v>43</v>
      </c>
      <c r="D396" s="3"/>
      <c r="E396" s="3" t="s">
        <v>43</v>
      </c>
      <c r="F396" s="3"/>
      <c r="G396" s="3" t="s">
        <v>43</v>
      </c>
      <c r="H396" s="3"/>
      <c r="I396" s="3" t="s">
        <v>43</v>
      </c>
      <c r="J396" s="3"/>
      <c r="K396" s="3" t="s">
        <v>43</v>
      </c>
      <c r="L396" s="3"/>
      <c r="M396" s="3" t="s">
        <v>43</v>
      </c>
      <c r="N396" s="3"/>
      <c r="O396" s="3" t="s">
        <v>43</v>
      </c>
      <c r="P396" s="3"/>
      <c r="Q396" s="3" t="s">
        <v>43</v>
      </c>
      <c r="R396" s="3"/>
      <c r="S396" s="3">
        <v>44</v>
      </c>
      <c r="T396" s="3" t="s">
        <v>847</v>
      </c>
      <c r="U396" s="3">
        <v>45.5</v>
      </c>
      <c r="V396" s="3" t="s">
        <v>847</v>
      </c>
      <c r="W396" s="3">
        <v>55.6</v>
      </c>
      <c r="X396" s="3" t="s">
        <v>334</v>
      </c>
      <c r="Y396" s="3">
        <v>21.7</v>
      </c>
      <c r="Z396" s="3"/>
      <c r="AA396" s="3">
        <v>41.8</v>
      </c>
      <c r="AB396" s="3"/>
      <c r="AC396" s="3">
        <v>41.12</v>
      </c>
      <c r="AD396" s="3"/>
      <c r="AE396" s="3">
        <v>41.18</v>
      </c>
      <c r="AF396" s="3"/>
      <c r="AG396" s="3">
        <v>47.65</v>
      </c>
      <c r="AH396" s="3"/>
    </row>
    <row r="397" spans="1:34">
      <c r="A397" t="s">
        <v>648</v>
      </c>
      <c r="B397" t="s">
        <v>649</v>
      </c>
      <c r="C397" s="3">
        <v>540.9</v>
      </c>
      <c r="D397" s="3"/>
      <c r="E397" s="3">
        <v>476.2</v>
      </c>
      <c r="F397" s="3"/>
      <c r="G397" s="3">
        <v>484.9</v>
      </c>
      <c r="H397" s="3"/>
      <c r="I397" s="3">
        <v>497.2</v>
      </c>
      <c r="J397" s="3"/>
      <c r="K397" s="3">
        <v>486.4</v>
      </c>
      <c r="L397" s="3"/>
      <c r="M397" s="3">
        <v>490.2</v>
      </c>
      <c r="N397" s="3"/>
      <c r="O397" s="3">
        <v>511</v>
      </c>
      <c r="P397" s="3"/>
      <c r="Q397" s="3">
        <v>557.4</v>
      </c>
      <c r="R397" s="3"/>
      <c r="S397" s="3">
        <v>566.79999999999995</v>
      </c>
      <c r="T397" s="3"/>
      <c r="U397" s="3">
        <v>647.79999999999995</v>
      </c>
      <c r="V397" s="3"/>
      <c r="W397" s="3">
        <v>747.1</v>
      </c>
      <c r="X397" s="3"/>
      <c r="Y397" s="3">
        <v>787.8</v>
      </c>
      <c r="Z397" s="3"/>
      <c r="AA397" s="3">
        <v>743.1</v>
      </c>
      <c r="AB397" s="3"/>
      <c r="AC397" s="3">
        <v>779.88</v>
      </c>
      <c r="AD397" s="3" t="s">
        <v>334</v>
      </c>
      <c r="AE397" s="3">
        <v>804.89</v>
      </c>
      <c r="AF397" s="3"/>
      <c r="AG397" s="3">
        <v>899.48</v>
      </c>
      <c r="AH397" s="3"/>
    </row>
    <row r="398" spans="1:34">
      <c r="A398" t="s">
        <v>650</v>
      </c>
      <c r="B398" t="s">
        <v>651</v>
      </c>
      <c r="C398" s="3" t="s">
        <v>43</v>
      </c>
      <c r="D398" s="3" t="s">
        <v>44</v>
      </c>
      <c r="E398" s="3" t="s">
        <v>43</v>
      </c>
      <c r="F398" s="3" t="s">
        <v>44</v>
      </c>
      <c r="G398" s="3">
        <v>484.4</v>
      </c>
      <c r="H398" s="3"/>
      <c r="I398" s="3">
        <v>496.8</v>
      </c>
      <c r="J398" s="3"/>
      <c r="K398" s="3">
        <v>486.2</v>
      </c>
      <c r="L398" s="3"/>
      <c r="M398" s="3">
        <v>490.2</v>
      </c>
      <c r="N398" s="3"/>
      <c r="O398" s="3">
        <v>510.9</v>
      </c>
      <c r="P398" s="3"/>
      <c r="Q398" s="3">
        <v>557.29999999999995</v>
      </c>
      <c r="R398" s="3"/>
      <c r="S398" s="3">
        <v>566.79999999999995</v>
      </c>
      <c r="T398" s="3"/>
      <c r="U398" s="3">
        <v>647.79999999999995</v>
      </c>
      <c r="V398" s="3"/>
      <c r="W398" s="3">
        <v>747</v>
      </c>
      <c r="X398" s="3"/>
      <c r="Y398" s="3">
        <v>787.8</v>
      </c>
      <c r="Z398" s="3"/>
      <c r="AA398" s="3">
        <v>743</v>
      </c>
      <c r="AB398" s="3"/>
      <c r="AC398" s="3">
        <v>779.86</v>
      </c>
      <c r="AD398" s="3" t="s">
        <v>334</v>
      </c>
      <c r="AE398" s="3">
        <v>804.85</v>
      </c>
      <c r="AF398" s="3"/>
      <c r="AG398" s="3">
        <v>899.45</v>
      </c>
      <c r="AH398" s="3"/>
    </row>
    <row r="399" spans="1:34">
      <c r="A399" t="s">
        <v>652</v>
      </c>
      <c r="B399" t="s">
        <v>653</v>
      </c>
      <c r="C399" s="3">
        <v>204</v>
      </c>
      <c r="D399" s="3"/>
      <c r="E399" s="3">
        <v>178.6</v>
      </c>
      <c r="F399" s="3"/>
      <c r="G399" s="3">
        <v>187.3</v>
      </c>
      <c r="H399" s="3"/>
      <c r="I399" s="3">
        <v>196.8</v>
      </c>
      <c r="J399" s="3"/>
      <c r="K399" s="3">
        <v>193.8</v>
      </c>
      <c r="L399" s="3"/>
      <c r="M399" s="3">
        <v>199.7</v>
      </c>
      <c r="N399" s="3"/>
      <c r="O399" s="3">
        <v>220</v>
      </c>
      <c r="P399" s="3"/>
      <c r="Q399" s="3">
        <v>257.39999999999998</v>
      </c>
      <c r="R399" s="3"/>
      <c r="S399" s="3">
        <v>274.2</v>
      </c>
      <c r="T399" s="3"/>
      <c r="U399" s="3">
        <v>314.2</v>
      </c>
      <c r="V399" s="3"/>
      <c r="W399" s="3">
        <v>357.5</v>
      </c>
      <c r="X399" s="3"/>
      <c r="Y399" s="3">
        <v>378</v>
      </c>
      <c r="Z399" s="3"/>
      <c r="AA399" s="3">
        <v>338.9</v>
      </c>
      <c r="AB399" s="3"/>
      <c r="AC399" s="3">
        <v>362.88</v>
      </c>
      <c r="AD399" s="3" t="s">
        <v>334</v>
      </c>
      <c r="AE399" s="3">
        <v>387.94</v>
      </c>
      <c r="AF399" s="3"/>
      <c r="AG399" s="3">
        <v>444.1</v>
      </c>
      <c r="AH399" s="3"/>
    </row>
    <row r="400" spans="1:34">
      <c r="A400" t="s">
        <v>654</v>
      </c>
      <c r="B400" t="s">
        <v>655</v>
      </c>
      <c r="C400" s="3" t="s">
        <v>43</v>
      </c>
      <c r="D400" s="3" t="s">
        <v>44</v>
      </c>
      <c r="E400" s="3" t="s">
        <v>43</v>
      </c>
      <c r="F400" s="3" t="s">
        <v>44</v>
      </c>
      <c r="G400" s="3">
        <v>0.1</v>
      </c>
      <c r="H400" s="3"/>
      <c r="I400" s="3">
        <v>0.1</v>
      </c>
      <c r="J400" s="3"/>
      <c r="K400" s="3">
        <v>0.1</v>
      </c>
      <c r="L400" s="3"/>
      <c r="M400" s="3">
        <v>0.1</v>
      </c>
      <c r="N400" s="3"/>
      <c r="O400" s="3">
        <v>0.1</v>
      </c>
      <c r="P400" s="3"/>
      <c r="Q400" s="3">
        <v>0.1</v>
      </c>
      <c r="R400" s="3"/>
      <c r="S400" s="3">
        <v>0.1</v>
      </c>
      <c r="T400" s="3"/>
      <c r="U400" s="3">
        <v>0.1</v>
      </c>
      <c r="V400" s="3"/>
      <c r="W400" s="3">
        <v>0</v>
      </c>
      <c r="X400" s="3"/>
      <c r="Y400" s="3">
        <v>0</v>
      </c>
      <c r="Z400" s="3"/>
      <c r="AA400" s="3">
        <v>0</v>
      </c>
      <c r="AB400" s="3"/>
      <c r="AC400" s="3">
        <v>0.04</v>
      </c>
      <c r="AD400" s="3" t="s">
        <v>334</v>
      </c>
      <c r="AE400" s="3">
        <v>0.06</v>
      </c>
      <c r="AF400" s="3"/>
      <c r="AG400" s="3">
        <v>7.0000000000000007E-2</v>
      </c>
      <c r="AH400" s="3"/>
    </row>
    <row r="401" spans="1:34">
      <c r="A401" t="s">
        <v>656</v>
      </c>
      <c r="B401" t="s">
        <v>657</v>
      </c>
      <c r="C401" s="3">
        <v>158.1</v>
      </c>
      <c r="D401" s="3"/>
      <c r="E401" s="3">
        <v>107.3</v>
      </c>
      <c r="F401" s="3"/>
      <c r="G401" s="3">
        <v>127.9</v>
      </c>
      <c r="H401" s="3"/>
      <c r="I401" s="3">
        <v>126.9</v>
      </c>
      <c r="J401" s="3"/>
      <c r="K401" s="3">
        <v>123.3</v>
      </c>
      <c r="L401" s="3"/>
      <c r="M401" s="3">
        <v>129.4</v>
      </c>
      <c r="N401" s="3"/>
      <c r="O401" s="3">
        <v>124.5</v>
      </c>
      <c r="P401" s="3"/>
      <c r="Q401" s="3">
        <v>128.69999999999999</v>
      </c>
      <c r="R401" s="3"/>
      <c r="S401" s="3">
        <v>127.8</v>
      </c>
      <c r="T401" s="3"/>
      <c r="U401" s="3">
        <v>136.30000000000001</v>
      </c>
      <c r="V401" s="3"/>
      <c r="W401" s="3">
        <v>152.30000000000001</v>
      </c>
      <c r="X401" s="3"/>
      <c r="Y401" s="3">
        <v>149.5</v>
      </c>
      <c r="Z401" s="3"/>
      <c r="AA401" s="3">
        <v>166.8</v>
      </c>
      <c r="AB401" s="3"/>
      <c r="AC401" s="3">
        <v>163.01</v>
      </c>
      <c r="AD401" s="3" t="s">
        <v>334</v>
      </c>
      <c r="AE401" s="3" t="s">
        <v>43</v>
      </c>
      <c r="AF401" s="3"/>
      <c r="AG401" s="3" t="s">
        <v>43</v>
      </c>
      <c r="AH401" s="3"/>
    </row>
    <row r="402" spans="1:34">
      <c r="A402" t="s">
        <v>658</v>
      </c>
      <c r="B402" t="s">
        <v>659</v>
      </c>
      <c r="C402" s="3">
        <v>147</v>
      </c>
      <c r="D402" s="3"/>
      <c r="E402" s="3">
        <v>171.8</v>
      </c>
      <c r="F402" s="3"/>
      <c r="G402" s="3">
        <v>150.19999999999999</v>
      </c>
      <c r="H402" s="3"/>
      <c r="I402" s="3">
        <v>151.30000000000001</v>
      </c>
      <c r="J402" s="3"/>
      <c r="K402" s="3">
        <v>149.4</v>
      </c>
      <c r="L402" s="3"/>
      <c r="M402" s="3">
        <v>140.6</v>
      </c>
      <c r="N402" s="3"/>
      <c r="O402" s="3">
        <v>146</v>
      </c>
      <c r="P402" s="3"/>
      <c r="Q402" s="3">
        <v>149.6</v>
      </c>
      <c r="R402" s="3"/>
      <c r="S402" s="3">
        <v>143.80000000000001</v>
      </c>
      <c r="T402" s="3"/>
      <c r="U402" s="3">
        <v>175.9</v>
      </c>
      <c r="V402" s="3"/>
      <c r="W402" s="3">
        <v>215.8</v>
      </c>
      <c r="X402" s="3"/>
      <c r="Y402" s="3">
        <v>237.7</v>
      </c>
      <c r="Z402" s="3"/>
      <c r="AA402" s="3">
        <v>215.2</v>
      </c>
      <c r="AB402" s="3"/>
      <c r="AC402" s="3">
        <v>230.31</v>
      </c>
      <c r="AD402" s="3" t="s">
        <v>334</v>
      </c>
      <c r="AE402" s="3" t="s">
        <v>43</v>
      </c>
      <c r="AF402" s="3"/>
      <c r="AG402" s="3" t="s">
        <v>43</v>
      </c>
      <c r="AH402" s="3"/>
    </row>
    <row r="403" spans="1:34">
      <c r="A403" t="s">
        <v>660</v>
      </c>
      <c r="B403" t="s">
        <v>661</v>
      </c>
      <c r="C403" s="3">
        <v>31.2</v>
      </c>
      <c r="D403" s="3"/>
      <c r="E403" s="3">
        <v>18</v>
      </c>
      <c r="F403" s="3"/>
      <c r="G403" s="3">
        <v>18.899999999999999</v>
      </c>
      <c r="H403" s="3"/>
      <c r="I403" s="3">
        <v>21.7</v>
      </c>
      <c r="J403" s="3"/>
      <c r="K403" s="3">
        <v>19.600000000000001</v>
      </c>
      <c r="L403" s="3"/>
      <c r="M403" s="3">
        <v>20.3</v>
      </c>
      <c r="N403" s="3"/>
      <c r="O403" s="3">
        <v>20.3</v>
      </c>
      <c r="P403" s="3"/>
      <c r="Q403" s="3">
        <v>21.6</v>
      </c>
      <c r="R403" s="3"/>
      <c r="S403" s="3">
        <v>20.9</v>
      </c>
      <c r="T403" s="3"/>
      <c r="U403" s="3">
        <v>21.2</v>
      </c>
      <c r="V403" s="3"/>
      <c r="W403" s="3">
        <v>21.3</v>
      </c>
      <c r="X403" s="3"/>
      <c r="Y403" s="3">
        <v>22.5</v>
      </c>
      <c r="Z403" s="3"/>
      <c r="AA403" s="3">
        <v>22.2</v>
      </c>
      <c r="AB403" s="3"/>
      <c r="AC403" s="3">
        <v>23.63</v>
      </c>
      <c r="AD403" s="3" t="s">
        <v>334</v>
      </c>
      <c r="AE403" s="3" t="s">
        <v>43</v>
      </c>
      <c r="AF403" s="3"/>
      <c r="AG403" s="3" t="s">
        <v>43</v>
      </c>
      <c r="AH403" s="3"/>
    </row>
    <row r="404" spans="1:34">
      <c r="A404" t="s">
        <v>672</v>
      </c>
      <c r="B404" t="s">
        <v>673</v>
      </c>
      <c r="C404" s="3" t="s">
        <v>43</v>
      </c>
      <c r="D404" s="3" t="s">
        <v>44</v>
      </c>
      <c r="E404" s="3" t="s">
        <v>43</v>
      </c>
      <c r="F404" s="3" t="s">
        <v>44</v>
      </c>
      <c r="G404" s="3">
        <v>0</v>
      </c>
      <c r="H404" s="3"/>
      <c r="I404" s="3">
        <v>0</v>
      </c>
      <c r="J404" s="3"/>
      <c r="K404" s="3">
        <v>0</v>
      </c>
      <c r="L404" s="3"/>
      <c r="M404" s="3">
        <v>0</v>
      </c>
      <c r="N404" s="3"/>
      <c r="O404" s="3">
        <v>0</v>
      </c>
      <c r="P404" s="3"/>
      <c r="Q404" s="3" t="s">
        <v>43</v>
      </c>
      <c r="R404" s="3" t="s">
        <v>44</v>
      </c>
      <c r="S404" s="3" t="s">
        <v>43</v>
      </c>
      <c r="T404" s="3" t="s">
        <v>44</v>
      </c>
      <c r="U404" s="3" t="s">
        <v>43</v>
      </c>
      <c r="V404" s="3" t="s">
        <v>44</v>
      </c>
      <c r="W404" s="3" t="s">
        <v>43</v>
      </c>
      <c r="X404" s="3" t="s">
        <v>44</v>
      </c>
      <c r="Y404" s="3" t="s">
        <v>43</v>
      </c>
      <c r="Z404" s="3" t="s">
        <v>44</v>
      </c>
      <c r="AA404" s="3" t="s">
        <v>43</v>
      </c>
      <c r="AB404" s="3" t="s">
        <v>44</v>
      </c>
      <c r="AC404" s="3" t="s">
        <v>43</v>
      </c>
      <c r="AD404" s="3" t="s">
        <v>403</v>
      </c>
      <c r="AE404" s="3" t="s">
        <v>43</v>
      </c>
      <c r="AF404" s="3" t="s">
        <v>44</v>
      </c>
      <c r="AG404" s="3" t="s">
        <v>43</v>
      </c>
      <c r="AH404" s="3" t="s">
        <v>44</v>
      </c>
    </row>
    <row r="405" spans="1:34">
      <c r="A405" t="s">
        <v>674</v>
      </c>
      <c r="B405" t="s">
        <v>673</v>
      </c>
      <c r="C405" s="3" t="s">
        <v>43</v>
      </c>
      <c r="D405" s="3" t="s">
        <v>44</v>
      </c>
      <c r="E405" s="3" t="s">
        <v>43</v>
      </c>
      <c r="F405" s="3" t="s">
        <v>44</v>
      </c>
      <c r="G405" s="3">
        <v>0</v>
      </c>
      <c r="H405" s="3"/>
      <c r="I405" s="3">
        <v>0</v>
      </c>
      <c r="J405" s="3"/>
      <c r="K405" s="3">
        <v>0</v>
      </c>
      <c r="L405" s="3"/>
      <c r="M405" s="3">
        <v>0</v>
      </c>
      <c r="N405" s="3"/>
      <c r="O405" s="3">
        <v>0</v>
      </c>
      <c r="P405" s="3"/>
      <c r="Q405" s="3" t="s">
        <v>43</v>
      </c>
      <c r="R405" s="3" t="s">
        <v>44</v>
      </c>
      <c r="S405" s="3" t="s">
        <v>43</v>
      </c>
      <c r="T405" s="3" t="s">
        <v>44</v>
      </c>
      <c r="U405" s="3" t="s">
        <v>43</v>
      </c>
      <c r="V405" s="3" t="s">
        <v>44</v>
      </c>
      <c r="W405" s="3" t="s">
        <v>43</v>
      </c>
      <c r="X405" s="3" t="s">
        <v>44</v>
      </c>
      <c r="Y405" s="3" t="s">
        <v>43</v>
      </c>
      <c r="Z405" s="3" t="s">
        <v>44</v>
      </c>
      <c r="AA405" s="3" t="s">
        <v>43</v>
      </c>
      <c r="AB405" s="3" t="s">
        <v>44</v>
      </c>
      <c r="AC405" s="3" t="s">
        <v>43</v>
      </c>
      <c r="AD405" s="3" t="s">
        <v>403</v>
      </c>
      <c r="AE405" s="3" t="s">
        <v>43</v>
      </c>
      <c r="AF405" s="3" t="s">
        <v>44</v>
      </c>
      <c r="AG405" s="3" t="s">
        <v>43</v>
      </c>
      <c r="AH405" s="3" t="s">
        <v>44</v>
      </c>
    </row>
    <row r="406" spans="1:34">
      <c r="A406" t="s">
        <v>675</v>
      </c>
      <c r="B406" t="s">
        <v>676</v>
      </c>
      <c r="C406" s="3" t="s">
        <v>43</v>
      </c>
      <c r="D406" s="3" t="s">
        <v>44</v>
      </c>
      <c r="E406" s="3" t="s">
        <v>43</v>
      </c>
      <c r="F406" s="3" t="s">
        <v>44</v>
      </c>
      <c r="G406" s="3">
        <v>0.4</v>
      </c>
      <c r="H406" s="3"/>
      <c r="I406" s="3">
        <v>0.4</v>
      </c>
      <c r="J406" s="3"/>
      <c r="K406" s="3">
        <v>0.2</v>
      </c>
      <c r="L406" s="3"/>
      <c r="M406" s="3">
        <v>0</v>
      </c>
      <c r="N406" s="3"/>
      <c r="O406" s="3">
        <v>0</v>
      </c>
      <c r="P406" s="3"/>
      <c r="Q406" s="3" t="s">
        <v>43</v>
      </c>
      <c r="R406" s="3" t="s">
        <v>44</v>
      </c>
      <c r="S406" s="3" t="s">
        <v>43</v>
      </c>
      <c r="T406" s="3" t="s">
        <v>44</v>
      </c>
      <c r="U406" s="3" t="s">
        <v>43</v>
      </c>
      <c r="V406" s="3" t="s">
        <v>44</v>
      </c>
      <c r="W406" s="3" t="s">
        <v>43</v>
      </c>
      <c r="X406" s="3" t="s">
        <v>44</v>
      </c>
      <c r="Y406" s="3" t="s">
        <v>43</v>
      </c>
      <c r="Z406" s="3" t="s">
        <v>44</v>
      </c>
      <c r="AA406" s="3" t="s">
        <v>43</v>
      </c>
      <c r="AB406" s="3" t="s">
        <v>44</v>
      </c>
      <c r="AC406" s="3" t="s">
        <v>43</v>
      </c>
      <c r="AD406" s="3" t="s">
        <v>403</v>
      </c>
      <c r="AE406" s="3" t="s">
        <v>43</v>
      </c>
      <c r="AF406" s="3" t="s">
        <v>44</v>
      </c>
      <c r="AG406" s="3" t="s">
        <v>43</v>
      </c>
      <c r="AH406" s="3" t="s">
        <v>44</v>
      </c>
    </row>
    <row r="407" spans="1:34">
      <c r="A407" t="s">
        <v>677</v>
      </c>
      <c r="B407" t="s">
        <v>676</v>
      </c>
      <c r="C407" s="3" t="s">
        <v>43</v>
      </c>
      <c r="D407" s="3" t="s">
        <v>44</v>
      </c>
      <c r="E407" s="3" t="s">
        <v>43</v>
      </c>
      <c r="F407" s="3" t="s">
        <v>44</v>
      </c>
      <c r="G407" s="3">
        <v>0.4</v>
      </c>
      <c r="H407" s="3"/>
      <c r="I407" s="3">
        <v>0.4</v>
      </c>
      <c r="J407" s="3"/>
      <c r="K407" s="3">
        <v>0.2</v>
      </c>
      <c r="L407" s="3"/>
      <c r="M407" s="3">
        <v>0</v>
      </c>
      <c r="N407" s="3"/>
      <c r="O407" s="3">
        <v>0</v>
      </c>
      <c r="P407" s="3"/>
      <c r="Q407" s="3" t="s">
        <v>43</v>
      </c>
      <c r="R407" s="3" t="s">
        <v>44</v>
      </c>
      <c r="S407" s="3" t="s">
        <v>43</v>
      </c>
      <c r="T407" s="3" t="s">
        <v>44</v>
      </c>
      <c r="U407" s="3" t="s">
        <v>43</v>
      </c>
      <c r="V407" s="3" t="s">
        <v>44</v>
      </c>
      <c r="W407" s="3" t="s">
        <v>43</v>
      </c>
      <c r="X407" s="3" t="s">
        <v>44</v>
      </c>
      <c r="Y407" s="3" t="s">
        <v>43</v>
      </c>
      <c r="Z407" s="3" t="s">
        <v>44</v>
      </c>
      <c r="AA407" s="3" t="s">
        <v>43</v>
      </c>
      <c r="AB407" s="3" t="s">
        <v>44</v>
      </c>
      <c r="AC407" s="3" t="s">
        <v>43</v>
      </c>
      <c r="AD407" s="3" t="s">
        <v>403</v>
      </c>
      <c r="AE407" s="3" t="s">
        <v>43</v>
      </c>
      <c r="AF407" s="3" t="s">
        <v>44</v>
      </c>
      <c r="AG407" s="3" t="s">
        <v>43</v>
      </c>
      <c r="AH407" s="3" t="s">
        <v>44</v>
      </c>
    </row>
    <row r="408" spans="1:34">
      <c r="A408" t="s">
        <v>680</v>
      </c>
      <c r="B408" t="s">
        <v>681</v>
      </c>
      <c r="C408" s="3">
        <v>625.5</v>
      </c>
      <c r="D408" s="3"/>
      <c r="E408" s="3">
        <v>582.9</v>
      </c>
      <c r="F408" s="3" t="s">
        <v>846</v>
      </c>
      <c r="G408" s="3">
        <v>700.6</v>
      </c>
      <c r="H408" s="3"/>
      <c r="I408" s="3">
        <v>834.2</v>
      </c>
      <c r="J408" s="3"/>
      <c r="K408" s="3">
        <v>874.8</v>
      </c>
      <c r="L408" s="3"/>
      <c r="M408" s="3">
        <v>1045.2</v>
      </c>
      <c r="N408" s="3"/>
      <c r="O408" s="3">
        <v>1130.5999999999999</v>
      </c>
      <c r="P408" s="3"/>
      <c r="Q408" s="3">
        <v>1370</v>
      </c>
      <c r="R408" s="3"/>
      <c r="S408" s="3">
        <v>1542.8</v>
      </c>
      <c r="T408" s="3"/>
      <c r="U408" s="3">
        <v>1780.5</v>
      </c>
      <c r="V408" s="3"/>
      <c r="W408" s="3">
        <v>2347.1999999999998</v>
      </c>
      <c r="X408" s="3" t="s">
        <v>334</v>
      </c>
      <c r="Y408" s="3">
        <v>2338.5</v>
      </c>
      <c r="Z408" s="3"/>
      <c r="AA408" s="3">
        <v>2209.1</v>
      </c>
      <c r="AB408" s="3"/>
      <c r="AC408" s="3">
        <v>2340.7399999999998</v>
      </c>
      <c r="AD408" s="3"/>
      <c r="AE408" s="3">
        <v>2721.54</v>
      </c>
      <c r="AF408" s="3"/>
      <c r="AG408" s="3">
        <v>3184.68</v>
      </c>
      <c r="AH408" s="3"/>
    </row>
    <row r="409" spans="1:34">
      <c r="A409" t="s">
        <v>682</v>
      </c>
      <c r="B409" t="s">
        <v>683</v>
      </c>
      <c r="C409" s="3">
        <v>175.7</v>
      </c>
      <c r="D409" s="3"/>
      <c r="E409" s="3">
        <v>150.9</v>
      </c>
      <c r="F409" s="3" t="s">
        <v>846</v>
      </c>
      <c r="G409" s="3">
        <v>173.1</v>
      </c>
      <c r="H409" s="3"/>
      <c r="I409" s="3">
        <v>207.6</v>
      </c>
      <c r="J409" s="3"/>
      <c r="K409" s="3">
        <v>229.1</v>
      </c>
      <c r="L409" s="3"/>
      <c r="M409" s="3">
        <v>274</v>
      </c>
      <c r="N409" s="3"/>
      <c r="O409" s="3">
        <v>332.5</v>
      </c>
      <c r="P409" s="3"/>
      <c r="Q409" s="3">
        <v>403.2</v>
      </c>
      <c r="R409" s="3"/>
      <c r="S409" s="3">
        <v>486</v>
      </c>
      <c r="T409" s="3"/>
      <c r="U409" s="3">
        <v>568.70000000000005</v>
      </c>
      <c r="V409" s="3"/>
      <c r="W409" s="3" t="s">
        <v>43</v>
      </c>
      <c r="X409" s="3"/>
      <c r="Y409" s="3">
        <v>797.1</v>
      </c>
      <c r="Z409" s="3"/>
      <c r="AA409" s="3">
        <v>751.1</v>
      </c>
      <c r="AB409" s="3"/>
      <c r="AC409" s="3">
        <v>729.71</v>
      </c>
      <c r="AD409" s="3"/>
      <c r="AE409" s="3">
        <v>807.67</v>
      </c>
      <c r="AF409" s="3"/>
      <c r="AG409" s="3">
        <v>920.41</v>
      </c>
      <c r="AH409" s="3"/>
    </row>
    <row r="410" spans="1:34">
      <c r="A410" t="s">
        <v>684</v>
      </c>
      <c r="B410" t="s">
        <v>685</v>
      </c>
      <c r="C410" s="3">
        <v>68.3</v>
      </c>
      <c r="D410" s="3"/>
      <c r="E410" s="3">
        <v>60.2</v>
      </c>
      <c r="F410" s="3" t="s">
        <v>846</v>
      </c>
      <c r="G410" s="3">
        <v>60.6</v>
      </c>
      <c r="H410" s="3"/>
      <c r="I410" s="3">
        <v>70.900000000000006</v>
      </c>
      <c r="J410" s="3"/>
      <c r="K410" s="3">
        <v>78.7</v>
      </c>
      <c r="L410" s="3"/>
      <c r="M410" s="3">
        <v>93</v>
      </c>
      <c r="N410" s="3"/>
      <c r="O410" s="3">
        <v>132.69999999999999</v>
      </c>
      <c r="P410" s="3"/>
      <c r="Q410" s="3">
        <v>159.1</v>
      </c>
      <c r="R410" s="3"/>
      <c r="S410" s="3">
        <v>189.2</v>
      </c>
      <c r="T410" s="3"/>
      <c r="U410" s="3">
        <v>234.1</v>
      </c>
      <c r="V410" s="3"/>
      <c r="W410" s="3" t="s">
        <v>43</v>
      </c>
      <c r="X410" s="3"/>
      <c r="Y410" s="3">
        <v>271.10000000000002</v>
      </c>
      <c r="Z410" s="3"/>
      <c r="AA410" s="3">
        <v>257.5</v>
      </c>
      <c r="AB410" s="3"/>
      <c r="AC410" s="3">
        <v>202.49</v>
      </c>
      <c r="AD410" s="3"/>
      <c r="AE410" s="3" t="s">
        <v>43</v>
      </c>
      <c r="AF410" s="3" t="s">
        <v>44</v>
      </c>
      <c r="AG410" s="3">
        <v>239.06</v>
      </c>
      <c r="AH410" s="3"/>
    </row>
    <row r="411" spans="1:34">
      <c r="A411" t="s">
        <v>686</v>
      </c>
      <c r="B411" t="s">
        <v>687</v>
      </c>
      <c r="C411" s="3">
        <v>107.4</v>
      </c>
      <c r="D411" s="3"/>
      <c r="E411" s="3">
        <v>90.7</v>
      </c>
      <c r="F411" s="3" t="s">
        <v>846</v>
      </c>
      <c r="G411" s="3">
        <v>112.5</v>
      </c>
      <c r="H411" s="3"/>
      <c r="I411" s="3">
        <v>136.69999999999999</v>
      </c>
      <c r="J411" s="3"/>
      <c r="K411" s="3">
        <v>150.5</v>
      </c>
      <c r="L411" s="3"/>
      <c r="M411" s="3">
        <v>181</v>
      </c>
      <c r="N411" s="3"/>
      <c r="O411" s="3">
        <v>199.8</v>
      </c>
      <c r="P411" s="3"/>
      <c r="Q411" s="3">
        <v>244.1</v>
      </c>
      <c r="R411" s="3"/>
      <c r="S411" s="3">
        <v>296.8</v>
      </c>
      <c r="T411" s="3"/>
      <c r="U411" s="3">
        <v>334.6</v>
      </c>
      <c r="V411" s="3"/>
      <c r="W411" s="3" t="s">
        <v>43</v>
      </c>
      <c r="X411" s="3"/>
      <c r="Y411" s="3">
        <v>526</v>
      </c>
      <c r="Z411" s="3"/>
      <c r="AA411" s="3">
        <v>493.6</v>
      </c>
      <c r="AB411" s="3"/>
      <c r="AC411" s="3">
        <v>527.22</v>
      </c>
      <c r="AD411" s="3"/>
      <c r="AE411" s="3" t="s">
        <v>43</v>
      </c>
      <c r="AF411" s="3" t="s">
        <v>44</v>
      </c>
      <c r="AG411" s="3">
        <v>681.36</v>
      </c>
      <c r="AH411" s="3"/>
    </row>
    <row r="412" spans="1:34">
      <c r="A412" t="s">
        <v>688</v>
      </c>
      <c r="B412" t="s">
        <v>689</v>
      </c>
      <c r="C412" s="3">
        <v>8.3000000000000007</v>
      </c>
      <c r="D412" s="3"/>
      <c r="E412" s="3">
        <v>6.7</v>
      </c>
      <c r="F412" s="3" t="s">
        <v>846</v>
      </c>
      <c r="G412" s="3" t="s">
        <v>43</v>
      </c>
      <c r="H412" s="3" t="s">
        <v>44</v>
      </c>
      <c r="I412" s="3">
        <v>6</v>
      </c>
      <c r="J412" s="3"/>
      <c r="K412" s="3">
        <v>6.8</v>
      </c>
      <c r="L412" s="3"/>
      <c r="M412" s="3">
        <v>8.1999999999999993</v>
      </c>
      <c r="N412" s="3"/>
      <c r="O412" s="3">
        <v>11</v>
      </c>
      <c r="P412" s="3"/>
      <c r="Q412" s="3">
        <v>19.100000000000001</v>
      </c>
      <c r="R412" s="3"/>
      <c r="S412" s="3">
        <v>26.1</v>
      </c>
      <c r="T412" s="3"/>
      <c r="U412" s="3">
        <v>57.5</v>
      </c>
      <c r="V412" s="3"/>
      <c r="W412" s="3" t="s">
        <v>43</v>
      </c>
      <c r="X412" s="3"/>
      <c r="Y412" s="3">
        <v>71.599999999999994</v>
      </c>
      <c r="Z412" s="3"/>
      <c r="AA412" s="3">
        <v>67.599999999999994</v>
      </c>
      <c r="AB412" s="3"/>
      <c r="AC412" s="3" t="s">
        <v>43</v>
      </c>
      <c r="AD412" s="3" t="s">
        <v>44</v>
      </c>
      <c r="AE412" s="3">
        <v>101.49</v>
      </c>
      <c r="AF412" s="3"/>
      <c r="AG412" s="3">
        <v>123.92</v>
      </c>
      <c r="AH412" s="3"/>
    </row>
    <row r="413" spans="1:34">
      <c r="A413" t="s">
        <v>690</v>
      </c>
      <c r="B413" t="s">
        <v>459</v>
      </c>
      <c r="C413" s="3">
        <v>6</v>
      </c>
      <c r="D413" s="3"/>
      <c r="E413" s="3" t="s">
        <v>43</v>
      </c>
      <c r="F413" s="3" t="s">
        <v>44</v>
      </c>
      <c r="G413" s="3" t="s">
        <v>43</v>
      </c>
      <c r="H413" s="3" t="s">
        <v>44</v>
      </c>
      <c r="I413" s="3">
        <v>4.5</v>
      </c>
      <c r="J413" s="3"/>
      <c r="K413" s="3" t="s">
        <v>43</v>
      </c>
      <c r="L413" s="3" t="s">
        <v>44</v>
      </c>
      <c r="M413" s="3">
        <v>6</v>
      </c>
      <c r="N413" s="3"/>
      <c r="O413" s="3">
        <v>8.5</v>
      </c>
      <c r="P413" s="3"/>
      <c r="Q413" s="3">
        <v>16.3</v>
      </c>
      <c r="R413" s="3"/>
      <c r="S413" s="3">
        <v>23.2</v>
      </c>
      <c r="T413" s="3"/>
      <c r="U413" s="3" t="s">
        <v>43</v>
      </c>
      <c r="V413" s="3" t="s">
        <v>44</v>
      </c>
      <c r="W413" s="3" t="s">
        <v>43</v>
      </c>
      <c r="X413" s="3"/>
      <c r="Y413" s="3" t="s">
        <v>43</v>
      </c>
      <c r="Z413" s="3" t="s">
        <v>44</v>
      </c>
      <c r="AA413" s="3" t="s">
        <v>43</v>
      </c>
      <c r="AB413" s="3" t="s">
        <v>44</v>
      </c>
      <c r="AC413" s="3" t="s">
        <v>43</v>
      </c>
      <c r="AD413" s="3" t="s">
        <v>44</v>
      </c>
      <c r="AE413" s="3" t="s">
        <v>43</v>
      </c>
      <c r="AF413" s="3" t="s">
        <v>44</v>
      </c>
      <c r="AG413" s="3" t="s">
        <v>43</v>
      </c>
      <c r="AH413" s="3" t="s">
        <v>44</v>
      </c>
    </row>
    <row r="414" spans="1:34">
      <c r="A414" t="s">
        <v>691</v>
      </c>
      <c r="B414" t="s">
        <v>692</v>
      </c>
      <c r="C414" s="3">
        <v>2.4</v>
      </c>
      <c r="D414" s="3"/>
      <c r="E414" s="3" t="s">
        <v>43</v>
      </c>
      <c r="F414" s="3" t="s">
        <v>44</v>
      </c>
      <c r="G414" s="3">
        <v>1.6</v>
      </c>
      <c r="H414" s="3"/>
      <c r="I414" s="3">
        <v>1.6</v>
      </c>
      <c r="J414" s="3"/>
      <c r="K414" s="3" t="s">
        <v>43</v>
      </c>
      <c r="L414" s="3" t="s">
        <v>44</v>
      </c>
      <c r="M414" s="3">
        <v>2.2000000000000002</v>
      </c>
      <c r="N414" s="3"/>
      <c r="O414" s="3">
        <v>2.5</v>
      </c>
      <c r="P414" s="3"/>
      <c r="Q414" s="3">
        <v>2.8</v>
      </c>
      <c r="R414" s="3"/>
      <c r="S414" s="3">
        <v>2.9</v>
      </c>
      <c r="T414" s="3"/>
      <c r="U414" s="3" t="s">
        <v>43</v>
      </c>
      <c r="V414" s="3" t="s">
        <v>44</v>
      </c>
      <c r="W414" s="3" t="s">
        <v>43</v>
      </c>
      <c r="X414" s="3"/>
      <c r="Y414" s="3" t="s">
        <v>43</v>
      </c>
      <c r="Z414" s="3" t="s">
        <v>44</v>
      </c>
      <c r="AA414" s="3" t="s">
        <v>43</v>
      </c>
      <c r="AB414" s="3" t="s">
        <v>44</v>
      </c>
      <c r="AC414" s="3" t="s">
        <v>43</v>
      </c>
      <c r="AD414" s="3" t="s">
        <v>44</v>
      </c>
      <c r="AE414" s="3" t="s">
        <v>43</v>
      </c>
      <c r="AF414" s="3" t="s">
        <v>44</v>
      </c>
      <c r="AG414" s="3" t="s">
        <v>43</v>
      </c>
      <c r="AH414" s="3" t="s">
        <v>44</v>
      </c>
    </row>
    <row r="415" spans="1:34">
      <c r="A415" t="s">
        <v>693</v>
      </c>
      <c r="B415" t="s">
        <v>694</v>
      </c>
      <c r="C415" s="3">
        <v>237.6</v>
      </c>
      <c r="D415" s="3"/>
      <c r="E415" s="3">
        <v>208.3</v>
      </c>
      <c r="F415" s="3" t="s">
        <v>846</v>
      </c>
      <c r="G415" s="3">
        <v>249.8</v>
      </c>
      <c r="H415" s="3"/>
      <c r="I415" s="3">
        <v>276</v>
      </c>
      <c r="J415" s="3"/>
      <c r="K415" s="3">
        <v>280.8</v>
      </c>
      <c r="L415" s="3"/>
      <c r="M415" s="3">
        <v>335.2</v>
      </c>
      <c r="N415" s="3"/>
      <c r="O415" s="3">
        <v>336.8</v>
      </c>
      <c r="P415" s="3"/>
      <c r="Q415" s="3">
        <v>399.1</v>
      </c>
      <c r="R415" s="3"/>
      <c r="S415" s="3">
        <v>449.3</v>
      </c>
      <c r="T415" s="3"/>
      <c r="U415" s="3">
        <v>500.5</v>
      </c>
      <c r="V415" s="3"/>
      <c r="W415" s="3" t="s">
        <v>43</v>
      </c>
      <c r="X415" s="3"/>
      <c r="Y415" s="3">
        <v>572.1</v>
      </c>
      <c r="Z415" s="3"/>
      <c r="AA415" s="3">
        <v>519.4</v>
      </c>
      <c r="AB415" s="3"/>
      <c r="AC415" s="3" t="s">
        <v>43</v>
      </c>
      <c r="AD415" s="3" t="s">
        <v>44</v>
      </c>
      <c r="AE415" s="3">
        <v>714.07</v>
      </c>
      <c r="AF415" s="3"/>
      <c r="AG415" s="3">
        <v>831.33</v>
      </c>
      <c r="AH415" s="3"/>
    </row>
    <row r="416" spans="1:34">
      <c r="A416" t="s">
        <v>695</v>
      </c>
      <c r="B416" t="s">
        <v>696</v>
      </c>
      <c r="C416" s="3" t="s">
        <v>43</v>
      </c>
      <c r="D416" s="3" t="s">
        <v>44</v>
      </c>
      <c r="E416" s="3" t="s">
        <v>43</v>
      </c>
      <c r="F416" s="3" t="s">
        <v>44</v>
      </c>
      <c r="G416" s="3">
        <v>237.9</v>
      </c>
      <c r="H416" s="3"/>
      <c r="I416" s="3">
        <v>261.39999999999998</v>
      </c>
      <c r="J416" s="3"/>
      <c r="K416" s="3">
        <v>266</v>
      </c>
      <c r="L416" s="3"/>
      <c r="M416" s="3" t="s">
        <v>43</v>
      </c>
      <c r="N416" s="3" t="s">
        <v>44</v>
      </c>
      <c r="O416" s="3">
        <v>308.39999999999998</v>
      </c>
      <c r="P416" s="3"/>
      <c r="Q416" s="3">
        <v>366.3</v>
      </c>
      <c r="R416" s="3"/>
      <c r="S416" s="3">
        <v>393.7</v>
      </c>
      <c r="T416" s="3"/>
      <c r="U416" s="3">
        <v>454.3</v>
      </c>
      <c r="V416" s="3"/>
      <c r="W416" s="3" t="s">
        <v>43</v>
      </c>
      <c r="X416" s="3"/>
      <c r="Y416" s="3">
        <v>507.3</v>
      </c>
      <c r="Z416" s="3"/>
      <c r="AA416" s="3">
        <v>477.1</v>
      </c>
      <c r="AB416" s="3"/>
      <c r="AC416" s="3">
        <v>476.45</v>
      </c>
      <c r="AD416" s="3"/>
      <c r="AE416" s="3" t="s">
        <v>43</v>
      </c>
      <c r="AF416" s="3" t="s">
        <v>44</v>
      </c>
      <c r="AG416" s="3" t="s">
        <v>43</v>
      </c>
      <c r="AH416" s="3" t="s">
        <v>44</v>
      </c>
    </row>
    <row r="417" spans="1:34">
      <c r="A417" t="s">
        <v>697</v>
      </c>
      <c r="B417" t="s">
        <v>698</v>
      </c>
      <c r="C417" s="3" t="s">
        <v>43</v>
      </c>
      <c r="D417" s="3" t="s">
        <v>44</v>
      </c>
      <c r="E417" s="3" t="s">
        <v>43</v>
      </c>
      <c r="F417" s="3" t="s">
        <v>44</v>
      </c>
      <c r="G417" s="3">
        <v>11.9</v>
      </c>
      <c r="H417" s="3"/>
      <c r="I417" s="3">
        <v>14.6</v>
      </c>
      <c r="J417" s="3"/>
      <c r="K417" s="3">
        <v>14.8</v>
      </c>
      <c r="L417" s="3"/>
      <c r="M417" s="3" t="s">
        <v>43</v>
      </c>
      <c r="N417" s="3" t="s">
        <v>44</v>
      </c>
      <c r="O417" s="3">
        <v>28.4</v>
      </c>
      <c r="P417" s="3"/>
      <c r="Q417" s="3">
        <v>32.799999999999997</v>
      </c>
      <c r="R417" s="3"/>
      <c r="S417" s="3">
        <v>55.6</v>
      </c>
      <c r="T417" s="3"/>
      <c r="U417" s="3">
        <v>46.2</v>
      </c>
      <c r="V417" s="3"/>
      <c r="W417" s="3" t="s">
        <v>43</v>
      </c>
      <c r="X417" s="3"/>
      <c r="Y417" s="3">
        <v>64.7</v>
      </c>
      <c r="Z417" s="3"/>
      <c r="AA417" s="3">
        <v>42.3</v>
      </c>
      <c r="AB417" s="3"/>
      <c r="AC417" s="3" t="s">
        <v>43</v>
      </c>
      <c r="AD417" s="3" t="s">
        <v>44</v>
      </c>
      <c r="AE417" s="3" t="s">
        <v>43</v>
      </c>
      <c r="AF417" s="3" t="s">
        <v>44</v>
      </c>
      <c r="AG417" s="3" t="s">
        <v>43</v>
      </c>
      <c r="AH417" s="3" t="s">
        <v>44</v>
      </c>
    </row>
    <row r="418" spans="1:34">
      <c r="A418" t="s">
        <v>699</v>
      </c>
      <c r="B418" t="s">
        <v>700</v>
      </c>
      <c r="C418" s="3">
        <v>203.9</v>
      </c>
      <c r="D418" s="3"/>
      <c r="E418" s="3">
        <v>217</v>
      </c>
      <c r="F418" s="3" t="s">
        <v>846</v>
      </c>
      <c r="G418" s="3" t="s">
        <v>43</v>
      </c>
      <c r="H418" s="3" t="s">
        <v>44</v>
      </c>
      <c r="I418" s="3">
        <v>344.5</v>
      </c>
      <c r="J418" s="3"/>
      <c r="K418" s="3">
        <v>358.1</v>
      </c>
      <c r="L418" s="3"/>
      <c r="M418" s="3">
        <v>427.8</v>
      </c>
      <c r="N418" s="3"/>
      <c r="O418" s="3">
        <v>450.2</v>
      </c>
      <c r="P418" s="3"/>
      <c r="Q418" s="3">
        <v>548.70000000000005</v>
      </c>
      <c r="R418" s="3"/>
      <c r="S418" s="3">
        <v>581.29999999999995</v>
      </c>
      <c r="T418" s="3"/>
      <c r="U418" s="3">
        <v>653.79999999999995</v>
      </c>
      <c r="V418" s="3"/>
      <c r="W418" s="3" t="s">
        <v>43</v>
      </c>
      <c r="X418" s="3"/>
      <c r="Y418" s="3">
        <v>897.7</v>
      </c>
      <c r="Z418" s="3"/>
      <c r="AA418" s="3">
        <v>871</v>
      </c>
      <c r="AB418" s="3"/>
      <c r="AC418" s="3">
        <v>933.69</v>
      </c>
      <c r="AD418" s="3"/>
      <c r="AE418" s="3">
        <v>1098.31</v>
      </c>
      <c r="AF418" s="3"/>
      <c r="AG418" s="3">
        <v>1309.02</v>
      </c>
      <c r="AH418" s="3"/>
    </row>
    <row r="419" spans="1:34">
      <c r="A419" t="s">
        <v>701</v>
      </c>
      <c r="B419" t="s">
        <v>702</v>
      </c>
      <c r="C419" s="3" t="s">
        <v>43</v>
      </c>
      <c r="D419" s="3" t="s">
        <v>44</v>
      </c>
      <c r="E419" s="3">
        <v>34.9</v>
      </c>
      <c r="F419" s="3" t="s">
        <v>846</v>
      </c>
      <c r="G419" s="3" t="s">
        <v>43</v>
      </c>
      <c r="H419" s="3" t="s">
        <v>44</v>
      </c>
      <c r="I419" s="3">
        <v>44.2</v>
      </c>
      <c r="J419" s="3"/>
      <c r="K419" s="3" t="s">
        <v>43</v>
      </c>
      <c r="L419" s="3" t="s">
        <v>44</v>
      </c>
      <c r="M419" s="3" t="s">
        <v>43</v>
      </c>
      <c r="N419" s="3" t="s">
        <v>44</v>
      </c>
      <c r="O419" s="3" t="s">
        <v>43</v>
      </c>
      <c r="P419" s="3" t="s">
        <v>44</v>
      </c>
      <c r="Q419" s="3" t="s">
        <v>43</v>
      </c>
      <c r="R419" s="3" t="s">
        <v>44</v>
      </c>
      <c r="S419" s="3" t="s">
        <v>43</v>
      </c>
      <c r="T419" s="3" t="s">
        <v>44</v>
      </c>
      <c r="U419" s="3" t="s">
        <v>43</v>
      </c>
      <c r="V419" s="3" t="s">
        <v>44</v>
      </c>
      <c r="W419" s="3" t="s">
        <v>43</v>
      </c>
      <c r="X419" s="3"/>
      <c r="Y419" s="3" t="s">
        <v>43</v>
      </c>
      <c r="Z419" s="3" t="s">
        <v>44</v>
      </c>
      <c r="AA419" s="3" t="s">
        <v>43</v>
      </c>
      <c r="AB419" s="3" t="s">
        <v>44</v>
      </c>
      <c r="AC419" s="3" t="s">
        <v>43</v>
      </c>
      <c r="AD419" s="3" t="s">
        <v>44</v>
      </c>
      <c r="AE419" s="3" t="s">
        <v>43</v>
      </c>
      <c r="AF419" s="3" t="s">
        <v>44</v>
      </c>
      <c r="AG419" s="3" t="s">
        <v>43</v>
      </c>
      <c r="AH419" s="3" t="s">
        <v>44</v>
      </c>
    </row>
    <row r="420" spans="1:34">
      <c r="A420" t="s">
        <v>703</v>
      </c>
      <c r="B420" t="s">
        <v>704</v>
      </c>
      <c r="C420" s="3" t="s">
        <v>43</v>
      </c>
      <c r="D420" s="3" t="s">
        <v>44</v>
      </c>
      <c r="E420" s="3">
        <v>182.1</v>
      </c>
      <c r="F420" s="3" t="s">
        <v>846</v>
      </c>
      <c r="G420" s="3">
        <v>228</v>
      </c>
      <c r="H420" s="3"/>
      <c r="I420" s="3">
        <v>300.2</v>
      </c>
      <c r="J420" s="3"/>
      <c r="K420" s="3" t="s">
        <v>43</v>
      </c>
      <c r="L420" s="3" t="s">
        <v>44</v>
      </c>
      <c r="M420" s="3" t="s">
        <v>43</v>
      </c>
      <c r="N420" s="3" t="s">
        <v>44</v>
      </c>
      <c r="O420" s="3" t="s">
        <v>43</v>
      </c>
      <c r="P420" s="3" t="s">
        <v>44</v>
      </c>
      <c r="Q420" s="3" t="s">
        <v>43</v>
      </c>
      <c r="R420" s="3" t="s">
        <v>44</v>
      </c>
      <c r="S420" s="3" t="s">
        <v>43</v>
      </c>
      <c r="T420" s="3" t="s">
        <v>44</v>
      </c>
      <c r="U420" s="3" t="s">
        <v>43</v>
      </c>
      <c r="V420" s="3" t="s">
        <v>44</v>
      </c>
      <c r="W420" s="3" t="s">
        <v>43</v>
      </c>
      <c r="X420" s="3"/>
      <c r="Y420" s="3" t="s">
        <v>43</v>
      </c>
      <c r="Z420" s="3" t="s">
        <v>44</v>
      </c>
      <c r="AA420" s="3" t="s">
        <v>43</v>
      </c>
      <c r="AB420" s="3" t="s">
        <v>44</v>
      </c>
      <c r="AC420" s="3" t="s">
        <v>43</v>
      </c>
      <c r="AD420" s="3" t="s">
        <v>44</v>
      </c>
      <c r="AE420" s="3" t="s">
        <v>43</v>
      </c>
      <c r="AF420" s="3" t="s">
        <v>44</v>
      </c>
      <c r="AG420" s="3" t="s">
        <v>43</v>
      </c>
      <c r="AH420" s="3" t="s">
        <v>44</v>
      </c>
    </row>
    <row r="421" spans="1:34">
      <c r="A421" t="s">
        <v>707</v>
      </c>
      <c r="B421" t="s">
        <v>708</v>
      </c>
      <c r="C421" s="3">
        <v>252.7</v>
      </c>
      <c r="D421" s="3"/>
      <c r="E421" s="3">
        <v>222.9</v>
      </c>
      <c r="F421" s="3"/>
      <c r="G421" s="3">
        <v>241</v>
      </c>
      <c r="H421" s="3"/>
      <c r="I421" s="3">
        <v>248.2</v>
      </c>
      <c r="J421" s="3"/>
      <c r="K421" s="3">
        <v>249.1</v>
      </c>
      <c r="L421" s="3"/>
      <c r="M421" s="3">
        <v>237.7</v>
      </c>
      <c r="N421" s="3"/>
      <c r="O421" s="3">
        <v>264.89999999999998</v>
      </c>
      <c r="P421" s="3"/>
      <c r="Q421" s="3">
        <v>277.7</v>
      </c>
      <c r="R421" s="3"/>
      <c r="S421" s="3">
        <v>274.60000000000002</v>
      </c>
      <c r="T421" s="3"/>
      <c r="U421" s="3">
        <v>325.3</v>
      </c>
      <c r="V421" s="3"/>
      <c r="W421" s="3">
        <v>357.7</v>
      </c>
      <c r="X421" s="3"/>
      <c r="Y421" s="3">
        <v>401.2</v>
      </c>
      <c r="Z421" s="3"/>
      <c r="AA421" s="3">
        <v>391.1</v>
      </c>
      <c r="AB421" s="3"/>
      <c r="AC421" s="3">
        <v>403.36</v>
      </c>
      <c r="AD421" s="3"/>
      <c r="AE421" s="3">
        <v>426.58</v>
      </c>
      <c r="AF421" s="3"/>
      <c r="AG421" s="3">
        <v>468.98</v>
      </c>
      <c r="AH421" s="3"/>
    </row>
    <row r="422" spans="1:34">
      <c r="A422" t="s">
        <v>709</v>
      </c>
      <c r="B422" t="s">
        <v>710</v>
      </c>
      <c r="C422" s="3">
        <v>252.7</v>
      </c>
      <c r="D422" s="3"/>
      <c r="E422" s="3">
        <v>222.9</v>
      </c>
      <c r="F422" s="3"/>
      <c r="G422" s="3">
        <v>241</v>
      </c>
      <c r="H422" s="3"/>
      <c r="I422" s="3">
        <v>248.2</v>
      </c>
      <c r="J422" s="3"/>
      <c r="K422" s="3">
        <v>249.1</v>
      </c>
      <c r="L422" s="3"/>
      <c r="M422" s="3">
        <v>237.7</v>
      </c>
      <c r="N422" s="3"/>
      <c r="O422" s="3">
        <v>264.89999999999998</v>
      </c>
      <c r="P422" s="3"/>
      <c r="Q422" s="3">
        <v>277.7</v>
      </c>
      <c r="R422" s="3"/>
      <c r="S422" s="3">
        <v>274.60000000000002</v>
      </c>
      <c r="T422" s="3"/>
      <c r="U422" s="3">
        <v>325.3</v>
      </c>
      <c r="V422" s="3"/>
      <c r="W422" s="3">
        <v>357.7</v>
      </c>
      <c r="X422" s="3"/>
      <c r="Y422" s="3">
        <v>401.2</v>
      </c>
      <c r="Z422" s="3"/>
      <c r="AA422" s="3">
        <v>391.1</v>
      </c>
      <c r="AB422" s="3"/>
      <c r="AC422" s="3">
        <v>403.36</v>
      </c>
      <c r="AD422" s="3"/>
      <c r="AE422" s="3">
        <v>426.58</v>
      </c>
      <c r="AF422" s="3"/>
      <c r="AG422" s="3">
        <v>468.98</v>
      </c>
      <c r="AH422" s="3"/>
    </row>
    <row r="423" spans="1:34">
      <c r="A423" t="s">
        <v>711</v>
      </c>
      <c r="B423" t="s">
        <v>712</v>
      </c>
      <c r="C423" s="3" t="s">
        <v>43</v>
      </c>
      <c r="D423" s="3"/>
      <c r="E423" s="3" t="s">
        <v>43</v>
      </c>
      <c r="F423" s="3"/>
      <c r="G423" s="3" t="s">
        <v>43</v>
      </c>
      <c r="H423" s="3"/>
      <c r="I423" s="3" t="s">
        <v>43</v>
      </c>
      <c r="J423" s="3"/>
      <c r="K423" s="3" t="s">
        <v>43</v>
      </c>
      <c r="L423" s="3"/>
      <c r="M423" s="3">
        <v>147.4</v>
      </c>
      <c r="N423" s="3"/>
      <c r="O423" s="3">
        <v>164.1</v>
      </c>
      <c r="P423" s="3"/>
      <c r="Q423" s="3">
        <v>157.69999999999999</v>
      </c>
      <c r="R423" s="3"/>
      <c r="S423" s="3">
        <v>175.6</v>
      </c>
      <c r="T423" s="3"/>
      <c r="U423" s="3">
        <v>213.9</v>
      </c>
      <c r="V423" s="3"/>
      <c r="W423" s="3">
        <v>241.5</v>
      </c>
      <c r="X423" s="3"/>
      <c r="Y423" s="3">
        <v>278.89999999999998</v>
      </c>
      <c r="Z423" s="3"/>
      <c r="AA423" s="3">
        <v>263.5</v>
      </c>
      <c r="AB423" s="3"/>
      <c r="AC423" s="3">
        <v>261.70999999999998</v>
      </c>
      <c r="AD423" s="3"/>
      <c r="AE423" s="3">
        <v>267.87</v>
      </c>
      <c r="AF423" s="3"/>
      <c r="AG423" s="3">
        <v>289.20999999999998</v>
      </c>
      <c r="AH423" s="3"/>
    </row>
    <row r="424" spans="1:34">
      <c r="A424" t="s">
        <v>1012</v>
      </c>
      <c r="B424" t="s">
        <v>1013</v>
      </c>
      <c r="C424" s="3">
        <v>169.7</v>
      </c>
      <c r="D424" s="3"/>
      <c r="E424" s="3">
        <v>145.80000000000001</v>
      </c>
      <c r="F424" s="3"/>
      <c r="G424" s="3">
        <v>162.19999999999999</v>
      </c>
      <c r="H424" s="3"/>
      <c r="I424" s="3">
        <v>166.1</v>
      </c>
      <c r="J424" s="3"/>
      <c r="K424" s="3">
        <v>165.4</v>
      </c>
      <c r="L424" s="3"/>
      <c r="M424" s="3" t="s">
        <v>43</v>
      </c>
      <c r="N424" s="3"/>
      <c r="O424" s="3" t="s">
        <v>43</v>
      </c>
      <c r="P424" s="3"/>
      <c r="Q424" s="3" t="s">
        <v>43</v>
      </c>
      <c r="R424" s="3"/>
      <c r="S424" s="3" t="s">
        <v>43</v>
      </c>
      <c r="T424" s="3"/>
      <c r="U424" s="3" t="s">
        <v>43</v>
      </c>
      <c r="V424" s="3"/>
      <c r="W424" s="3" t="s">
        <v>43</v>
      </c>
      <c r="X424" s="3"/>
      <c r="Y424" s="3" t="s">
        <v>43</v>
      </c>
      <c r="Z424" s="3"/>
      <c r="AA424" s="3" t="s">
        <v>43</v>
      </c>
      <c r="AB424" s="3"/>
      <c r="AC424" s="3"/>
      <c r="AD424" s="3"/>
      <c r="AE424" s="3"/>
      <c r="AF424" s="3"/>
      <c r="AG424" s="3"/>
      <c r="AH424" s="3"/>
    </row>
    <row r="425" spans="1:34">
      <c r="A425" t="s">
        <v>713</v>
      </c>
      <c r="B425" t="s">
        <v>714</v>
      </c>
      <c r="C425" s="3" t="s">
        <v>43</v>
      </c>
      <c r="D425" s="3"/>
      <c r="E425" s="3" t="s">
        <v>43</v>
      </c>
      <c r="F425" s="3"/>
      <c r="G425" s="3" t="s">
        <v>43</v>
      </c>
      <c r="H425" s="3"/>
      <c r="I425" s="3" t="s">
        <v>43</v>
      </c>
      <c r="J425" s="3"/>
      <c r="K425" s="3" t="s">
        <v>43</v>
      </c>
      <c r="L425" s="3"/>
      <c r="M425" s="3">
        <v>90.3</v>
      </c>
      <c r="N425" s="3"/>
      <c r="O425" s="3">
        <v>100.9</v>
      </c>
      <c r="P425" s="3"/>
      <c r="Q425" s="3">
        <v>119.9</v>
      </c>
      <c r="R425" s="3"/>
      <c r="S425" s="3">
        <v>99</v>
      </c>
      <c r="T425" s="3"/>
      <c r="U425" s="3">
        <v>111.4</v>
      </c>
      <c r="V425" s="3"/>
      <c r="W425" s="3">
        <v>116.2</v>
      </c>
      <c r="X425" s="3"/>
      <c r="Y425" s="3">
        <v>122.3</v>
      </c>
      <c r="Z425" s="3"/>
      <c r="AA425" s="3">
        <v>127.6</v>
      </c>
      <c r="AB425" s="3"/>
      <c r="AC425" s="3">
        <v>141.65</v>
      </c>
      <c r="AD425" s="3"/>
      <c r="AE425" s="3">
        <v>158.71</v>
      </c>
      <c r="AF425" s="3"/>
      <c r="AG425" s="3">
        <v>179.78</v>
      </c>
      <c r="AH425" s="3"/>
    </row>
    <row r="426" spans="1:34">
      <c r="A426" t="s">
        <v>1014</v>
      </c>
      <c r="B426" t="s">
        <v>1015</v>
      </c>
      <c r="C426" s="3">
        <v>83.1</v>
      </c>
      <c r="D426" s="3"/>
      <c r="E426" s="3">
        <v>77.099999999999994</v>
      </c>
      <c r="F426" s="3"/>
      <c r="G426" s="3">
        <v>78.7</v>
      </c>
      <c r="H426" s="3"/>
      <c r="I426" s="3">
        <v>82.1</v>
      </c>
      <c r="J426" s="3"/>
      <c r="K426" s="3">
        <v>83.7</v>
      </c>
      <c r="L426" s="3"/>
      <c r="M426" s="3" t="s">
        <v>43</v>
      </c>
      <c r="N426" s="3"/>
      <c r="O426" s="3" t="s">
        <v>43</v>
      </c>
      <c r="P426" s="3"/>
      <c r="Q426" s="3" t="s">
        <v>43</v>
      </c>
      <c r="R426" s="3"/>
      <c r="S426" s="3" t="s">
        <v>43</v>
      </c>
      <c r="T426" s="3"/>
      <c r="U426" s="3" t="s">
        <v>43</v>
      </c>
      <c r="V426" s="3"/>
      <c r="W426" s="3" t="s">
        <v>43</v>
      </c>
      <c r="X426" s="3"/>
      <c r="Y426" s="3" t="s">
        <v>43</v>
      </c>
      <c r="Z426" s="3"/>
      <c r="AA426" s="3" t="s">
        <v>43</v>
      </c>
      <c r="AB426" s="3"/>
      <c r="AC426" s="3"/>
      <c r="AD426" s="3"/>
      <c r="AE426" s="3"/>
      <c r="AF426" s="3"/>
      <c r="AG426" s="3"/>
      <c r="AH426" s="3"/>
    </row>
    <row r="427" spans="1:34">
      <c r="A427" t="s">
        <v>715</v>
      </c>
      <c r="B427" t="s">
        <v>716</v>
      </c>
      <c r="C427" s="3">
        <v>555.4</v>
      </c>
      <c r="D427" s="3"/>
      <c r="E427" s="3">
        <v>497.8</v>
      </c>
      <c r="F427" s="3"/>
      <c r="G427" s="3">
        <v>542.9</v>
      </c>
      <c r="H427" s="3"/>
      <c r="I427" s="3">
        <v>648.4</v>
      </c>
      <c r="J427" s="3"/>
      <c r="K427" s="3">
        <v>757</v>
      </c>
      <c r="L427" s="3"/>
      <c r="M427" s="3">
        <v>804.7</v>
      </c>
      <c r="N427" s="3"/>
      <c r="O427" s="3">
        <v>839.1</v>
      </c>
      <c r="P427" s="3"/>
      <c r="Q427" s="3">
        <v>907.9</v>
      </c>
      <c r="R427" s="3"/>
      <c r="S427" s="3">
        <v>1047.0999999999999</v>
      </c>
      <c r="T427" s="3"/>
      <c r="U427" s="3">
        <v>1245.7</v>
      </c>
      <c r="V427" s="3"/>
      <c r="W427" s="3">
        <v>1368.8</v>
      </c>
      <c r="X427" s="3"/>
      <c r="Y427" s="3">
        <v>1491.6</v>
      </c>
      <c r="Z427" s="3"/>
      <c r="AA427" s="3">
        <v>1426.1</v>
      </c>
      <c r="AB427" s="3"/>
      <c r="AC427" s="3">
        <v>1493.52</v>
      </c>
      <c r="AD427" s="3"/>
      <c r="AE427" s="3">
        <v>1525.02</v>
      </c>
      <c r="AF427" s="3"/>
      <c r="AG427" s="3">
        <v>1725.16</v>
      </c>
      <c r="AH427" s="3"/>
    </row>
    <row r="428" spans="1:34">
      <c r="A428" t="s">
        <v>717</v>
      </c>
      <c r="B428" t="s">
        <v>718</v>
      </c>
      <c r="C428" s="3">
        <v>555.4</v>
      </c>
      <c r="D428" s="3"/>
      <c r="E428" s="3">
        <v>497.8</v>
      </c>
      <c r="F428" s="3"/>
      <c r="G428" s="3">
        <v>542.9</v>
      </c>
      <c r="H428" s="3"/>
      <c r="I428" s="3">
        <v>648.4</v>
      </c>
      <c r="J428" s="3"/>
      <c r="K428" s="3">
        <v>757</v>
      </c>
      <c r="L428" s="3"/>
      <c r="M428" s="3">
        <v>804.7</v>
      </c>
      <c r="N428" s="3"/>
      <c r="O428" s="3">
        <v>839.1</v>
      </c>
      <c r="P428" s="3"/>
      <c r="Q428" s="3">
        <v>907.9</v>
      </c>
      <c r="R428" s="3"/>
      <c r="S428" s="3">
        <v>1047.0999999999999</v>
      </c>
      <c r="T428" s="3"/>
      <c r="U428" s="3">
        <v>1245.7</v>
      </c>
      <c r="V428" s="3"/>
      <c r="W428" s="3">
        <v>1368.8</v>
      </c>
      <c r="X428" s="3"/>
      <c r="Y428" s="3">
        <v>1491.6</v>
      </c>
      <c r="Z428" s="3"/>
      <c r="AA428" s="3">
        <v>1426.1</v>
      </c>
      <c r="AB428" s="3"/>
      <c r="AC428" s="3">
        <v>1493.52</v>
      </c>
      <c r="AD428" s="3"/>
      <c r="AE428" s="3">
        <v>1525.02</v>
      </c>
      <c r="AF428" s="3"/>
      <c r="AG428" s="3">
        <v>1725.16</v>
      </c>
      <c r="AH428" s="3"/>
    </row>
    <row r="429" spans="1:34">
      <c r="A429" t="s">
        <v>719</v>
      </c>
      <c r="B429" t="s">
        <v>720</v>
      </c>
      <c r="C429" s="3">
        <v>190.3</v>
      </c>
      <c r="D429" s="3"/>
      <c r="E429" s="3">
        <v>167.9</v>
      </c>
      <c r="F429" s="3"/>
      <c r="G429" s="3">
        <v>171.7</v>
      </c>
      <c r="H429" s="3"/>
      <c r="I429" s="3">
        <v>231.8</v>
      </c>
      <c r="J429" s="3"/>
      <c r="K429" s="3">
        <v>288</v>
      </c>
      <c r="L429" s="3"/>
      <c r="M429" s="3">
        <v>322.60000000000002</v>
      </c>
      <c r="N429" s="3"/>
      <c r="O429" s="3">
        <v>343.2</v>
      </c>
      <c r="P429" s="3"/>
      <c r="Q429" s="3">
        <v>336.6</v>
      </c>
      <c r="R429" s="3"/>
      <c r="S429" s="3">
        <v>393.3</v>
      </c>
      <c r="T429" s="3"/>
      <c r="U429" s="3">
        <v>490</v>
      </c>
      <c r="V429" s="3"/>
      <c r="W429" s="3">
        <v>550.20000000000005</v>
      </c>
      <c r="X429" s="3"/>
      <c r="Y429" s="3">
        <v>596</v>
      </c>
      <c r="Z429" s="3"/>
      <c r="AA429" s="3">
        <v>582.20000000000005</v>
      </c>
      <c r="AB429" s="3"/>
      <c r="AC429" s="3">
        <v>584.86</v>
      </c>
      <c r="AD429" s="3"/>
      <c r="AE429" s="3">
        <v>479.73</v>
      </c>
      <c r="AF429" s="3"/>
      <c r="AG429" s="3">
        <v>519.66</v>
      </c>
      <c r="AH429" s="3"/>
    </row>
    <row r="430" spans="1:34">
      <c r="A430" t="s">
        <v>721</v>
      </c>
      <c r="B430" t="s">
        <v>722</v>
      </c>
      <c r="C430" s="3">
        <v>225.9</v>
      </c>
      <c r="D430" s="3"/>
      <c r="E430" s="3">
        <v>193.4</v>
      </c>
      <c r="F430" s="3"/>
      <c r="G430" s="3">
        <v>200.7</v>
      </c>
      <c r="H430" s="3"/>
      <c r="I430" s="3">
        <v>221.5</v>
      </c>
      <c r="J430" s="3"/>
      <c r="K430" s="3">
        <v>239.5</v>
      </c>
      <c r="L430" s="3"/>
      <c r="M430" s="3">
        <v>229.3</v>
      </c>
      <c r="N430" s="3"/>
      <c r="O430" s="3">
        <v>221.8</v>
      </c>
      <c r="P430" s="3"/>
      <c r="Q430" s="3">
        <v>244.6</v>
      </c>
      <c r="R430" s="3"/>
      <c r="S430" s="3">
        <v>304.5</v>
      </c>
      <c r="T430" s="3"/>
      <c r="U430" s="3">
        <v>368.4</v>
      </c>
      <c r="V430" s="3"/>
      <c r="W430" s="3">
        <v>406.3</v>
      </c>
      <c r="X430" s="3"/>
      <c r="Y430" s="3">
        <v>437.7</v>
      </c>
      <c r="Z430" s="3"/>
      <c r="AA430" s="3">
        <v>415.8</v>
      </c>
      <c r="AB430" s="3"/>
      <c r="AC430" s="3">
        <v>445.57</v>
      </c>
      <c r="AD430" s="3"/>
      <c r="AE430" s="3">
        <v>542.78</v>
      </c>
      <c r="AF430" s="3"/>
      <c r="AG430" s="3">
        <v>631.27</v>
      </c>
      <c r="AH430" s="3"/>
    </row>
    <row r="431" spans="1:34">
      <c r="A431" t="s">
        <v>723</v>
      </c>
      <c r="B431" t="s">
        <v>724</v>
      </c>
      <c r="C431" s="3">
        <v>91.9</v>
      </c>
      <c r="D431" s="3"/>
      <c r="E431" s="3">
        <v>90.8</v>
      </c>
      <c r="F431" s="3"/>
      <c r="G431" s="3">
        <v>112.9</v>
      </c>
      <c r="H431" s="3"/>
      <c r="I431" s="3">
        <v>128.1</v>
      </c>
      <c r="J431" s="3"/>
      <c r="K431" s="3">
        <v>150.4</v>
      </c>
      <c r="L431" s="3"/>
      <c r="M431" s="3">
        <v>163.30000000000001</v>
      </c>
      <c r="N431" s="3"/>
      <c r="O431" s="3">
        <v>170.2</v>
      </c>
      <c r="P431" s="3"/>
      <c r="Q431" s="3">
        <v>209.4</v>
      </c>
      <c r="R431" s="3"/>
      <c r="S431" s="3">
        <v>225.5</v>
      </c>
      <c r="T431" s="3"/>
      <c r="U431" s="3">
        <v>255.3</v>
      </c>
      <c r="V431" s="3"/>
      <c r="W431" s="3">
        <v>279.5</v>
      </c>
      <c r="X431" s="3"/>
      <c r="Y431" s="3">
        <v>305.5</v>
      </c>
      <c r="Z431" s="3"/>
      <c r="AA431" s="3">
        <v>277.60000000000002</v>
      </c>
      <c r="AB431" s="3"/>
      <c r="AC431" s="3">
        <v>309.16000000000003</v>
      </c>
      <c r="AD431" s="3"/>
      <c r="AE431" s="3">
        <v>348.13</v>
      </c>
      <c r="AF431" s="3"/>
      <c r="AG431" s="3">
        <v>399.19</v>
      </c>
      <c r="AH431" s="3"/>
    </row>
    <row r="432" spans="1:34">
      <c r="A432" t="s">
        <v>725</v>
      </c>
      <c r="B432" t="s">
        <v>726</v>
      </c>
      <c r="C432" s="3">
        <v>47.3</v>
      </c>
      <c r="D432" s="3"/>
      <c r="E432" s="3">
        <v>45.7</v>
      </c>
      <c r="F432" s="3"/>
      <c r="G432" s="3">
        <v>57.6</v>
      </c>
      <c r="H432" s="3"/>
      <c r="I432" s="3">
        <v>67</v>
      </c>
      <c r="J432" s="3"/>
      <c r="K432" s="3">
        <v>79</v>
      </c>
      <c r="L432" s="3"/>
      <c r="M432" s="3">
        <v>89.6</v>
      </c>
      <c r="N432" s="3"/>
      <c r="O432" s="3">
        <v>103.9</v>
      </c>
      <c r="P432" s="3"/>
      <c r="Q432" s="3">
        <v>117.4</v>
      </c>
      <c r="R432" s="3"/>
      <c r="S432" s="3">
        <v>123.8</v>
      </c>
      <c r="T432" s="3"/>
      <c r="U432" s="3">
        <v>132.1</v>
      </c>
      <c r="V432" s="3"/>
      <c r="W432" s="3">
        <v>132.80000000000001</v>
      </c>
      <c r="X432" s="3"/>
      <c r="Y432" s="3">
        <v>152.5</v>
      </c>
      <c r="Z432" s="3"/>
      <c r="AA432" s="3">
        <v>150.6</v>
      </c>
      <c r="AB432" s="3"/>
      <c r="AC432" s="3">
        <v>153.91999999999999</v>
      </c>
      <c r="AD432" s="3"/>
      <c r="AE432" s="3">
        <v>154.38999999999999</v>
      </c>
      <c r="AF432" s="3"/>
      <c r="AG432" s="3">
        <v>175.05</v>
      </c>
      <c r="AH432" s="3"/>
    </row>
    <row r="433" spans="1:34">
      <c r="A433" t="s">
        <v>727</v>
      </c>
      <c r="B433" t="s">
        <v>68</v>
      </c>
      <c r="C433" s="3" t="s">
        <v>43</v>
      </c>
      <c r="D433" s="3"/>
      <c r="E433" s="3" t="s">
        <v>43</v>
      </c>
      <c r="F433" s="3"/>
      <c r="G433" s="3" t="s">
        <v>43</v>
      </c>
      <c r="H433" s="3"/>
      <c r="I433" s="3">
        <v>0</v>
      </c>
      <c r="J433" s="3"/>
      <c r="K433" s="3" t="s">
        <v>43</v>
      </c>
      <c r="L433" s="3"/>
      <c r="M433" s="3" t="s">
        <v>43</v>
      </c>
      <c r="N433" s="3"/>
      <c r="O433" s="3" t="s">
        <v>43</v>
      </c>
      <c r="P433" s="3"/>
      <c r="Q433" s="3" t="s">
        <v>43</v>
      </c>
      <c r="R433" s="3"/>
      <c r="S433" s="3" t="s">
        <v>43</v>
      </c>
      <c r="T433" s="3"/>
      <c r="U433" s="3" t="s">
        <v>43</v>
      </c>
      <c r="V433" s="3"/>
      <c r="W433" s="3" t="s">
        <v>43</v>
      </c>
      <c r="X433" s="3"/>
      <c r="Y433" s="3" t="s">
        <v>43</v>
      </c>
      <c r="Z433" s="3"/>
      <c r="AA433" s="3" t="s">
        <v>43</v>
      </c>
      <c r="AB433" s="3"/>
      <c r="AC433" s="3">
        <v>0</v>
      </c>
      <c r="AD433" s="3"/>
      <c r="AE433" s="3">
        <v>0</v>
      </c>
      <c r="AF433" s="3"/>
      <c r="AG433" s="3">
        <v>0</v>
      </c>
      <c r="AH433" s="3"/>
    </row>
    <row r="434" spans="1:34">
      <c r="A434" t="s">
        <v>728</v>
      </c>
      <c r="B434" t="s">
        <v>70</v>
      </c>
      <c r="C434" s="3" t="s">
        <v>43</v>
      </c>
      <c r="D434" s="3"/>
      <c r="E434" s="3" t="s">
        <v>43</v>
      </c>
      <c r="F434" s="3"/>
      <c r="G434" s="3" t="s">
        <v>43</v>
      </c>
      <c r="H434" s="3"/>
      <c r="I434" s="3">
        <v>0</v>
      </c>
      <c r="J434" s="3"/>
      <c r="K434" s="3" t="s">
        <v>43</v>
      </c>
      <c r="L434" s="3"/>
      <c r="M434" s="3" t="s">
        <v>43</v>
      </c>
      <c r="N434" s="3"/>
      <c r="O434" s="3" t="s">
        <v>43</v>
      </c>
      <c r="P434" s="3"/>
      <c r="Q434" s="3" t="s">
        <v>43</v>
      </c>
      <c r="R434" s="3"/>
      <c r="S434" s="3" t="s">
        <v>43</v>
      </c>
      <c r="T434" s="3"/>
      <c r="U434" s="3" t="s">
        <v>43</v>
      </c>
      <c r="V434" s="3"/>
      <c r="W434" s="3" t="s">
        <v>43</v>
      </c>
      <c r="X434" s="3"/>
      <c r="Y434" s="3" t="s">
        <v>43</v>
      </c>
      <c r="Z434" s="3"/>
      <c r="AA434" s="3" t="s">
        <v>43</v>
      </c>
      <c r="AB434" s="3"/>
      <c r="AC434" s="3">
        <v>0</v>
      </c>
      <c r="AD434" s="3"/>
      <c r="AE434" s="3">
        <v>0</v>
      </c>
      <c r="AF434" s="3"/>
      <c r="AG434" s="3">
        <v>0</v>
      </c>
      <c r="AH434" s="3"/>
    </row>
    <row r="435" spans="1:34">
      <c r="A435" t="s">
        <v>729</v>
      </c>
      <c r="B435" t="s">
        <v>730</v>
      </c>
      <c r="C435" s="3">
        <v>277.8</v>
      </c>
      <c r="D435" s="3"/>
      <c r="E435" s="3">
        <v>219.4</v>
      </c>
      <c r="F435" s="3"/>
      <c r="G435" s="3">
        <v>215.4</v>
      </c>
      <c r="H435" s="3"/>
      <c r="I435" s="3">
        <v>237.7</v>
      </c>
      <c r="J435" s="3"/>
      <c r="K435" s="3">
        <v>235.5</v>
      </c>
      <c r="L435" s="3"/>
      <c r="M435" s="3">
        <v>233.5</v>
      </c>
      <c r="N435" s="3" t="s">
        <v>334</v>
      </c>
      <c r="O435" s="3">
        <v>237</v>
      </c>
      <c r="P435" s="3"/>
      <c r="Q435" s="3">
        <v>259.10000000000002</v>
      </c>
      <c r="R435" s="3"/>
      <c r="S435" s="3">
        <v>257.5</v>
      </c>
      <c r="T435" s="3"/>
      <c r="U435" s="3">
        <v>322.5</v>
      </c>
      <c r="V435" s="3" t="s">
        <v>334</v>
      </c>
      <c r="W435" s="3">
        <v>367.4</v>
      </c>
      <c r="X435" s="3"/>
      <c r="Y435" s="3">
        <v>382.9</v>
      </c>
      <c r="Z435" s="3"/>
      <c r="AA435" s="3">
        <v>354.9</v>
      </c>
      <c r="AB435" s="3"/>
      <c r="AC435" s="3">
        <v>366.89</v>
      </c>
      <c r="AD435" s="3"/>
      <c r="AE435" s="3">
        <v>356.11</v>
      </c>
      <c r="AF435" s="3"/>
      <c r="AG435" s="3">
        <v>351.92</v>
      </c>
      <c r="AH435" s="3"/>
    </row>
    <row r="436" spans="1:34">
      <c r="A436" t="s">
        <v>731</v>
      </c>
      <c r="B436" t="s">
        <v>732</v>
      </c>
      <c r="C436" s="3">
        <v>277.8</v>
      </c>
      <c r="D436" s="3"/>
      <c r="E436" s="3">
        <v>219.4</v>
      </c>
      <c r="F436" s="3"/>
      <c r="G436" s="3">
        <v>215.4</v>
      </c>
      <c r="H436" s="3"/>
      <c r="I436" s="3">
        <v>237.7</v>
      </c>
      <c r="J436" s="3"/>
      <c r="K436" s="3">
        <v>235.5</v>
      </c>
      <c r="L436" s="3"/>
      <c r="M436" s="3">
        <v>233.5</v>
      </c>
      <c r="N436" s="3" t="s">
        <v>334</v>
      </c>
      <c r="O436" s="3">
        <v>237</v>
      </c>
      <c r="P436" s="3"/>
      <c r="Q436" s="3">
        <v>259.10000000000002</v>
      </c>
      <c r="R436" s="3"/>
      <c r="S436" s="3">
        <v>257.5</v>
      </c>
      <c r="T436" s="3"/>
      <c r="U436" s="3">
        <v>322.5</v>
      </c>
      <c r="V436" s="3" t="s">
        <v>334</v>
      </c>
      <c r="W436" s="3">
        <v>367.4</v>
      </c>
      <c r="X436" s="3"/>
      <c r="Y436" s="3">
        <v>382.9</v>
      </c>
      <c r="Z436" s="3"/>
      <c r="AA436" s="3">
        <v>354.9</v>
      </c>
      <c r="AB436" s="3"/>
      <c r="AC436" s="3" t="s">
        <v>43</v>
      </c>
      <c r="AD436" s="3" t="s">
        <v>44</v>
      </c>
      <c r="AE436" s="3" t="s">
        <v>43</v>
      </c>
      <c r="AF436" s="3" t="s">
        <v>44</v>
      </c>
      <c r="AG436" s="3" t="s">
        <v>43</v>
      </c>
      <c r="AH436" s="3" t="s">
        <v>44</v>
      </c>
    </row>
    <row r="437" spans="1:34">
      <c r="A437" t="s">
        <v>1016</v>
      </c>
      <c r="B437" t="s">
        <v>1017</v>
      </c>
      <c r="C437" s="3">
        <v>11.7</v>
      </c>
      <c r="D437" s="3"/>
      <c r="E437" s="3">
        <v>9.1999999999999993</v>
      </c>
      <c r="F437" s="3"/>
      <c r="G437" s="3">
        <v>8.9</v>
      </c>
      <c r="H437" s="3"/>
      <c r="I437" s="3" t="s">
        <v>43</v>
      </c>
      <c r="J437" s="3"/>
      <c r="K437" s="3" t="s">
        <v>43</v>
      </c>
      <c r="L437" s="3"/>
      <c r="M437" s="3" t="s">
        <v>43</v>
      </c>
      <c r="N437" s="3"/>
      <c r="O437" s="3" t="s">
        <v>43</v>
      </c>
      <c r="P437" s="3"/>
      <c r="Q437" s="3" t="s">
        <v>43</v>
      </c>
      <c r="R437" s="3"/>
      <c r="S437" s="3" t="s">
        <v>43</v>
      </c>
      <c r="T437" s="3"/>
      <c r="U437" s="3" t="s">
        <v>43</v>
      </c>
      <c r="V437" s="3"/>
      <c r="W437" s="3" t="s">
        <v>43</v>
      </c>
      <c r="X437" s="3"/>
      <c r="Y437" s="3" t="s">
        <v>43</v>
      </c>
      <c r="Z437" s="3"/>
      <c r="AA437" s="3" t="s">
        <v>43</v>
      </c>
      <c r="AB437" s="3"/>
      <c r="AC437" s="3"/>
      <c r="AD437" s="3"/>
      <c r="AE437" s="3"/>
      <c r="AF437" s="3"/>
      <c r="AG437" s="3"/>
      <c r="AH437" s="3"/>
    </row>
    <row r="438" spans="1:34">
      <c r="A438" t="s">
        <v>1018</v>
      </c>
      <c r="B438" t="s">
        <v>1019</v>
      </c>
      <c r="C438" s="3">
        <v>107.6</v>
      </c>
      <c r="D438" s="3"/>
      <c r="E438" s="3">
        <v>88.9</v>
      </c>
      <c r="F438" s="3"/>
      <c r="G438" s="3">
        <v>85.1</v>
      </c>
      <c r="H438" s="3"/>
      <c r="I438" s="3" t="s">
        <v>43</v>
      </c>
      <c r="J438" s="3"/>
      <c r="K438" s="3" t="s">
        <v>43</v>
      </c>
      <c r="L438" s="3"/>
      <c r="M438" s="3" t="s">
        <v>43</v>
      </c>
      <c r="N438" s="3"/>
      <c r="O438" s="3" t="s">
        <v>43</v>
      </c>
      <c r="P438" s="3"/>
      <c r="Q438" s="3" t="s">
        <v>43</v>
      </c>
      <c r="R438" s="3"/>
      <c r="S438" s="3" t="s">
        <v>43</v>
      </c>
      <c r="T438" s="3"/>
      <c r="U438" s="3" t="s">
        <v>43</v>
      </c>
      <c r="V438" s="3"/>
      <c r="W438" s="3" t="s">
        <v>43</v>
      </c>
      <c r="X438" s="3"/>
      <c r="Y438" s="3" t="s">
        <v>43</v>
      </c>
      <c r="Z438" s="3"/>
      <c r="AA438" s="3" t="s">
        <v>43</v>
      </c>
      <c r="AB438" s="3"/>
      <c r="AC438" s="3"/>
      <c r="AD438" s="3"/>
      <c r="AE438" s="3"/>
      <c r="AF438" s="3"/>
      <c r="AG438" s="3"/>
      <c r="AH438" s="3"/>
    </row>
    <row r="439" spans="1:34">
      <c r="A439" t="s">
        <v>733</v>
      </c>
      <c r="B439" t="s">
        <v>734</v>
      </c>
      <c r="C439" s="3">
        <v>120.7</v>
      </c>
      <c r="D439" s="3"/>
      <c r="E439" s="3">
        <v>89</v>
      </c>
      <c r="F439" s="3"/>
      <c r="G439" s="3">
        <v>97.2</v>
      </c>
      <c r="H439" s="3"/>
      <c r="I439" s="3">
        <v>106.2</v>
      </c>
      <c r="J439" s="3"/>
      <c r="K439" s="3">
        <v>106</v>
      </c>
      <c r="L439" s="3"/>
      <c r="M439" s="3">
        <v>109.8</v>
      </c>
      <c r="N439" s="3" t="s">
        <v>334</v>
      </c>
      <c r="O439" s="3">
        <v>105.8</v>
      </c>
      <c r="P439" s="3"/>
      <c r="Q439" s="3">
        <v>106.1</v>
      </c>
      <c r="R439" s="3"/>
      <c r="S439" s="3">
        <v>111.9</v>
      </c>
      <c r="T439" s="3"/>
      <c r="U439" s="3">
        <v>116.3</v>
      </c>
      <c r="V439" s="3" t="s">
        <v>334</v>
      </c>
      <c r="W439" s="3">
        <v>126.4</v>
      </c>
      <c r="X439" s="3"/>
      <c r="Y439" s="3">
        <v>130.19999999999999</v>
      </c>
      <c r="Z439" s="3"/>
      <c r="AA439" s="3">
        <v>125.9</v>
      </c>
      <c r="AB439" s="3"/>
      <c r="AC439" s="3">
        <v>135.16</v>
      </c>
      <c r="AD439" s="3"/>
      <c r="AE439" s="3">
        <v>138.68</v>
      </c>
      <c r="AF439" s="3"/>
      <c r="AG439" s="3">
        <v>154.63</v>
      </c>
      <c r="AH439" s="3"/>
    </row>
    <row r="440" spans="1:34">
      <c r="A440" t="s">
        <v>1020</v>
      </c>
      <c r="B440" t="s">
        <v>1021</v>
      </c>
      <c r="C440" s="3">
        <v>37.799999999999997</v>
      </c>
      <c r="D440" s="3"/>
      <c r="E440" s="3">
        <v>32.299999999999997</v>
      </c>
      <c r="F440" s="3"/>
      <c r="G440" s="3">
        <v>24.2</v>
      </c>
      <c r="H440" s="3"/>
      <c r="I440" s="3" t="s">
        <v>43</v>
      </c>
      <c r="J440" s="3"/>
      <c r="K440" s="3" t="s">
        <v>43</v>
      </c>
      <c r="L440" s="3"/>
      <c r="M440" s="3" t="s">
        <v>43</v>
      </c>
      <c r="N440" s="3"/>
      <c r="O440" s="3" t="s">
        <v>43</v>
      </c>
      <c r="P440" s="3"/>
      <c r="Q440" s="3" t="s">
        <v>43</v>
      </c>
      <c r="R440" s="3"/>
      <c r="S440" s="3" t="s">
        <v>43</v>
      </c>
      <c r="T440" s="3"/>
      <c r="U440" s="3" t="s">
        <v>43</v>
      </c>
      <c r="V440" s="3"/>
      <c r="W440" s="3" t="s">
        <v>43</v>
      </c>
      <c r="X440" s="3"/>
      <c r="Y440" s="3" t="s">
        <v>43</v>
      </c>
      <c r="Z440" s="3"/>
      <c r="AA440" s="3" t="s">
        <v>43</v>
      </c>
      <c r="AB440" s="3"/>
      <c r="AC440" s="3"/>
      <c r="AD440" s="3"/>
      <c r="AE440" s="3"/>
      <c r="AF440" s="3"/>
      <c r="AG440" s="3"/>
      <c r="AH440" s="3"/>
    </row>
    <row r="441" spans="1:34">
      <c r="A441" t="s">
        <v>735</v>
      </c>
      <c r="B441" t="s">
        <v>736</v>
      </c>
      <c r="C441" s="3" t="s">
        <v>43</v>
      </c>
      <c r="D441" s="3"/>
      <c r="E441" s="3" t="s">
        <v>43</v>
      </c>
      <c r="F441" s="3"/>
      <c r="G441" s="3">
        <v>11.2</v>
      </c>
      <c r="H441" s="3"/>
      <c r="I441" s="3">
        <v>12.4</v>
      </c>
      <c r="J441" s="3"/>
      <c r="K441" s="3">
        <v>13.9</v>
      </c>
      <c r="L441" s="3"/>
      <c r="M441" s="3">
        <v>10.7</v>
      </c>
      <c r="N441" s="3" t="s">
        <v>334</v>
      </c>
      <c r="O441" s="3">
        <v>8.5</v>
      </c>
      <c r="P441" s="3"/>
      <c r="Q441" s="3">
        <v>9.1999999999999993</v>
      </c>
      <c r="R441" s="3"/>
      <c r="S441" s="3">
        <v>9.9</v>
      </c>
      <c r="T441" s="3"/>
      <c r="U441" s="3">
        <v>10.1</v>
      </c>
      <c r="V441" s="3" t="s">
        <v>334</v>
      </c>
      <c r="W441" s="3">
        <v>9.1999999999999993</v>
      </c>
      <c r="X441" s="3"/>
      <c r="Y441" s="3">
        <v>9.9</v>
      </c>
      <c r="Z441" s="3"/>
      <c r="AA441" s="3">
        <v>10.199999999999999</v>
      </c>
      <c r="AB441" s="3"/>
      <c r="AC441" s="3" t="s">
        <v>43</v>
      </c>
      <c r="AD441" s="3" t="s">
        <v>44</v>
      </c>
      <c r="AE441" s="3" t="s">
        <v>43</v>
      </c>
      <c r="AF441" s="3" t="s">
        <v>44</v>
      </c>
      <c r="AG441" s="3" t="s">
        <v>43</v>
      </c>
      <c r="AH441" s="3" t="s">
        <v>44</v>
      </c>
    </row>
    <row r="442" spans="1:34">
      <c r="A442" t="s">
        <v>737</v>
      </c>
      <c r="B442" t="s">
        <v>738</v>
      </c>
      <c r="C442" s="3" t="s">
        <v>43</v>
      </c>
      <c r="D442" s="3"/>
      <c r="E442" s="3" t="s">
        <v>43</v>
      </c>
      <c r="F442" s="3"/>
      <c r="G442" s="3">
        <v>73.900000000000006</v>
      </c>
      <c r="H442" s="3"/>
      <c r="I442" s="3">
        <v>83.4</v>
      </c>
      <c r="J442" s="3"/>
      <c r="K442" s="3">
        <v>77.099999999999994</v>
      </c>
      <c r="L442" s="3"/>
      <c r="M442" s="3">
        <v>74.8</v>
      </c>
      <c r="N442" s="3" t="s">
        <v>334</v>
      </c>
      <c r="O442" s="3">
        <v>85</v>
      </c>
      <c r="P442" s="3"/>
      <c r="Q442" s="3">
        <v>103.8</v>
      </c>
      <c r="R442" s="3"/>
      <c r="S442" s="3">
        <v>100.4</v>
      </c>
      <c r="T442" s="3"/>
      <c r="U442" s="3">
        <v>157.80000000000001</v>
      </c>
      <c r="V442" s="3" t="s">
        <v>334</v>
      </c>
      <c r="W442" s="3">
        <v>190.9</v>
      </c>
      <c r="X442" s="3"/>
      <c r="Y442" s="3">
        <v>197.8</v>
      </c>
      <c r="Z442" s="3"/>
      <c r="AA442" s="3" t="s">
        <v>43</v>
      </c>
      <c r="AB442" s="3" t="s">
        <v>44</v>
      </c>
      <c r="AC442" s="3">
        <v>173.04</v>
      </c>
      <c r="AD442" s="3"/>
      <c r="AE442" s="3">
        <v>151.83000000000001</v>
      </c>
      <c r="AF442" s="3"/>
      <c r="AG442" s="3">
        <v>124.38</v>
      </c>
      <c r="AH442" s="3"/>
    </row>
    <row r="443" spans="1:34">
      <c r="A443" t="s">
        <v>739</v>
      </c>
      <c r="B443" t="s">
        <v>740</v>
      </c>
      <c r="C443" s="3" t="s">
        <v>43</v>
      </c>
      <c r="D443" s="3"/>
      <c r="E443" s="3" t="s">
        <v>43</v>
      </c>
      <c r="F443" s="3"/>
      <c r="G443" s="3">
        <v>33.1</v>
      </c>
      <c r="H443" s="3"/>
      <c r="I443" s="3">
        <v>35.700000000000003</v>
      </c>
      <c r="J443" s="3"/>
      <c r="K443" s="3">
        <v>38.6</v>
      </c>
      <c r="L443" s="3"/>
      <c r="M443" s="3">
        <v>38.299999999999997</v>
      </c>
      <c r="N443" s="3" t="s">
        <v>334</v>
      </c>
      <c r="O443" s="3">
        <v>37.700000000000003</v>
      </c>
      <c r="P443" s="3"/>
      <c r="Q443" s="3">
        <v>39.9</v>
      </c>
      <c r="R443" s="3"/>
      <c r="S443" s="3">
        <v>35.200000000000003</v>
      </c>
      <c r="T443" s="3"/>
      <c r="U443" s="3">
        <v>38.4</v>
      </c>
      <c r="V443" s="3" t="s">
        <v>334</v>
      </c>
      <c r="W443" s="3">
        <v>40.9</v>
      </c>
      <c r="X443" s="3"/>
      <c r="Y443" s="3">
        <v>45</v>
      </c>
      <c r="Z443" s="3"/>
      <c r="AA443" s="3" t="s">
        <v>43</v>
      </c>
      <c r="AB443" s="3" t="s">
        <v>44</v>
      </c>
      <c r="AC443" s="3">
        <v>48.45</v>
      </c>
      <c r="AD443" s="3"/>
      <c r="AE443" s="3">
        <v>55.45</v>
      </c>
      <c r="AF443" s="3"/>
      <c r="AG443" s="3">
        <v>60.63</v>
      </c>
      <c r="AH443" s="3"/>
    </row>
    <row r="444" spans="1:34">
      <c r="A444" t="s">
        <v>741</v>
      </c>
      <c r="B444" t="s">
        <v>742</v>
      </c>
      <c r="C444" s="3">
        <v>0</v>
      </c>
      <c r="D444" s="3"/>
      <c r="E444" s="3">
        <v>0</v>
      </c>
      <c r="F444" s="3"/>
      <c r="G444" s="3">
        <v>0</v>
      </c>
      <c r="H444" s="3"/>
      <c r="I444" s="3">
        <v>0</v>
      </c>
      <c r="J444" s="3"/>
      <c r="K444" s="3">
        <v>0</v>
      </c>
      <c r="L444" s="3"/>
      <c r="M444" s="3">
        <v>0</v>
      </c>
      <c r="N444" s="3" t="s">
        <v>334</v>
      </c>
      <c r="O444" s="3">
        <v>0</v>
      </c>
      <c r="P444" s="3"/>
      <c r="Q444" s="3">
        <v>0</v>
      </c>
      <c r="R444" s="3"/>
      <c r="S444" s="3">
        <v>0</v>
      </c>
      <c r="T444" s="3"/>
      <c r="U444" s="3">
        <v>0</v>
      </c>
      <c r="V444" s="3" t="s">
        <v>334</v>
      </c>
      <c r="W444" s="3">
        <v>0</v>
      </c>
      <c r="X444" s="3"/>
      <c r="Y444" s="3">
        <v>0</v>
      </c>
      <c r="Z444" s="3"/>
      <c r="AA444" s="3">
        <v>0</v>
      </c>
      <c r="AB444" s="3"/>
      <c r="AC444" s="3" t="s">
        <v>43</v>
      </c>
      <c r="AD444" s="3" t="s">
        <v>44</v>
      </c>
      <c r="AE444" s="3" t="s">
        <v>43</v>
      </c>
      <c r="AF444" s="3" t="s">
        <v>44</v>
      </c>
      <c r="AG444" s="3" t="s">
        <v>43</v>
      </c>
      <c r="AH444" s="3" t="s">
        <v>44</v>
      </c>
    </row>
    <row r="445" spans="1:34">
      <c r="A445" t="s">
        <v>743</v>
      </c>
      <c r="B445" t="s">
        <v>742</v>
      </c>
      <c r="C445" s="3">
        <v>0</v>
      </c>
      <c r="D445" s="3"/>
      <c r="E445" s="3">
        <v>0</v>
      </c>
      <c r="F445" s="3"/>
      <c r="G445" s="3">
        <v>0</v>
      </c>
      <c r="H445" s="3"/>
      <c r="I445" s="3">
        <v>0</v>
      </c>
      <c r="J445" s="3"/>
      <c r="K445" s="3">
        <v>0</v>
      </c>
      <c r="L445" s="3"/>
      <c r="M445" s="3">
        <v>0</v>
      </c>
      <c r="N445" s="3" t="s">
        <v>334</v>
      </c>
      <c r="O445" s="3">
        <v>0</v>
      </c>
      <c r="P445" s="3"/>
      <c r="Q445" s="3">
        <v>0</v>
      </c>
      <c r="R445" s="3"/>
      <c r="S445" s="3">
        <v>0</v>
      </c>
      <c r="T445" s="3"/>
      <c r="U445" s="3">
        <v>0</v>
      </c>
      <c r="V445" s="3" t="s">
        <v>334</v>
      </c>
      <c r="W445" s="3">
        <v>0</v>
      </c>
      <c r="X445" s="3"/>
      <c r="Y445" s="3">
        <v>0</v>
      </c>
      <c r="Z445" s="3"/>
      <c r="AA445" s="3">
        <v>0</v>
      </c>
      <c r="AB445" s="3"/>
      <c r="AC445" s="3" t="s">
        <v>43</v>
      </c>
      <c r="AD445" s="3" t="s">
        <v>44</v>
      </c>
      <c r="AE445" s="3" t="s">
        <v>43</v>
      </c>
      <c r="AF445" s="3" t="s">
        <v>44</v>
      </c>
      <c r="AG445" s="3" t="s">
        <v>43</v>
      </c>
      <c r="AH445" s="3" t="s">
        <v>44</v>
      </c>
    </row>
    <row r="446" spans="1:34">
      <c r="A446" t="s">
        <v>1022</v>
      </c>
      <c r="B446" t="s">
        <v>68</v>
      </c>
      <c r="C446" s="3" t="s">
        <v>43</v>
      </c>
      <c r="D446" s="3"/>
      <c r="E446" s="3" t="s">
        <v>43</v>
      </c>
      <c r="F446" s="3"/>
      <c r="G446" s="3" t="s">
        <v>43</v>
      </c>
      <c r="H446" s="3"/>
      <c r="I446" s="3" t="s">
        <v>43</v>
      </c>
      <c r="J446" s="3"/>
      <c r="K446" s="3" t="s">
        <v>43</v>
      </c>
      <c r="L446" s="3"/>
      <c r="M446" s="3" t="s">
        <v>43</v>
      </c>
      <c r="N446" s="3" t="s">
        <v>334</v>
      </c>
      <c r="O446" s="3" t="s">
        <v>43</v>
      </c>
      <c r="P446" s="3"/>
      <c r="Q446" s="3" t="s">
        <v>43</v>
      </c>
      <c r="R446" s="3"/>
      <c r="S446" s="3" t="s">
        <v>43</v>
      </c>
      <c r="T446" s="3"/>
      <c r="U446" s="3" t="s">
        <v>43</v>
      </c>
      <c r="V446" s="3" t="s">
        <v>334</v>
      </c>
      <c r="W446" s="3" t="s">
        <v>43</v>
      </c>
      <c r="X446" s="3"/>
      <c r="Y446" s="3" t="s">
        <v>43</v>
      </c>
      <c r="Z446" s="3"/>
      <c r="AA446" s="3" t="s">
        <v>43</v>
      </c>
      <c r="AB446" s="3"/>
      <c r="AC446" s="3"/>
      <c r="AD446" s="3"/>
      <c r="AE446" s="3"/>
      <c r="AF446" s="3"/>
      <c r="AG446" s="3"/>
      <c r="AH446" s="3"/>
    </row>
    <row r="447" spans="1:34">
      <c r="A447" t="s">
        <v>1023</v>
      </c>
      <c r="B447" t="s">
        <v>70</v>
      </c>
      <c r="C447" s="3" t="s">
        <v>43</v>
      </c>
      <c r="D447" s="3"/>
      <c r="E447" s="3" t="s">
        <v>43</v>
      </c>
      <c r="F447" s="3"/>
      <c r="G447" s="3" t="s">
        <v>43</v>
      </c>
      <c r="H447" s="3"/>
      <c r="I447" s="3" t="s">
        <v>43</v>
      </c>
      <c r="J447" s="3"/>
      <c r="K447" s="3" t="s">
        <v>43</v>
      </c>
      <c r="L447" s="3"/>
      <c r="M447" s="3" t="s">
        <v>43</v>
      </c>
      <c r="N447" s="3" t="s">
        <v>334</v>
      </c>
      <c r="O447" s="3" t="s">
        <v>43</v>
      </c>
      <c r="P447" s="3"/>
      <c r="Q447" s="3" t="s">
        <v>43</v>
      </c>
      <c r="R447" s="3"/>
      <c r="S447" s="3" t="s">
        <v>43</v>
      </c>
      <c r="T447" s="3"/>
      <c r="U447" s="3" t="s">
        <v>43</v>
      </c>
      <c r="V447" s="3" t="s">
        <v>334</v>
      </c>
      <c r="W447" s="3" t="s">
        <v>43</v>
      </c>
      <c r="X447" s="3"/>
      <c r="Y447" s="3" t="s">
        <v>43</v>
      </c>
      <c r="Z447" s="3"/>
      <c r="AA447" s="3" t="s">
        <v>43</v>
      </c>
      <c r="AB447" s="3"/>
      <c r="AC447" s="3"/>
      <c r="AD447" s="3"/>
      <c r="AE447" s="3"/>
      <c r="AF447" s="3"/>
      <c r="AG447" s="3"/>
      <c r="AH447" s="3"/>
    </row>
    <row r="448" spans="1:34">
      <c r="A448" t="s">
        <v>744</v>
      </c>
      <c r="B448" t="s">
        <v>745</v>
      </c>
      <c r="C448" s="3">
        <v>3025.1</v>
      </c>
      <c r="D448" s="3"/>
      <c r="E448" s="3">
        <v>2199</v>
      </c>
      <c r="F448" s="3"/>
      <c r="G448" s="3">
        <v>2511.4</v>
      </c>
      <c r="H448" s="3"/>
      <c r="I448" s="3">
        <v>2847.9</v>
      </c>
      <c r="J448" s="3"/>
      <c r="K448" s="3">
        <v>2901</v>
      </c>
      <c r="L448" s="3"/>
      <c r="M448" s="3">
        <v>3037.1</v>
      </c>
      <c r="N448" s="3"/>
      <c r="O448" s="3">
        <v>3012.9</v>
      </c>
      <c r="P448" s="3"/>
      <c r="Q448" s="3">
        <v>3098.5</v>
      </c>
      <c r="R448" s="3"/>
      <c r="S448" s="3">
        <v>3289.7</v>
      </c>
      <c r="T448" s="3"/>
      <c r="U448" s="3">
        <v>3549.4</v>
      </c>
      <c r="V448" s="3"/>
      <c r="W448" s="3">
        <v>3884.3</v>
      </c>
      <c r="X448" s="3" t="s">
        <v>334</v>
      </c>
      <c r="Y448" s="3">
        <v>3948.9</v>
      </c>
      <c r="Z448" s="3"/>
      <c r="AA448" s="3">
        <v>3853.6</v>
      </c>
      <c r="AB448" s="3"/>
      <c r="AC448" s="3">
        <v>4335.7</v>
      </c>
      <c r="AD448" s="3"/>
      <c r="AE448" s="3">
        <v>4295.58</v>
      </c>
      <c r="AF448" s="3"/>
      <c r="AG448" s="3">
        <v>4416.32</v>
      </c>
      <c r="AH448" s="3"/>
    </row>
    <row r="449" spans="1:34">
      <c r="A449" t="s">
        <v>746</v>
      </c>
      <c r="B449" t="s">
        <v>747</v>
      </c>
      <c r="C449" s="3" t="s">
        <v>43</v>
      </c>
      <c r="D449" s="3" t="s">
        <v>44</v>
      </c>
      <c r="E449" s="3">
        <v>444.8</v>
      </c>
      <c r="F449" s="3"/>
      <c r="G449" s="3">
        <v>565.9</v>
      </c>
      <c r="H449" s="3"/>
      <c r="I449" s="3">
        <v>679.3</v>
      </c>
      <c r="J449" s="3"/>
      <c r="K449" s="3">
        <v>735.9</v>
      </c>
      <c r="L449" s="3"/>
      <c r="M449" s="3">
        <v>751.1</v>
      </c>
      <c r="N449" s="3"/>
      <c r="O449" s="3">
        <v>751.9</v>
      </c>
      <c r="P449" s="3"/>
      <c r="Q449" s="3">
        <v>799.3</v>
      </c>
      <c r="R449" s="3"/>
      <c r="S449" s="3">
        <v>880.8</v>
      </c>
      <c r="T449" s="3"/>
      <c r="U449" s="3">
        <v>913</v>
      </c>
      <c r="V449" s="3"/>
      <c r="W449" s="3">
        <v>1030.5</v>
      </c>
      <c r="X449" s="3"/>
      <c r="Y449" s="3">
        <v>1042.5</v>
      </c>
      <c r="Z449" s="3"/>
      <c r="AA449" s="3">
        <v>1016.9</v>
      </c>
      <c r="AB449" s="3"/>
      <c r="AC449" s="3">
        <v>1154.55</v>
      </c>
      <c r="AD449" s="3"/>
      <c r="AE449" s="3">
        <v>1155.54</v>
      </c>
      <c r="AF449" s="3"/>
      <c r="AG449" s="3">
        <v>1210.6199999999999</v>
      </c>
      <c r="AH449" s="3"/>
    </row>
    <row r="450" spans="1:34">
      <c r="A450" t="s">
        <v>748</v>
      </c>
      <c r="B450" t="s">
        <v>749</v>
      </c>
      <c r="C450" s="3" t="s">
        <v>43</v>
      </c>
      <c r="D450" s="3" t="s">
        <v>44</v>
      </c>
      <c r="E450" s="3" t="s">
        <v>43</v>
      </c>
      <c r="F450" s="3" t="s">
        <v>44</v>
      </c>
      <c r="G450" s="3" t="s">
        <v>43</v>
      </c>
      <c r="H450" s="3" t="s">
        <v>44</v>
      </c>
      <c r="I450" s="3" t="s">
        <v>43</v>
      </c>
      <c r="J450" s="3" t="s">
        <v>44</v>
      </c>
      <c r="K450" s="3" t="s">
        <v>43</v>
      </c>
      <c r="L450" s="3" t="s">
        <v>44</v>
      </c>
      <c r="M450" s="3" t="s">
        <v>43</v>
      </c>
      <c r="N450" s="3" t="s">
        <v>44</v>
      </c>
      <c r="O450" s="3" t="s">
        <v>43</v>
      </c>
      <c r="P450" s="3" t="s">
        <v>44</v>
      </c>
      <c r="Q450" s="3" t="s">
        <v>43</v>
      </c>
      <c r="R450" s="3" t="s">
        <v>44</v>
      </c>
      <c r="S450" s="3" t="s">
        <v>43</v>
      </c>
      <c r="T450" s="3" t="s">
        <v>44</v>
      </c>
      <c r="U450" s="3" t="s">
        <v>43</v>
      </c>
      <c r="V450" s="3" t="s">
        <v>44</v>
      </c>
      <c r="W450" s="3">
        <v>769.4</v>
      </c>
      <c r="X450" s="3"/>
      <c r="Y450" s="3">
        <v>777.9</v>
      </c>
      <c r="Z450" s="3"/>
      <c r="AA450" s="3">
        <v>810.4</v>
      </c>
      <c r="AB450" s="3"/>
      <c r="AC450" s="3">
        <v>928.39</v>
      </c>
      <c r="AD450" s="3"/>
      <c r="AE450" s="3">
        <v>890.16</v>
      </c>
      <c r="AF450" s="3"/>
      <c r="AG450" s="3">
        <v>951.99</v>
      </c>
      <c r="AH450" s="3"/>
    </row>
    <row r="451" spans="1:34">
      <c r="A451" t="s">
        <v>750</v>
      </c>
      <c r="B451" t="s">
        <v>751</v>
      </c>
      <c r="C451" s="3">
        <v>241.2</v>
      </c>
      <c r="D451" s="3"/>
      <c r="E451" s="3">
        <v>159.80000000000001</v>
      </c>
      <c r="F451" s="3"/>
      <c r="G451" s="3" t="s">
        <v>43</v>
      </c>
      <c r="H451" s="3" t="s">
        <v>44</v>
      </c>
      <c r="I451" s="3" t="s">
        <v>43</v>
      </c>
      <c r="J451" s="3" t="s">
        <v>44</v>
      </c>
      <c r="K451" s="3" t="s">
        <v>43</v>
      </c>
      <c r="L451" s="3" t="s">
        <v>44</v>
      </c>
      <c r="M451" s="3" t="s">
        <v>43</v>
      </c>
      <c r="N451" s="3" t="s">
        <v>44</v>
      </c>
      <c r="O451" s="3" t="s">
        <v>43</v>
      </c>
      <c r="P451" s="3" t="s">
        <v>44</v>
      </c>
      <c r="Q451" s="3" t="s">
        <v>43</v>
      </c>
      <c r="R451" s="3" t="s">
        <v>44</v>
      </c>
      <c r="S451" s="3" t="s">
        <v>43</v>
      </c>
      <c r="T451" s="3" t="s">
        <v>44</v>
      </c>
      <c r="U451" s="3" t="s">
        <v>43</v>
      </c>
      <c r="V451" s="3" t="s">
        <v>44</v>
      </c>
      <c r="W451" s="3">
        <v>261.10000000000002</v>
      </c>
      <c r="X451" s="3"/>
      <c r="Y451" s="3">
        <v>264.60000000000002</v>
      </c>
      <c r="Z451" s="3"/>
      <c r="AA451" s="3">
        <v>206.5</v>
      </c>
      <c r="AB451" s="3"/>
      <c r="AC451" s="3">
        <v>226.15</v>
      </c>
      <c r="AD451" s="3"/>
      <c r="AE451" s="3">
        <v>265.38</v>
      </c>
      <c r="AF451" s="3"/>
      <c r="AG451" s="3">
        <v>258.63</v>
      </c>
      <c r="AH451" s="3"/>
    </row>
    <row r="452" spans="1:34">
      <c r="A452" t="s">
        <v>752</v>
      </c>
      <c r="B452" t="s">
        <v>753</v>
      </c>
      <c r="C452" s="3">
        <v>2185.5</v>
      </c>
      <c r="D452" s="3"/>
      <c r="E452" s="3">
        <v>1600.5</v>
      </c>
      <c r="F452" s="3"/>
      <c r="G452" s="3">
        <v>1769.2</v>
      </c>
      <c r="H452" s="3"/>
      <c r="I452" s="3">
        <v>1944.6</v>
      </c>
      <c r="J452" s="3"/>
      <c r="K452" s="3">
        <v>1937.8</v>
      </c>
      <c r="L452" s="3"/>
      <c r="M452" s="3">
        <v>2053</v>
      </c>
      <c r="N452" s="3"/>
      <c r="O452" s="3">
        <v>2055.5</v>
      </c>
      <c r="P452" s="3"/>
      <c r="Q452" s="3">
        <v>2105.1</v>
      </c>
      <c r="R452" s="3"/>
      <c r="S452" s="3">
        <v>2235.9</v>
      </c>
      <c r="T452" s="3"/>
      <c r="U452" s="3">
        <v>2472.4</v>
      </c>
      <c r="V452" s="3"/>
      <c r="W452" s="3">
        <v>2682.7</v>
      </c>
      <c r="X452" s="3"/>
      <c r="Y452" s="3">
        <v>2749.4</v>
      </c>
      <c r="Z452" s="3"/>
      <c r="AA452" s="3">
        <v>2704.9</v>
      </c>
      <c r="AB452" s="3"/>
      <c r="AC452" s="3">
        <v>3016.68</v>
      </c>
      <c r="AD452" s="3"/>
      <c r="AE452" s="3">
        <v>2933.6</v>
      </c>
      <c r="AF452" s="3"/>
      <c r="AG452" s="3">
        <v>2997.03</v>
      </c>
      <c r="AH452" s="3"/>
    </row>
    <row r="453" spans="1:34">
      <c r="A453" t="s">
        <v>754</v>
      </c>
      <c r="B453" t="s">
        <v>755</v>
      </c>
      <c r="C453" s="3">
        <v>245.7</v>
      </c>
      <c r="D453" s="3"/>
      <c r="E453" s="3">
        <v>160.9</v>
      </c>
      <c r="F453" s="3"/>
      <c r="G453" s="3">
        <v>205.4</v>
      </c>
      <c r="H453" s="3"/>
      <c r="I453" s="3">
        <v>237</v>
      </c>
      <c r="J453" s="3"/>
      <c r="K453" s="3">
        <v>226.9</v>
      </c>
      <c r="L453" s="3"/>
      <c r="M453" s="3">
        <v>216.5</v>
      </c>
      <c r="N453" s="3"/>
      <c r="O453" s="3">
        <v>209.2</v>
      </c>
      <c r="P453" s="3"/>
      <c r="Q453" s="3">
        <v>227.2</v>
      </c>
      <c r="R453" s="3"/>
      <c r="S453" s="3">
        <v>233.3</v>
      </c>
      <c r="T453" s="3"/>
      <c r="U453" s="3">
        <v>232.6</v>
      </c>
      <c r="V453" s="3"/>
      <c r="W453" s="3">
        <v>238.2</v>
      </c>
      <c r="X453" s="3"/>
      <c r="Y453" s="3">
        <v>249.3</v>
      </c>
      <c r="Z453" s="3"/>
      <c r="AA453" s="3">
        <v>232.5</v>
      </c>
      <c r="AB453" s="3"/>
      <c r="AC453" s="3">
        <v>259.75</v>
      </c>
      <c r="AD453" s="3"/>
      <c r="AE453" s="3">
        <v>314.94</v>
      </c>
      <c r="AF453" s="3"/>
      <c r="AG453" s="3">
        <v>285.37</v>
      </c>
      <c r="AH453" s="3"/>
    </row>
    <row r="454" spans="1:34">
      <c r="A454" t="s">
        <v>756</v>
      </c>
      <c r="B454" t="s">
        <v>757</v>
      </c>
      <c r="C454" s="3">
        <v>197.2</v>
      </c>
      <c r="D454" s="3"/>
      <c r="E454" s="3">
        <v>124.3</v>
      </c>
      <c r="F454" s="3"/>
      <c r="G454" s="3">
        <v>171.7</v>
      </c>
      <c r="H454" s="3"/>
      <c r="I454" s="3">
        <v>189.3</v>
      </c>
      <c r="J454" s="3"/>
      <c r="K454" s="3">
        <v>193.5</v>
      </c>
      <c r="L454" s="3"/>
      <c r="M454" s="3">
        <v>209.3</v>
      </c>
      <c r="N454" s="3"/>
      <c r="O454" s="3">
        <v>211.2</v>
      </c>
      <c r="P454" s="3"/>
      <c r="Q454" s="3">
        <v>207.8</v>
      </c>
      <c r="R454" s="3"/>
      <c r="S454" s="3">
        <v>231.9</v>
      </c>
      <c r="T454" s="3"/>
      <c r="U454" s="3">
        <v>239.9</v>
      </c>
      <c r="V454" s="3"/>
      <c r="W454" s="3">
        <v>232.2</v>
      </c>
      <c r="X454" s="3"/>
      <c r="Y454" s="3">
        <v>229.9</v>
      </c>
      <c r="Z454" s="3"/>
      <c r="AA454" s="3">
        <v>241.9</v>
      </c>
      <c r="AB454" s="3"/>
      <c r="AC454" s="3">
        <v>270.07</v>
      </c>
      <c r="AD454" s="3"/>
      <c r="AE454" s="3">
        <v>307.57</v>
      </c>
      <c r="AF454" s="3"/>
      <c r="AG454" s="3">
        <v>308.8</v>
      </c>
      <c r="AH454" s="3"/>
    </row>
    <row r="455" spans="1:34">
      <c r="A455" t="s">
        <v>758</v>
      </c>
      <c r="B455" t="s">
        <v>759</v>
      </c>
      <c r="C455" s="3">
        <v>1742.6</v>
      </c>
      <c r="D455" s="3"/>
      <c r="E455" s="3">
        <v>1315.3</v>
      </c>
      <c r="F455" s="3"/>
      <c r="G455" s="3">
        <v>1392.1</v>
      </c>
      <c r="H455" s="3"/>
      <c r="I455" s="3">
        <v>1518.4</v>
      </c>
      <c r="J455" s="3"/>
      <c r="K455" s="3">
        <v>1517.4</v>
      </c>
      <c r="L455" s="3"/>
      <c r="M455" s="3">
        <v>1627.2</v>
      </c>
      <c r="N455" s="3"/>
      <c r="O455" s="3">
        <v>1635.1</v>
      </c>
      <c r="P455" s="3"/>
      <c r="Q455" s="3">
        <v>1670.1</v>
      </c>
      <c r="R455" s="3"/>
      <c r="S455" s="3">
        <v>1770.6</v>
      </c>
      <c r="T455" s="3"/>
      <c r="U455" s="3">
        <v>1999.9</v>
      </c>
      <c r="V455" s="3"/>
      <c r="W455" s="3">
        <v>2212.3000000000002</v>
      </c>
      <c r="X455" s="3"/>
      <c r="Y455" s="3">
        <v>2270.1</v>
      </c>
      <c r="Z455" s="3"/>
      <c r="AA455" s="3">
        <v>2230.5</v>
      </c>
      <c r="AB455" s="3"/>
      <c r="AC455" s="3">
        <v>2486.86</v>
      </c>
      <c r="AD455" s="3"/>
      <c r="AE455" s="3">
        <v>2311.1</v>
      </c>
      <c r="AF455" s="3"/>
      <c r="AG455" s="3">
        <v>2402.85</v>
      </c>
      <c r="AH455" s="3"/>
    </row>
    <row r="456" spans="1:34">
      <c r="A456" t="s">
        <v>760</v>
      </c>
      <c r="B456" t="s">
        <v>761</v>
      </c>
      <c r="C456" s="3" t="s">
        <v>43</v>
      </c>
      <c r="D456" s="3" t="s">
        <v>44</v>
      </c>
      <c r="E456" s="3">
        <v>153.69999999999999</v>
      </c>
      <c r="F456" s="3"/>
      <c r="G456" s="3">
        <v>176.4</v>
      </c>
      <c r="H456" s="3"/>
      <c r="I456" s="3">
        <v>223.9</v>
      </c>
      <c r="J456" s="3"/>
      <c r="K456" s="3">
        <v>227.3</v>
      </c>
      <c r="L456" s="3"/>
      <c r="M456" s="3">
        <v>233.1</v>
      </c>
      <c r="N456" s="3"/>
      <c r="O456" s="3">
        <v>205.6</v>
      </c>
      <c r="P456" s="3"/>
      <c r="Q456" s="3">
        <v>194.1</v>
      </c>
      <c r="R456" s="3"/>
      <c r="S456" s="3">
        <v>173.1</v>
      </c>
      <c r="T456" s="3"/>
      <c r="U456" s="3">
        <v>164</v>
      </c>
      <c r="V456" s="3"/>
      <c r="W456" s="3">
        <v>171.1</v>
      </c>
      <c r="X456" s="3"/>
      <c r="Y456" s="3">
        <v>157.1</v>
      </c>
      <c r="Z456" s="3"/>
      <c r="AA456" s="3">
        <v>131.9</v>
      </c>
      <c r="AB456" s="3"/>
      <c r="AC456" s="3">
        <v>164.48</v>
      </c>
      <c r="AD456" s="3"/>
      <c r="AE456" s="3">
        <v>206.44</v>
      </c>
      <c r="AF456" s="3"/>
      <c r="AG456" s="3">
        <v>208.67</v>
      </c>
      <c r="AH456" s="3"/>
    </row>
    <row r="457" spans="1:34">
      <c r="A457" t="s">
        <v>762</v>
      </c>
      <c r="B457" t="s">
        <v>763</v>
      </c>
      <c r="C457" s="3">
        <v>78.7</v>
      </c>
      <c r="D457" s="3"/>
      <c r="E457" s="3">
        <v>48.6</v>
      </c>
      <c r="F457" s="3"/>
      <c r="G457" s="3">
        <v>49.1</v>
      </c>
      <c r="H457" s="3"/>
      <c r="I457" s="3">
        <v>55</v>
      </c>
      <c r="J457" s="3"/>
      <c r="K457" s="3">
        <v>58.6</v>
      </c>
      <c r="L457" s="3"/>
      <c r="M457" s="3">
        <v>49.9</v>
      </c>
      <c r="N457" s="3"/>
      <c r="O457" s="3">
        <v>40.799999999999997</v>
      </c>
      <c r="P457" s="3"/>
      <c r="Q457" s="3">
        <v>39.5</v>
      </c>
      <c r="R457" s="3"/>
      <c r="S457" s="3">
        <v>33.200000000000003</v>
      </c>
      <c r="T457" s="3"/>
      <c r="U457" s="3">
        <v>32.5</v>
      </c>
      <c r="V457" s="3"/>
      <c r="W457" s="3">
        <v>36.9</v>
      </c>
      <c r="X457" s="3"/>
      <c r="Y457" s="3">
        <v>31.5</v>
      </c>
      <c r="Z457" s="3"/>
      <c r="AA457" s="3">
        <v>23.8</v>
      </c>
      <c r="AB457" s="3"/>
      <c r="AC457" s="3">
        <v>32.43</v>
      </c>
      <c r="AD457" s="3"/>
      <c r="AE457" s="3">
        <v>47.74</v>
      </c>
      <c r="AF457" s="3"/>
      <c r="AG457" s="3">
        <v>48.01</v>
      </c>
      <c r="AH457" s="3"/>
    </row>
    <row r="458" spans="1:34">
      <c r="A458" t="s">
        <v>764</v>
      </c>
      <c r="B458" t="s">
        <v>765</v>
      </c>
      <c r="C458" s="3" t="s">
        <v>43</v>
      </c>
      <c r="D458" s="3" t="s">
        <v>44</v>
      </c>
      <c r="E458" s="3" t="s">
        <v>43</v>
      </c>
      <c r="F458" s="3" t="s">
        <v>44</v>
      </c>
      <c r="G458" s="3">
        <v>2.7</v>
      </c>
      <c r="H458" s="3"/>
      <c r="I458" s="3">
        <v>3.1</v>
      </c>
      <c r="J458" s="3"/>
      <c r="K458" s="3">
        <v>3.5</v>
      </c>
      <c r="L458" s="3"/>
      <c r="M458" s="3">
        <v>6</v>
      </c>
      <c r="N458" s="3"/>
      <c r="O458" s="3">
        <v>5.7</v>
      </c>
      <c r="P458" s="3"/>
      <c r="Q458" s="3">
        <v>4.9000000000000004</v>
      </c>
      <c r="R458" s="3"/>
      <c r="S458" s="3">
        <v>4.9000000000000004</v>
      </c>
      <c r="T458" s="3"/>
      <c r="U458" s="3">
        <v>5.5</v>
      </c>
      <c r="V458" s="3"/>
      <c r="W458" s="3">
        <v>7.3</v>
      </c>
      <c r="X458" s="3"/>
      <c r="Y458" s="3">
        <v>5.8</v>
      </c>
      <c r="Z458" s="3"/>
      <c r="AA458" s="3">
        <v>4.5999999999999996</v>
      </c>
      <c r="AB458" s="3"/>
      <c r="AC458" s="3">
        <v>5.08</v>
      </c>
      <c r="AD458" s="3"/>
      <c r="AE458" s="3">
        <v>5.29</v>
      </c>
      <c r="AF458" s="3"/>
      <c r="AG458" s="3">
        <v>5.9</v>
      </c>
      <c r="AH458" s="3"/>
    </row>
    <row r="459" spans="1:34">
      <c r="A459" t="s">
        <v>766</v>
      </c>
      <c r="B459" t="s">
        <v>767</v>
      </c>
      <c r="C459" s="3">
        <v>164.1</v>
      </c>
      <c r="D459" s="3"/>
      <c r="E459" s="3">
        <v>102.9</v>
      </c>
      <c r="F459" s="3"/>
      <c r="G459" s="3">
        <v>124.5</v>
      </c>
      <c r="H459" s="3"/>
      <c r="I459" s="3">
        <v>165.7</v>
      </c>
      <c r="J459" s="3"/>
      <c r="K459" s="3">
        <v>165.1</v>
      </c>
      <c r="L459" s="3"/>
      <c r="M459" s="3">
        <v>177.2</v>
      </c>
      <c r="N459" s="3"/>
      <c r="O459" s="3">
        <v>159.1</v>
      </c>
      <c r="P459" s="3"/>
      <c r="Q459" s="3">
        <v>149.80000000000001</v>
      </c>
      <c r="R459" s="3"/>
      <c r="S459" s="3">
        <v>134.9</v>
      </c>
      <c r="T459" s="3"/>
      <c r="U459" s="3">
        <v>126.1</v>
      </c>
      <c r="V459" s="3"/>
      <c r="W459" s="3">
        <v>126.9</v>
      </c>
      <c r="X459" s="3"/>
      <c r="Y459" s="3">
        <v>119.8</v>
      </c>
      <c r="Z459" s="3"/>
      <c r="AA459" s="3">
        <v>103.4</v>
      </c>
      <c r="AB459" s="3"/>
      <c r="AC459" s="3">
        <v>126.97</v>
      </c>
      <c r="AD459" s="3"/>
      <c r="AE459" s="3">
        <v>153.41</v>
      </c>
      <c r="AF459" s="3"/>
      <c r="AG459" s="3">
        <v>154.76</v>
      </c>
      <c r="AH459" s="3"/>
    </row>
    <row r="460" spans="1:34">
      <c r="A460" t="s">
        <v>1024</v>
      </c>
      <c r="B460" t="s">
        <v>68</v>
      </c>
      <c r="C460" s="3">
        <v>0</v>
      </c>
      <c r="D460" s="3"/>
      <c r="E460" s="3" t="s">
        <v>43</v>
      </c>
      <c r="F460" s="3"/>
      <c r="G460" s="3" t="s">
        <v>43</v>
      </c>
      <c r="H460" s="3"/>
      <c r="I460" s="3" t="s">
        <v>43</v>
      </c>
      <c r="J460" s="3"/>
      <c r="K460" s="3" t="s">
        <v>43</v>
      </c>
      <c r="L460" s="3"/>
      <c r="M460" s="3" t="s">
        <v>43</v>
      </c>
      <c r="N460" s="3"/>
      <c r="O460" s="3" t="s">
        <v>43</v>
      </c>
      <c r="P460" s="3"/>
      <c r="Q460" s="3" t="s">
        <v>43</v>
      </c>
      <c r="R460" s="3"/>
      <c r="S460" s="3" t="s">
        <v>43</v>
      </c>
      <c r="T460" s="3"/>
      <c r="U460" s="3" t="s">
        <v>43</v>
      </c>
      <c r="V460" s="3"/>
      <c r="W460" s="3" t="s">
        <v>43</v>
      </c>
      <c r="X460" s="3"/>
      <c r="Y460" s="3" t="s">
        <v>43</v>
      </c>
      <c r="Z460" s="3"/>
      <c r="AA460" s="3" t="s">
        <v>43</v>
      </c>
      <c r="AB460" s="3"/>
      <c r="AC460" s="3"/>
      <c r="AD460" s="3"/>
      <c r="AE460" s="3"/>
      <c r="AF460" s="3"/>
      <c r="AG460" s="3"/>
      <c r="AH460" s="3"/>
    </row>
    <row r="461" spans="1:34">
      <c r="A461" t="s">
        <v>1025</v>
      </c>
      <c r="B461" t="s">
        <v>70</v>
      </c>
      <c r="C461" s="3">
        <v>0</v>
      </c>
      <c r="D461" s="3"/>
      <c r="E461" s="3" t="s">
        <v>43</v>
      </c>
      <c r="F461" s="3"/>
      <c r="G461" s="3" t="s">
        <v>43</v>
      </c>
      <c r="H461" s="3"/>
      <c r="I461" s="3" t="s">
        <v>43</v>
      </c>
      <c r="J461" s="3"/>
      <c r="K461" s="3" t="s">
        <v>43</v>
      </c>
      <c r="L461" s="3"/>
      <c r="M461" s="3" t="s">
        <v>43</v>
      </c>
      <c r="N461" s="3"/>
      <c r="O461" s="3" t="s">
        <v>43</v>
      </c>
      <c r="P461" s="3"/>
      <c r="Q461" s="3" t="s">
        <v>43</v>
      </c>
      <c r="R461" s="3"/>
      <c r="S461" s="3" t="s">
        <v>43</v>
      </c>
      <c r="T461" s="3"/>
      <c r="U461" s="3" t="s">
        <v>43</v>
      </c>
      <c r="V461" s="3"/>
      <c r="W461" s="3" t="s">
        <v>43</v>
      </c>
      <c r="X461" s="3"/>
      <c r="Y461" s="3" t="s">
        <v>43</v>
      </c>
      <c r="Z461" s="3"/>
      <c r="AA461" s="3" t="s">
        <v>43</v>
      </c>
      <c r="AB461" s="3"/>
      <c r="AC461" s="3"/>
      <c r="AD461" s="3"/>
      <c r="AE461" s="3"/>
      <c r="AF461" s="3"/>
      <c r="AG461" s="3"/>
      <c r="AH461" s="3"/>
    </row>
    <row r="462" spans="1:34">
      <c r="A462" t="s">
        <v>768</v>
      </c>
      <c r="B462" t="s">
        <v>769</v>
      </c>
      <c r="C462" s="3" t="s">
        <v>43</v>
      </c>
      <c r="D462" s="3"/>
      <c r="E462" s="3" t="s">
        <v>43</v>
      </c>
      <c r="F462" s="3"/>
      <c r="G462" s="3" t="s">
        <v>43</v>
      </c>
      <c r="H462" s="3"/>
      <c r="I462" s="3" t="s">
        <v>43</v>
      </c>
      <c r="J462" s="3"/>
      <c r="K462" s="3" t="s">
        <v>43</v>
      </c>
      <c r="L462" s="3"/>
      <c r="M462" s="3" t="s">
        <v>43</v>
      </c>
      <c r="N462" s="3"/>
      <c r="O462" s="3" t="s">
        <v>43</v>
      </c>
      <c r="P462" s="3"/>
      <c r="Q462" s="3">
        <v>2.7</v>
      </c>
      <c r="R462" s="3" t="s">
        <v>846</v>
      </c>
      <c r="S462" s="3">
        <v>3.1</v>
      </c>
      <c r="T462" s="3" t="s">
        <v>846</v>
      </c>
      <c r="U462" s="3">
        <v>2.4</v>
      </c>
      <c r="V462" s="3" t="s">
        <v>846</v>
      </c>
      <c r="W462" s="3">
        <v>2.6</v>
      </c>
      <c r="X462" s="3"/>
      <c r="Y462" s="3" t="s">
        <v>43</v>
      </c>
      <c r="Z462" s="3"/>
      <c r="AA462" s="3" t="s">
        <v>43</v>
      </c>
      <c r="AB462" s="3"/>
      <c r="AC462" s="3" t="s">
        <v>43</v>
      </c>
      <c r="AD462" s="3"/>
      <c r="AE462" s="3">
        <v>2.44</v>
      </c>
      <c r="AF462" s="3"/>
      <c r="AG462" s="3">
        <v>2.68</v>
      </c>
      <c r="AH462" s="3"/>
    </row>
    <row r="463" spans="1:34">
      <c r="A463" t="s">
        <v>770</v>
      </c>
      <c r="B463" t="s">
        <v>771</v>
      </c>
      <c r="C463" s="3" t="s">
        <v>43</v>
      </c>
      <c r="D463" s="3"/>
      <c r="E463" s="3" t="s">
        <v>43</v>
      </c>
      <c r="F463" s="3"/>
      <c r="G463" s="3" t="s">
        <v>43</v>
      </c>
      <c r="H463" s="3"/>
      <c r="I463" s="3" t="s">
        <v>43</v>
      </c>
      <c r="J463" s="3"/>
      <c r="K463" s="3" t="s">
        <v>43</v>
      </c>
      <c r="L463" s="3"/>
      <c r="M463" s="3" t="s">
        <v>43</v>
      </c>
      <c r="N463" s="3"/>
      <c r="O463" s="3" t="s">
        <v>43</v>
      </c>
      <c r="P463" s="3"/>
      <c r="Q463" s="3">
        <v>2.7</v>
      </c>
      <c r="R463" s="3" t="s">
        <v>846</v>
      </c>
      <c r="S463" s="3">
        <v>3.1</v>
      </c>
      <c r="T463" s="3" t="s">
        <v>846</v>
      </c>
      <c r="U463" s="3">
        <v>2.4</v>
      </c>
      <c r="V463" s="3" t="s">
        <v>846</v>
      </c>
      <c r="W463" s="3">
        <v>2.6</v>
      </c>
      <c r="X463" s="3"/>
      <c r="Y463" s="3" t="s">
        <v>43</v>
      </c>
      <c r="Z463" s="3"/>
      <c r="AA463" s="3" t="s">
        <v>43</v>
      </c>
      <c r="AB463" s="3"/>
      <c r="AC463" s="3" t="s">
        <v>43</v>
      </c>
      <c r="AD463" s="3"/>
      <c r="AE463" s="3">
        <v>2.44</v>
      </c>
      <c r="AF463" s="3"/>
      <c r="AG463" s="3" t="s">
        <v>43</v>
      </c>
      <c r="AH463" s="3"/>
    </row>
    <row r="464" spans="1:34">
      <c r="A464" t="s">
        <v>772</v>
      </c>
      <c r="B464" t="s">
        <v>771</v>
      </c>
      <c r="C464" s="3" t="s">
        <v>43</v>
      </c>
      <c r="D464" s="3"/>
      <c r="E464" s="3" t="s">
        <v>43</v>
      </c>
      <c r="F464" s="3"/>
      <c r="G464" s="3" t="s">
        <v>43</v>
      </c>
      <c r="H464" s="3"/>
      <c r="I464" s="3" t="s">
        <v>43</v>
      </c>
      <c r="J464" s="3"/>
      <c r="K464" s="3" t="s">
        <v>43</v>
      </c>
      <c r="L464" s="3"/>
      <c r="M464" s="3" t="s">
        <v>43</v>
      </c>
      <c r="N464" s="3"/>
      <c r="O464" s="3" t="s">
        <v>43</v>
      </c>
      <c r="P464" s="3"/>
      <c r="Q464" s="3">
        <v>2.7</v>
      </c>
      <c r="R464" s="3" t="s">
        <v>846</v>
      </c>
      <c r="S464" s="3">
        <v>3.1</v>
      </c>
      <c r="T464" s="3" t="s">
        <v>846</v>
      </c>
      <c r="U464" s="3">
        <v>2.4</v>
      </c>
      <c r="V464" s="3" t="s">
        <v>846</v>
      </c>
      <c r="W464" s="3">
        <v>2.6</v>
      </c>
      <c r="X464" s="3"/>
      <c r="Y464" s="3" t="s">
        <v>43</v>
      </c>
      <c r="Z464" s="3"/>
      <c r="AA464" s="3" t="s">
        <v>43</v>
      </c>
      <c r="AB464" s="3"/>
      <c r="AC464" s="3" t="s">
        <v>43</v>
      </c>
      <c r="AD464" s="3"/>
      <c r="AE464" s="3">
        <v>2.44</v>
      </c>
      <c r="AF464" s="3"/>
      <c r="AG464" s="3" t="s">
        <v>43</v>
      </c>
      <c r="AH464" s="3"/>
    </row>
    <row r="465" spans="1:34">
      <c r="A465" t="s">
        <v>773</v>
      </c>
      <c r="B465" t="s">
        <v>774</v>
      </c>
      <c r="C465" s="3">
        <v>221.4</v>
      </c>
      <c r="D465" s="3"/>
      <c r="E465" s="3">
        <v>138.6</v>
      </c>
      <c r="F465" s="3"/>
      <c r="G465" s="3">
        <v>155.6</v>
      </c>
      <c r="H465" s="3"/>
      <c r="I465" s="3">
        <v>173.2</v>
      </c>
      <c r="J465" s="3"/>
      <c r="K465" s="3">
        <v>186.7</v>
      </c>
      <c r="L465" s="3"/>
      <c r="M465" s="3">
        <v>191.7</v>
      </c>
      <c r="N465" s="3"/>
      <c r="O465" s="3">
        <v>160.30000000000001</v>
      </c>
      <c r="P465" s="3"/>
      <c r="Q465" s="3">
        <v>133.19999999999999</v>
      </c>
      <c r="R465" s="3"/>
      <c r="S465" s="3">
        <v>143</v>
      </c>
      <c r="T465" s="3"/>
      <c r="U465" s="3">
        <v>148.80000000000001</v>
      </c>
      <c r="V465" s="3"/>
      <c r="W465" s="3">
        <v>146.9</v>
      </c>
      <c r="X465" s="3"/>
      <c r="Y465" s="3">
        <v>151.1</v>
      </c>
      <c r="Z465" s="3"/>
      <c r="AA465" s="3">
        <v>124.7</v>
      </c>
      <c r="AB465" s="3"/>
      <c r="AC465" s="3">
        <v>143.16</v>
      </c>
      <c r="AD465" s="3"/>
      <c r="AE465" s="3">
        <v>172.85</v>
      </c>
      <c r="AF465" s="3"/>
      <c r="AG465" s="3">
        <v>144.05000000000001</v>
      </c>
      <c r="AH465" s="3"/>
    </row>
    <row r="466" spans="1:34">
      <c r="A466" t="s">
        <v>1026</v>
      </c>
      <c r="B466" t="s">
        <v>1027</v>
      </c>
      <c r="C466" s="3">
        <v>221.4</v>
      </c>
      <c r="D466" s="3"/>
      <c r="E466" s="3">
        <v>138.6</v>
      </c>
      <c r="F466" s="3"/>
      <c r="G466" s="3">
        <v>155.6</v>
      </c>
      <c r="H466" s="3"/>
      <c r="I466" s="3">
        <v>173.2</v>
      </c>
      <c r="J466" s="3"/>
      <c r="K466" s="3">
        <v>186.7</v>
      </c>
      <c r="L466" s="3"/>
      <c r="M466" s="3">
        <v>191.7</v>
      </c>
      <c r="N466" s="3"/>
      <c r="O466" s="3">
        <v>160.30000000000001</v>
      </c>
      <c r="P466" s="3"/>
      <c r="Q466" s="3">
        <v>133.19999999999999</v>
      </c>
      <c r="R466" s="3"/>
      <c r="S466" s="3">
        <v>143</v>
      </c>
      <c r="T466" s="3"/>
      <c r="U466" s="3">
        <v>148.80000000000001</v>
      </c>
      <c r="V466" s="3"/>
      <c r="W466" s="3">
        <v>146.9</v>
      </c>
      <c r="X466" s="3"/>
      <c r="Y466" s="3">
        <v>151.1</v>
      </c>
      <c r="Z466" s="3"/>
      <c r="AA466" s="3">
        <v>124.7</v>
      </c>
      <c r="AB466" s="3"/>
      <c r="AC466" s="3"/>
      <c r="AD466" s="3"/>
      <c r="AE466" s="3"/>
      <c r="AF466" s="3"/>
      <c r="AG466" s="3"/>
      <c r="AH466" s="3"/>
    </row>
    <row r="467" spans="1:34">
      <c r="A467" t="s">
        <v>1028</v>
      </c>
      <c r="B467" t="s">
        <v>1029</v>
      </c>
      <c r="C467" s="3">
        <v>13</v>
      </c>
      <c r="D467" s="3"/>
      <c r="E467" s="3">
        <v>11.8</v>
      </c>
      <c r="F467" s="3"/>
      <c r="G467" s="3">
        <v>10.5</v>
      </c>
      <c r="H467" s="3"/>
      <c r="I467" s="3">
        <v>10</v>
      </c>
      <c r="J467" s="3"/>
      <c r="K467" s="3">
        <v>12.4</v>
      </c>
      <c r="L467" s="3"/>
      <c r="M467" s="3">
        <v>8.8000000000000007</v>
      </c>
      <c r="N467" s="3"/>
      <c r="O467" s="3">
        <v>8.9</v>
      </c>
      <c r="P467" s="3"/>
      <c r="Q467" s="3">
        <v>8</v>
      </c>
      <c r="R467" s="3"/>
      <c r="S467" s="3">
        <v>7.5</v>
      </c>
      <c r="T467" s="3"/>
      <c r="U467" s="3">
        <v>7.8</v>
      </c>
      <c r="V467" s="3"/>
      <c r="W467" s="3">
        <v>8.9</v>
      </c>
      <c r="X467" s="3"/>
      <c r="Y467" s="3" t="s">
        <v>43</v>
      </c>
      <c r="Z467" s="3"/>
      <c r="AA467" s="3" t="s">
        <v>43</v>
      </c>
      <c r="AB467" s="3"/>
      <c r="AC467" s="3"/>
      <c r="AD467" s="3"/>
      <c r="AE467" s="3"/>
      <c r="AF467" s="3"/>
      <c r="AG467" s="3"/>
      <c r="AH467" s="3"/>
    </row>
    <row r="468" spans="1:34">
      <c r="A468" t="s">
        <v>775</v>
      </c>
      <c r="B468" t="s">
        <v>776</v>
      </c>
      <c r="C468" s="3">
        <v>89.3</v>
      </c>
      <c r="D468" s="3"/>
      <c r="E468" s="3">
        <v>51.4</v>
      </c>
      <c r="F468" s="3"/>
      <c r="G468" s="3">
        <v>61.4</v>
      </c>
      <c r="H468" s="3"/>
      <c r="I468" s="3">
        <v>68.099999999999994</v>
      </c>
      <c r="J468" s="3"/>
      <c r="K468" s="3">
        <v>72.3</v>
      </c>
      <c r="L468" s="3"/>
      <c r="M468" s="3">
        <v>72.2</v>
      </c>
      <c r="N468" s="3"/>
      <c r="O468" s="3">
        <v>40.299999999999997</v>
      </c>
      <c r="P468" s="3"/>
      <c r="Q468" s="3">
        <v>38.799999999999997</v>
      </c>
      <c r="R468" s="3"/>
      <c r="S468" s="3">
        <v>37.799999999999997</v>
      </c>
      <c r="T468" s="3"/>
      <c r="U468" s="3">
        <v>43.6</v>
      </c>
      <c r="V468" s="3"/>
      <c r="W468" s="3">
        <v>46.6</v>
      </c>
      <c r="X468" s="3"/>
      <c r="Y468" s="3">
        <v>48.9</v>
      </c>
      <c r="Z468" s="3"/>
      <c r="AA468" s="3">
        <v>39</v>
      </c>
      <c r="AB468" s="3"/>
      <c r="AC468" s="3">
        <v>46.51</v>
      </c>
      <c r="AD468" s="3"/>
      <c r="AE468" s="3">
        <v>47.24</v>
      </c>
      <c r="AF468" s="3"/>
      <c r="AG468" s="3">
        <v>44.97</v>
      </c>
      <c r="AH468" s="3"/>
    </row>
    <row r="469" spans="1:34">
      <c r="A469" t="s">
        <v>1030</v>
      </c>
      <c r="B469" t="s">
        <v>1031</v>
      </c>
      <c r="C469" s="3">
        <v>54.4</v>
      </c>
      <c r="D469" s="3"/>
      <c r="E469" s="3">
        <v>38</v>
      </c>
      <c r="F469" s="3"/>
      <c r="G469" s="3">
        <v>42.7</v>
      </c>
      <c r="H469" s="3"/>
      <c r="I469" s="3">
        <v>51</v>
      </c>
      <c r="J469" s="3"/>
      <c r="K469" s="3">
        <v>51.3</v>
      </c>
      <c r="L469" s="3"/>
      <c r="M469" s="3">
        <v>56.5</v>
      </c>
      <c r="N469" s="3"/>
      <c r="O469" s="3">
        <v>56.2</v>
      </c>
      <c r="P469" s="3"/>
      <c r="Q469" s="3">
        <v>53.6</v>
      </c>
      <c r="R469" s="3"/>
      <c r="S469" s="3">
        <v>60.1</v>
      </c>
      <c r="T469" s="3"/>
      <c r="U469" s="3">
        <v>60.3</v>
      </c>
      <c r="V469" s="3"/>
      <c r="W469" s="3">
        <v>54.4</v>
      </c>
      <c r="X469" s="3"/>
      <c r="Y469" s="3" t="s">
        <v>43</v>
      </c>
      <c r="Z469" s="3"/>
      <c r="AA469" s="3" t="s">
        <v>43</v>
      </c>
      <c r="AB469" s="3"/>
      <c r="AC469" s="3"/>
      <c r="AD469" s="3"/>
      <c r="AE469" s="3"/>
      <c r="AF469" s="3"/>
      <c r="AG469" s="3"/>
      <c r="AH469" s="3"/>
    </row>
    <row r="470" spans="1:34">
      <c r="A470" t="s">
        <v>1032</v>
      </c>
      <c r="B470" t="s">
        <v>1033</v>
      </c>
      <c r="C470" s="3">
        <v>18.399999999999999</v>
      </c>
      <c r="D470" s="3"/>
      <c r="E470" s="3">
        <v>12.5</v>
      </c>
      <c r="F470" s="3"/>
      <c r="G470" s="3">
        <v>18.600000000000001</v>
      </c>
      <c r="H470" s="3"/>
      <c r="I470" s="3">
        <v>20.3</v>
      </c>
      <c r="J470" s="3"/>
      <c r="K470" s="3">
        <v>23.7</v>
      </c>
      <c r="L470" s="3"/>
      <c r="M470" s="3">
        <v>28.8</v>
      </c>
      <c r="N470" s="3"/>
      <c r="O470" s="3">
        <v>32.299999999999997</v>
      </c>
      <c r="P470" s="3"/>
      <c r="Q470" s="3">
        <v>9.6999999999999993</v>
      </c>
      <c r="R470" s="3"/>
      <c r="S470" s="3">
        <v>10.4</v>
      </c>
      <c r="T470" s="3"/>
      <c r="U470" s="3">
        <v>11</v>
      </c>
      <c r="V470" s="3"/>
      <c r="W470" s="3">
        <v>11.3</v>
      </c>
      <c r="X470" s="3"/>
      <c r="Y470" s="3" t="s">
        <v>43</v>
      </c>
      <c r="Z470" s="3"/>
      <c r="AA470" s="3" t="s">
        <v>43</v>
      </c>
      <c r="AB470" s="3"/>
      <c r="AC470" s="3"/>
      <c r="AD470" s="3"/>
      <c r="AE470" s="3"/>
      <c r="AF470" s="3"/>
      <c r="AG470" s="3"/>
      <c r="AH470" s="3"/>
    </row>
    <row r="471" spans="1:34">
      <c r="A471" t="s">
        <v>1034</v>
      </c>
      <c r="B471" t="s">
        <v>1035</v>
      </c>
      <c r="C471" s="3">
        <v>35.9</v>
      </c>
      <c r="D471" s="3"/>
      <c r="E471" s="3">
        <v>15.4</v>
      </c>
      <c r="F471" s="3"/>
      <c r="G471" s="3">
        <v>14.2</v>
      </c>
      <c r="H471" s="3"/>
      <c r="I471" s="3">
        <v>14.1</v>
      </c>
      <c r="J471" s="3"/>
      <c r="K471" s="3">
        <v>15.3</v>
      </c>
      <c r="L471" s="3"/>
      <c r="M471" s="3">
        <v>14.1</v>
      </c>
      <c r="N471" s="3"/>
      <c r="O471" s="3">
        <v>13.6</v>
      </c>
      <c r="P471" s="3"/>
      <c r="Q471" s="3">
        <v>14.2</v>
      </c>
      <c r="R471" s="3"/>
      <c r="S471" s="3">
        <v>16.600000000000001</v>
      </c>
      <c r="T471" s="3"/>
      <c r="U471" s="3">
        <v>16</v>
      </c>
      <c r="V471" s="3"/>
      <c r="W471" s="3">
        <v>15.9</v>
      </c>
      <c r="X471" s="3"/>
      <c r="Y471" s="3" t="s">
        <v>43</v>
      </c>
      <c r="Z471" s="3"/>
      <c r="AA471" s="3" t="s">
        <v>43</v>
      </c>
      <c r="AB471" s="3"/>
      <c r="AC471" s="3"/>
      <c r="AD471" s="3"/>
      <c r="AE471" s="3"/>
      <c r="AF471" s="3"/>
      <c r="AG471" s="3"/>
      <c r="AH471" s="3"/>
    </row>
    <row r="472" spans="1:34">
      <c r="A472" t="s">
        <v>777</v>
      </c>
      <c r="B472" t="s">
        <v>778</v>
      </c>
      <c r="C472" s="3">
        <v>8.5</v>
      </c>
      <c r="D472" s="3"/>
      <c r="E472" s="3">
        <v>8.1</v>
      </c>
      <c r="F472" s="3"/>
      <c r="G472" s="3">
        <v>6.8</v>
      </c>
      <c r="H472" s="3"/>
      <c r="I472" s="3">
        <v>7.9</v>
      </c>
      <c r="J472" s="3"/>
      <c r="K472" s="3">
        <v>9.3000000000000007</v>
      </c>
      <c r="L472" s="3"/>
      <c r="M472" s="3">
        <v>9.1999999999999993</v>
      </c>
      <c r="N472" s="3"/>
      <c r="O472" s="3">
        <v>7.1</v>
      </c>
      <c r="P472" s="3"/>
      <c r="Q472" s="3">
        <v>7.2</v>
      </c>
      <c r="R472" s="3"/>
      <c r="S472" s="3">
        <v>8.3000000000000007</v>
      </c>
      <c r="T472" s="3"/>
      <c r="U472" s="3">
        <v>7.6</v>
      </c>
      <c r="V472" s="3"/>
      <c r="W472" s="3">
        <v>7.2</v>
      </c>
      <c r="X472" s="3"/>
      <c r="Y472" s="3">
        <v>7.4</v>
      </c>
      <c r="Z472" s="3"/>
      <c r="AA472" s="3">
        <v>8.3000000000000007</v>
      </c>
      <c r="AB472" s="3"/>
      <c r="AC472" s="3">
        <v>9.76</v>
      </c>
      <c r="AD472" s="3"/>
      <c r="AE472" s="3">
        <v>9.86</v>
      </c>
      <c r="AF472" s="3"/>
      <c r="AG472" s="3">
        <v>8.9</v>
      </c>
      <c r="AH472" s="3"/>
    </row>
    <row r="473" spans="1:34">
      <c r="A473" t="s">
        <v>779</v>
      </c>
      <c r="B473" t="s">
        <v>780</v>
      </c>
      <c r="C473" s="3">
        <v>1.9</v>
      </c>
      <c r="D473" s="3"/>
      <c r="E473" s="3">
        <v>1.4</v>
      </c>
      <c r="F473" s="3"/>
      <c r="G473" s="3">
        <v>1.5</v>
      </c>
      <c r="H473" s="3"/>
      <c r="I473" s="3">
        <v>1.8</v>
      </c>
      <c r="J473" s="3"/>
      <c r="K473" s="3">
        <v>2.2999999999999998</v>
      </c>
      <c r="L473" s="3"/>
      <c r="M473" s="3">
        <v>2.1</v>
      </c>
      <c r="N473" s="3"/>
      <c r="O473" s="3">
        <v>1.9</v>
      </c>
      <c r="P473" s="3"/>
      <c r="Q473" s="3">
        <v>1.8</v>
      </c>
      <c r="R473" s="3"/>
      <c r="S473" s="3">
        <v>2.2000000000000002</v>
      </c>
      <c r="T473" s="3"/>
      <c r="U473" s="3">
        <v>2.4</v>
      </c>
      <c r="V473" s="3"/>
      <c r="W473" s="3">
        <v>2.7</v>
      </c>
      <c r="X473" s="3"/>
      <c r="Y473" s="3">
        <v>2.8</v>
      </c>
      <c r="Z473" s="3"/>
      <c r="AA473" s="3">
        <v>2.8</v>
      </c>
      <c r="AB473" s="3"/>
      <c r="AC473" s="3">
        <v>2.95</v>
      </c>
      <c r="AD473" s="3"/>
      <c r="AE473" s="3">
        <v>2.84</v>
      </c>
      <c r="AF473" s="3"/>
      <c r="AG473" s="3">
        <v>2.56</v>
      </c>
      <c r="AH473" s="3"/>
    </row>
    <row r="474" spans="1:34">
      <c r="A474" t="s">
        <v>781</v>
      </c>
      <c r="B474" t="s">
        <v>782</v>
      </c>
      <c r="C474" s="3" t="s">
        <v>43</v>
      </c>
      <c r="D474" s="3"/>
      <c r="E474" s="3" t="s">
        <v>43</v>
      </c>
      <c r="F474" s="3"/>
      <c r="G474" s="3" t="s">
        <v>43</v>
      </c>
      <c r="H474" s="3"/>
      <c r="I474" s="3" t="s">
        <v>43</v>
      </c>
      <c r="J474" s="3"/>
      <c r="K474" s="3" t="s">
        <v>43</v>
      </c>
      <c r="L474" s="3"/>
      <c r="M474" s="3" t="s">
        <v>43</v>
      </c>
      <c r="N474" s="3"/>
      <c r="O474" s="3" t="s">
        <v>43</v>
      </c>
      <c r="P474" s="3"/>
      <c r="Q474" s="3" t="s">
        <v>43</v>
      </c>
      <c r="R474" s="3"/>
      <c r="S474" s="3" t="s">
        <v>43</v>
      </c>
      <c r="T474" s="3"/>
      <c r="U474" s="3" t="s">
        <v>43</v>
      </c>
      <c r="V474" s="3"/>
      <c r="W474" s="3" t="s">
        <v>43</v>
      </c>
      <c r="X474" s="3"/>
      <c r="Y474" s="3">
        <v>51.9</v>
      </c>
      <c r="Z474" s="3"/>
      <c r="AA474" s="3">
        <v>42.5</v>
      </c>
      <c r="AB474" s="3"/>
      <c r="AC474" s="3">
        <v>40.76</v>
      </c>
      <c r="AD474" s="3"/>
      <c r="AE474" s="3">
        <v>56.39</v>
      </c>
      <c r="AF474" s="3"/>
      <c r="AG474" s="3">
        <v>52.19</v>
      </c>
      <c r="AH474" s="3"/>
    </row>
    <row r="475" spans="1:34">
      <c r="A475" t="s">
        <v>783</v>
      </c>
      <c r="B475" t="s">
        <v>784</v>
      </c>
      <c r="C475" s="3" t="s">
        <v>43</v>
      </c>
      <c r="D475" s="3"/>
      <c r="E475" s="3" t="s">
        <v>43</v>
      </c>
      <c r="F475" s="3"/>
      <c r="G475" s="3" t="s">
        <v>43</v>
      </c>
      <c r="H475" s="3"/>
      <c r="I475" s="3" t="s">
        <v>43</v>
      </c>
      <c r="J475" s="3"/>
      <c r="K475" s="3" t="s">
        <v>43</v>
      </c>
      <c r="L475" s="3"/>
      <c r="M475" s="3" t="s">
        <v>43</v>
      </c>
      <c r="N475" s="3"/>
      <c r="O475" s="3" t="s">
        <v>43</v>
      </c>
      <c r="P475" s="3"/>
      <c r="Q475" s="3" t="s">
        <v>43</v>
      </c>
      <c r="R475" s="3"/>
      <c r="S475" s="3" t="s">
        <v>43</v>
      </c>
      <c r="T475" s="3"/>
      <c r="U475" s="3" t="s">
        <v>43</v>
      </c>
      <c r="V475" s="3"/>
      <c r="W475" s="3" t="s">
        <v>43</v>
      </c>
      <c r="X475" s="3"/>
      <c r="Y475" s="3">
        <v>25.1</v>
      </c>
      <c r="Z475" s="3"/>
      <c r="AA475" s="3">
        <v>14.8</v>
      </c>
      <c r="AB475" s="3"/>
      <c r="AC475" s="3">
        <v>15.87</v>
      </c>
      <c r="AD475" s="3"/>
      <c r="AE475" s="3">
        <v>16.52</v>
      </c>
      <c r="AF475" s="3"/>
      <c r="AG475" s="3">
        <v>16.11</v>
      </c>
      <c r="AH475" s="3"/>
    </row>
    <row r="476" spans="1:34">
      <c r="A476" t="s">
        <v>785</v>
      </c>
      <c r="B476" t="s">
        <v>786</v>
      </c>
      <c r="C476" s="3" t="s">
        <v>43</v>
      </c>
      <c r="D476" s="3"/>
      <c r="E476" s="3" t="s">
        <v>43</v>
      </c>
      <c r="F476" s="3"/>
      <c r="G476" s="3" t="s">
        <v>43</v>
      </c>
      <c r="H476" s="3"/>
      <c r="I476" s="3" t="s">
        <v>43</v>
      </c>
      <c r="J476" s="3"/>
      <c r="K476" s="3" t="s">
        <v>43</v>
      </c>
      <c r="L476" s="3"/>
      <c r="M476" s="3" t="s">
        <v>43</v>
      </c>
      <c r="N476" s="3"/>
      <c r="O476" s="3" t="s">
        <v>43</v>
      </c>
      <c r="P476" s="3"/>
      <c r="Q476" s="3" t="s">
        <v>43</v>
      </c>
      <c r="R476" s="3"/>
      <c r="S476" s="3" t="s">
        <v>43</v>
      </c>
      <c r="T476" s="3"/>
      <c r="U476" s="3" t="s">
        <v>43</v>
      </c>
      <c r="V476" s="3"/>
      <c r="W476" s="3" t="s">
        <v>43</v>
      </c>
      <c r="X476" s="3"/>
      <c r="Y476" s="3">
        <v>15</v>
      </c>
      <c r="Z476" s="3"/>
      <c r="AA476" s="3">
        <v>17.399999999999999</v>
      </c>
      <c r="AB476" s="3"/>
      <c r="AC476" s="3">
        <v>27.3</v>
      </c>
      <c r="AD476" s="3"/>
      <c r="AE476" s="3">
        <v>40</v>
      </c>
      <c r="AF476" s="3"/>
      <c r="AG476" s="3">
        <v>19.309999999999999</v>
      </c>
      <c r="AH476" s="3"/>
    </row>
    <row r="477" spans="1:34">
      <c r="A477" t="s">
        <v>787</v>
      </c>
      <c r="B477" t="s">
        <v>788</v>
      </c>
      <c r="C477" s="3" t="s">
        <v>43</v>
      </c>
      <c r="D477" s="3"/>
      <c r="E477" s="3" t="s">
        <v>43</v>
      </c>
      <c r="F477" s="3"/>
      <c r="G477" s="3" t="s">
        <v>43</v>
      </c>
      <c r="H477" s="3"/>
      <c r="I477" s="3" t="s">
        <v>43</v>
      </c>
      <c r="J477" s="3"/>
      <c r="K477" s="3" t="s">
        <v>43</v>
      </c>
      <c r="L477" s="3"/>
      <c r="M477" s="3" t="s">
        <v>43</v>
      </c>
      <c r="N477" s="3"/>
      <c r="O477" s="3" t="s">
        <v>43</v>
      </c>
      <c r="P477" s="3"/>
      <c r="Q477" s="3" t="s">
        <v>43</v>
      </c>
      <c r="R477" s="3"/>
      <c r="S477" s="3" t="s">
        <v>43</v>
      </c>
      <c r="T477" s="3"/>
      <c r="U477" s="3" t="s">
        <v>43</v>
      </c>
      <c r="V477" s="3"/>
      <c r="W477" s="3" t="s">
        <v>43</v>
      </c>
      <c r="X477" s="3"/>
      <c r="Y477" s="3">
        <v>0</v>
      </c>
      <c r="Z477" s="3"/>
      <c r="AA477" s="3">
        <v>0</v>
      </c>
      <c r="AB477" s="3"/>
      <c r="AC477" s="3" t="s">
        <v>43</v>
      </c>
      <c r="AD477" s="3"/>
      <c r="AE477" s="3" t="s">
        <v>43</v>
      </c>
      <c r="AF477" s="3"/>
      <c r="AG477" s="3" t="s">
        <v>43</v>
      </c>
      <c r="AH477" s="3"/>
    </row>
    <row r="478" spans="1:34">
      <c r="A478" t="s">
        <v>1036</v>
      </c>
      <c r="B478" t="s">
        <v>1037</v>
      </c>
      <c r="C478" s="3">
        <v>6001.5</v>
      </c>
      <c r="D478" s="3"/>
      <c r="E478" s="3">
        <v>4597.8</v>
      </c>
      <c r="F478" s="3"/>
      <c r="G478" s="3">
        <v>4634.3999999999996</v>
      </c>
      <c r="H478" s="3"/>
      <c r="I478" s="3">
        <v>4536.1000000000004</v>
      </c>
      <c r="J478" s="3"/>
      <c r="K478" s="3">
        <v>5420.5</v>
      </c>
      <c r="L478" s="3"/>
      <c r="M478" s="3">
        <v>5374.8</v>
      </c>
      <c r="N478" s="3"/>
      <c r="O478" s="3">
        <v>6221.1</v>
      </c>
      <c r="P478" s="3"/>
      <c r="Q478" s="3">
        <v>7512.6</v>
      </c>
      <c r="R478" s="3"/>
      <c r="S478" s="3">
        <v>6799.2</v>
      </c>
      <c r="T478" s="3" t="s">
        <v>334</v>
      </c>
      <c r="U478" s="3">
        <v>6699.6</v>
      </c>
      <c r="V478" s="3"/>
      <c r="W478" s="3">
        <v>6751.8</v>
      </c>
      <c r="X478" s="3"/>
      <c r="Y478" s="3" t="s">
        <v>43</v>
      </c>
      <c r="Z478" s="3"/>
      <c r="AA478" s="3" t="s">
        <v>43</v>
      </c>
      <c r="AB478" s="3"/>
      <c r="AC478" s="3"/>
      <c r="AD478" s="3"/>
      <c r="AE478" s="3"/>
      <c r="AF478" s="3"/>
      <c r="AG478" s="3"/>
      <c r="AH478" s="3"/>
    </row>
    <row r="479" spans="1:34">
      <c r="A479" t="s">
        <v>1038</v>
      </c>
      <c r="B479" t="s">
        <v>1039</v>
      </c>
      <c r="C479" s="3">
        <v>484.1</v>
      </c>
      <c r="D479" s="3"/>
      <c r="E479" s="3">
        <v>338.1</v>
      </c>
      <c r="F479" s="3"/>
      <c r="G479" s="3">
        <v>395.9</v>
      </c>
      <c r="H479" s="3"/>
      <c r="I479" s="3">
        <v>403.5</v>
      </c>
      <c r="J479" s="3"/>
      <c r="K479" s="3">
        <v>469.6</v>
      </c>
      <c r="L479" s="3"/>
      <c r="M479" s="3">
        <v>492.5</v>
      </c>
      <c r="N479" s="3"/>
      <c r="O479" s="3">
        <v>524.1</v>
      </c>
      <c r="P479" s="3"/>
      <c r="Q479" s="3">
        <v>599.6</v>
      </c>
      <c r="R479" s="3"/>
      <c r="S479" s="3">
        <v>611.4</v>
      </c>
      <c r="T479" s="3" t="s">
        <v>334</v>
      </c>
      <c r="U479" s="3">
        <v>579.5</v>
      </c>
      <c r="V479" s="3"/>
      <c r="W479" s="3">
        <v>647.4</v>
      </c>
      <c r="X479" s="3"/>
      <c r="Y479" s="3" t="s">
        <v>43</v>
      </c>
      <c r="Z479" s="3"/>
      <c r="AA479" s="3" t="s">
        <v>43</v>
      </c>
      <c r="AB479" s="3"/>
      <c r="AC479" s="3"/>
      <c r="AD479" s="3"/>
      <c r="AE479" s="3"/>
      <c r="AF479" s="3"/>
      <c r="AG479" s="3"/>
      <c r="AH479" s="3"/>
    </row>
    <row r="480" spans="1:34">
      <c r="A480" t="s">
        <v>1040</v>
      </c>
      <c r="B480" t="s">
        <v>1041</v>
      </c>
      <c r="C480" s="3">
        <v>129.4</v>
      </c>
      <c r="D480" s="3"/>
      <c r="E480" s="3">
        <v>62.8</v>
      </c>
      <c r="F480" s="3"/>
      <c r="G480" s="3" t="s">
        <v>43</v>
      </c>
      <c r="H480" s="3" t="s">
        <v>44</v>
      </c>
      <c r="I480" s="3">
        <v>68.5</v>
      </c>
      <c r="J480" s="3"/>
      <c r="K480" s="3">
        <v>75.099999999999994</v>
      </c>
      <c r="L480" s="3"/>
      <c r="M480" s="3">
        <v>43.6</v>
      </c>
      <c r="N480" s="3"/>
      <c r="O480" s="3">
        <v>41.3</v>
      </c>
      <c r="P480" s="3"/>
      <c r="Q480" s="3" t="s">
        <v>43</v>
      </c>
      <c r="R480" s="3" t="s">
        <v>44</v>
      </c>
      <c r="S480" s="3" t="s">
        <v>43</v>
      </c>
      <c r="T480" s="3" t="s">
        <v>403</v>
      </c>
      <c r="U480" s="3" t="s">
        <v>43</v>
      </c>
      <c r="V480" s="3" t="s">
        <v>44</v>
      </c>
      <c r="W480" s="3">
        <v>118.7</v>
      </c>
      <c r="X480" s="3"/>
      <c r="Y480" s="3" t="s">
        <v>43</v>
      </c>
      <c r="Z480" s="3"/>
      <c r="AA480" s="3" t="s">
        <v>43</v>
      </c>
      <c r="AB480" s="3"/>
      <c r="AC480" s="3"/>
      <c r="AD480" s="3"/>
      <c r="AE480" s="3"/>
      <c r="AF480" s="3"/>
      <c r="AG480" s="3"/>
      <c r="AH480" s="3"/>
    </row>
    <row r="481" spans="1:34">
      <c r="A481" t="s">
        <v>1042</v>
      </c>
      <c r="B481" t="s">
        <v>1043</v>
      </c>
      <c r="C481" s="3">
        <v>354.7</v>
      </c>
      <c r="D481" s="3"/>
      <c r="E481" s="3">
        <v>275.3</v>
      </c>
      <c r="F481" s="3"/>
      <c r="G481" s="3" t="s">
        <v>43</v>
      </c>
      <c r="H481" s="3" t="s">
        <v>44</v>
      </c>
      <c r="I481" s="3">
        <v>335</v>
      </c>
      <c r="J481" s="3"/>
      <c r="K481" s="3">
        <v>394.5</v>
      </c>
      <c r="L481" s="3"/>
      <c r="M481" s="3">
        <v>449</v>
      </c>
      <c r="N481" s="3"/>
      <c r="O481" s="3">
        <v>482.8</v>
      </c>
      <c r="P481" s="3"/>
      <c r="Q481" s="3" t="s">
        <v>43</v>
      </c>
      <c r="R481" s="3" t="s">
        <v>44</v>
      </c>
      <c r="S481" s="3" t="s">
        <v>43</v>
      </c>
      <c r="T481" s="3" t="s">
        <v>403</v>
      </c>
      <c r="U481" s="3" t="s">
        <v>43</v>
      </c>
      <c r="V481" s="3" t="s">
        <v>44</v>
      </c>
      <c r="W481" s="3">
        <v>528.70000000000005</v>
      </c>
      <c r="X481" s="3"/>
      <c r="Y481" s="3" t="s">
        <v>43</v>
      </c>
      <c r="Z481" s="3"/>
      <c r="AA481" s="3" t="s">
        <v>43</v>
      </c>
      <c r="AB481" s="3"/>
      <c r="AC481" s="3"/>
      <c r="AD481" s="3"/>
      <c r="AE481" s="3"/>
      <c r="AF481" s="3"/>
      <c r="AG481" s="3"/>
      <c r="AH481" s="3"/>
    </row>
    <row r="482" spans="1:34">
      <c r="A482" t="s">
        <v>1044</v>
      </c>
      <c r="B482" t="s">
        <v>1045</v>
      </c>
      <c r="C482" s="3" t="s">
        <v>43</v>
      </c>
      <c r="D482" s="3" t="s">
        <v>44</v>
      </c>
      <c r="E482" s="3">
        <v>535.20000000000005</v>
      </c>
      <c r="F482" s="3"/>
      <c r="G482" s="3">
        <v>559.1</v>
      </c>
      <c r="H482" s="3"/>
      <c r="I482" s="3">
        <v>585.6</v>
      </c>
      <c r="J482" s="3"/>
      <c r="K482" s="3">
        <v>718.7</v>
      </c>
      <c r="L482" s="3"/>
      <c r="M482" s="3">
        <v>709.2</v>
      </c>
      <c r="N482" s="3"/>
      <c r="O482" s="3">
        <v>846.5</v>
      </c>
      <c r="P482" s="3"/>
      <c r="Q482" s="3">
        <v>1051.8</v>
      </c>
      <c r="R482" s="3"/>
      <c r="S482" s="3">
        <v>903.8</v>
      </c>
      <c r="T482" s="3" t="s">
        <v>334</v>
      </c>
      <c r="U482" s="3">
        <v>894</v>
      </c>
      <c r="V482" s="3"/>
      <c r="W482" s="3">
        <v>906.7</v>
      </c>
      <c r="X482" s="3"/>
      <c r="Y482" s="3" t="s">
        <v>43</v>
      </c>
      <c r="Z482" s="3"/>
      <c r="AA482" s="3" t="s">
        <v>43</v>
      </c>
      <c r="AB482" s="3"/>
      <c r="AC482" s="3"/>
      <c r="AD482" s="3"/>
      <c r="AE482" s="3"/>
      <c r="AF482" s="3"/>
      <c r="AG482" s="3"/>
      <c r="AH482" s="3"/>
    </row>
    <row r="483" spans="1:34">
      <c r="A483" t="s">
        <v>1046</v>
      </c>
      <c r="B483" t="s">
        <v>1047</v>
      </c>
      <c r="C483" s="3" t="s">
        <v>43</v>
      </c>
      <c r="D483" s="3" t="s">
        <v>44</v>
      </c>
      <c r="E483" s="3">
        <v>7</v>
      </c>
      <c r="F483" s="3"/>
      <c r="G483" s="3" t="s">
        <v>43</v>
      </c>
      <c r="H483" s="3" t="s">
        <v>44</v>
      </c>
      <c r="I483" s="3">
        <v>2.5</v>
      </c>
      <c r="J483" s="3"/>
      <c r="K483" s="3">
        <v>3</v>
      </c>
      <c r="L483" s="3"/>
      <c r="M483" s="3" t="s">
        <v>43</v>
      </c>
      <c r="N483" s="3" t="s">
        <v>44</v>
      </c>
      <c r="O483" s="3">
        <v>4</v>
      </c>
      <c r="P483" s="3"/>
      <c r="Q483" s="3" t="s">
        <v>43</v>
      </c>
      <c r="R483" s="3" t="s">
        <v>44</v>
      </c>
      <c r="S483" s="3" t="s">
        <v>43</v>
      </c>
      <c r="T483" s="3" t="s">
        <v>403</v>
      </c>
      <c r="U483" s="3" t="s">
        <v>43</v>
      </c>
      <c r="V483" s="3" t="s">
        <v>44</v>
      </c>
      <c r="W483" s="3">
        <v>3.1</v>
      </c>
      <c r="X483" s="3"/>
      <c r="Y483" s="3" t="s">
        <v>43</v>
      </c>
      <c r="Z483" s="3"/>
      <c r="AA483" s="3" t="s">
        <v>43</v>
      </c>
      <c r="AB483" s="3"/>
      <c r="AC483" s="3"/>
      <c r="AD483" s="3"/>
      <c r="AE483" s="3"/>
      <c r="AF483" s="3"/>
      <c r="AG483" s="3"/>
      <c r="AH483" s="3"/>
    </row>
    <row r="484" spans="1:34">
      <c r="A484" t="s">
        <v>1048</v>
      </c>
      <c r="B484" t="s">
        <v>1049</v>
      </c>
      <c r="C484" s="3" t="s">
        <v>43</v>
      </c>
      <c r="D484" s="3" t="s">
        <v>44</v>
      </c>
      <c r="E484" s="3">
        <v>231.6</v>
      </c>
      <c r="F484" s="3"/>
      <c r="G484" s="3" t="s">
        <v>43</v>
      </c>
      <c r="H484" s="3" t="s">
        <v>44</v>
      </c>
      <c r="I484" s="3" t="s">
        <v>43</v>
      </c>
      <c r="J484" s="3"/>
      <c r="K484" s="3" t="s">
        <v>43</v>
      </c>
      <c r="L484" s="3"/>
      <c r="M484" s="3" t="s">
        <v>43</v>
      </c>
      <c r="N484" s="3"/>
      <c r="O484" s="3" t="s">
        <v>43</v>
      </c>
      <c r="P484" s="3"/>
      <c r="Q484" s="3" t="s">
        <v>43</v>
      </c>
      <c r="R484" s="3"/>
      <c r="S484" s="3" t="s">
        <v>43</v>
      </c>
      <c r="T484" s="3"/>
      <c r="U484" s="3" t="s">
        <v>43</v>
      </c>
      <c r="V484" s="3"/>
      <c r="W484" s="3" t="s">
        <v>43</v>
      </c>
      <c r="X484" s="3"/>
      <c r="Y484" s="3" t="s">
        <v>43</v>
      </c>
      <c r="Z484" s="3"/>
      <c r="AA484" s="3" t="s">
        <v>43</v>
      </c>
      <c r="AB484" s="3"/>
      <c r="AC484" s="3"/>
      <c r="AD484" s="3"/>
      <c r="AE484" s="3"/>
      <c r="AF484" s="3"/>
      <c r="AG484" s="3"/>
      <c r="AH484" s="3"/>
    </row>
    <row r="485" spans="1:34">
      <c r="A485" t="s">
        <v>1050</v>
      </c>
      <c r="B485" t="s">
        <v>1051</v>
      </c>
      <c r="C485" s="3">
        <v>55.5</v>
      </c>
      <c r="D485" s="3"/>
      <c r="E485" s="3">
        <v>48.5</v>
      </c>
      <c r="F485" s="3"/>
      <c r="G485" s="3">
        <v>49.8</v>
      </c>
      <c r="H485" s="3"/>
      <c r="I485" s="3" t="s">
        <v>43</v>
      </c>
      <c r="J485" s="3" t="s">
        <v>44</v>
      </c>
      <c r="K485" s="3">
        <v>60.3</v>
      </c>
      <c r="L485" s="3"/>
      <c r="M485" s="3">
        <v>61</v>
      </c>
      <c r="N485" s="3"/>
      <c r="O485" s="3">
        <v>78.3</v>
      </c>
      <c r="P485" s="3"/>
      <c r="Q485" s="3" t="s">
        <v>43</v>
      </c>
      <c r="R485" s="3" t="s">
        <v>44</v>
      </c>
      <c r="S485" s="3" t="s">
        <v>43</v>
      </c>
      <c r="T485" s="3" t="s">
        <v>403</v>
      </c>
      <c r="U485" s="3" t="s">
        <v>43</v>
      </c>
      <c r="V485" s="3" t="s">
        <v>44</v>
      </c>
      <c r="W485" s="3">
        <v>77.099999999999994</v>
      </c>
      <c r="X485" s="3"/>
      <c r="Y485" s="3" t="s">
        <v>43</v>
      </c>
      <c r="Z485" s="3"/>
      <c r="AA485" s="3" t="s">
        <v>43</v>
      </c>
      <c r="AB485" s="3"/>
      <c r="AC485" s="3"/>
      <c r="AD485" s="3"/>
      <c r="AE485" s="3"/>
      <c r="AF485" s="3"/>
      <c r="AG485" s="3"/>
      <c r="AH485" s="3"/>
    </row>
    <row r="486" spans="1:34">
      <c r="A486" t="s">
        <v>1052</v>
      </c>
      <c r="B486" t="s">
        <v>1053</v>
      </c>
      <c r="C486" s="3" t="s">
        <v>43</v>
      </c>
      <c r="D486" s="3" t="s">
        <v>44</v>
      </c>
      <c r="E486" s="3">
        <v>102.5</v>
      </c>
      <c r="F486" s="3"/>
      <c r="G486" s="3">
        <v>91.8</v>
      </c>
      <c r="H486" s="3"/>
      <c r="I486" s="3">
        <v>86.5</v>
      </c>
      <c r="J486" s="3"/>
      <c r="K486" s="3" t="s">
        <v>43</v>
      </c>
      <c r="L486" s="3" t="s">
        <v>44</v>
      </c>
      <c r="M486" s="3">
        <v>97.6</v>
      </c>
      <c r="N486" s="3"/>
      <c r="O486" s="3">
        <v>107.1</v>
      </c>
      <c r="P486" s="3"/>
      <c r="Q486" s="3">
        <v>121.7</v>
      </c>
      <c r="R486" s="3"/>
      <c r="S486" s="3">
        <v>113.7</v>
      </c>
      <c r="T486" s="3" t="s">
        <v>334</v>
      </c>
      <c r="U486" s="3">
        <v>107.8</v>
      </c>
      <c r="V486" s="3"/>
      <c r="W486" s="3">
        <v>105.4</v>
      </c>
      <c r="X486" s="3"/>
      <c r="Y486" s="3" t="s">
        <v>43</v>
      </c>
      <c r="Z486" s="3"/>
      <c r="AA486" s="3" t="s">
        <v>43</v>
      </c>
      <c r="AB486" s="3"/>
      <c r="AC486" s="3"/>
      <c r="AD486" s="3"/>
      <c r="AE486" s="3"/>
      <c r="AF486" s="3"/>
      <c r="AG486" s="3"/>
      <c r="AH486" s="3"/>
    </row>
    <row r="487" spans="1:34">
      <c r="A487" t="s">
        <v>1054</v>
      </c>
      <c r="B487" t="s">
        <v>1055</v>
      </c>
      <c r="C487" s="3">
        <v>146.9</v>
      </c>
      <c r="D487" s="3"/>
      <c r="E487" s="3">
        <v>145.5</v>
      </c>
      <c r="F487" s="3"/>
      <c r="G487" s="3">
        <v>143.4</v>
      </c>
      <c r="H487" s="3"/>
      <c r="I487" s="3" t="s">
        <v>43</v>
      </c>
      <c r="J487" s="3"/>
      <c r="K487" s="3" t="s">
        <v>43</v>
      </c>
      <c r="L487" s="3"/>
      <c r="M487" s="3" t="s">
        <v>43</v>
      </c>
      <c r="N487" s="3"/>
      <c r="O487" s="3" t="s">
        <v>43</v>
      </c>
      <c r="P487" s="3"/>
      <c r="Q487" s="3" t="s">
        <v>43</v>
      </c>
      <c r="R487" s="3"/>
      <c r="S487" s="3" t="s">
        <v>43</v>
      </c>
      <c r="T487" s="3"/>
      <c r="U487" s="3" t="s">
        <v>43</v>
      </c>
      <c r="V487" s="3"/>
      <c r="W487" s="3" t="s">
        <v>43</v>
      </c>
      <c r="X487" s="3"/>
      <c r="Y487" s="3" t="s">
        <v>43</v>
      </c>
      <c r="Z487" s="3"/>
      <c r="AA487" s="3" t="s">
        <v>43</v>
      </c>
      <c r="AB487" s="3"/>
      <c r="AC487" s="3"/>
      <c r="AD487" s="3"/>
      <c r="AE487" s="3"/>
      <c r="AF487" s="3"/>
      <c r="AG487" s="3"/>
      <c r="AH487" s="3"/>
    </row>
    <row r="488" spans="1:34">
      <c r="A488" t="s">
        <v>1056</v>
      </c>
      <c r="B488" t="s">
        <v>1057</v>
      </c>
      <c r="C488" s="3" t="s">
        <v>43</v>
      </c>
      <c r="D488" s="3"/>
      <c r="E488" s="3" t="s">
        <v>43</v>
      </c>
      <c r="F488" s="3"/>
      <c r="G488" s="3" t="s">
        <v>43</v>
      </c>
      <c r="H488" s="3"/>
      <c r="I488" s="3" t="s">
        <v>43</v>
      </c>
      <c r="J488" s="3" t="s">
        <v>44</v>
      </c>
      <c r="K488" s="3" t="s">
        <v>43</v>
      </c>
      <c r="L488" s="3" t="s">
        <v>44</v>
      </c>
      <c r="M488" s="3" t="s">
        <v>43</v>
      </c>
      <c r="N488" s="3" t="s">
        <v>44</v>
      </c>
      <c r="O488" s="3">
        <v>318</v>
      </c>
      <c r="P488" s="3"/>
      <c r="Q488" s="3" t="s">
        <v>43</v>
      </c>
      <c r="R488" s="3" t="s">
        <v>44</v>
      </c>
      <c r="S488" s="3">
        <v>345.6</v>
      </c>
      <c r="T488" s="3" t="s">
        <v>334</v>
      </c>
      <c r="U488" s="3">
        <v>346.8</v>
      </c>
      <c r="V488" s="3"/>
      <c r="W488" s="3">
        <v>369.2</v>
      </c>
      <c r="X488" s="3"/>
      <c r="Y488" s="3" t="s">
        <v>43</v>
      </c>
      <c r="Z488" s="3"/>
      <c r="AA488" s="3" t="s">
        <v>43</v>
      </c>
      <c r="AB488" s="3"/>
      <c r="AC488" s="3"/>
      <c r="AD488" s="3"/>
      <c r="AE488" s="3"/>
      <c r="AF488" s="3"/>
      <c r="AG488" s="3"/>
      <c r="AH488" s="3"/>
    </row>
    <row r="489" spans="1:34">
      <c r="A489" t="s">
        <v>1058</v>
      </c>
      <c r="B489" t="s">
        <v>1059</v>
      </c>
      <c r="C489" s="3" t="s">
        <v>43</v>
      </c>
      <c r="D489" s="3"/>
      <c r="E489" s="3" t="s">
        <v>43</v>
      </c>
      <c r="F489" s="3"/>
      <c r="G489" s="3" t="s">
        <v>43</v>
      </c>
      <c r="H489" s="3"/>
      <c r="I489" s="3">
        <v>166.1</v>
      </c>
      <c r="J489" s="3"/>
      <c r="K489" s="3">
        <v>214.5</v>
      </c>
      <c r="L489" s="3"/>
      <c r="M489" s="3">
        <v>249.9</v>
      </c>
      <c r="N489" s="3"/>
      <c r="O489" s="3">
        <v>339</v>
      </c>
      <c r="P489" s="3"/>
      <c r="Q489" s="3" t="s">
        <v>43</v>
      </c>
      <c r="R489" s="3" t="s">
        <v>44</v>
      </c>
      <c r="S489" s="3">
        <v>360.2</v>
      </c>
      <c r="T489" s="3" t="s">
        <v>334</v>
      </c>
      <c r="U489" s="3">
        <v>363.6</v>
      </c>
      <c r="V489" s="3"/>
      <c r="W489" s="3">
        <v>351.9</v>
      </c>
      <c r="X489" s="3"/>
      <c r="Y489" s="3" t="s">
        <v>43</v>
      </c>
      <c r="Z489" s="3"/>
      <c r="AA489" s="3" t="s">
        <v>43</v>
      </c>
      <c r="AB489" s="3"/>
      <c r="AC489" s="3"/>
      <c r="AD489" s="3"/>
      <c r="AE489" s="3"/>
      <c r="AF489" s="3"/>
      <c r="AG489" s="3"/>
      <c r="AH489" s="3"/>
    </row>
    <row r="490" spans="1:34">
      <c r="A490" t="s">
        <v>1060</v>
      </c>
      <c r="B490" t="s">
        <v>1061</v>
      </c>
      <c r="C490" s="3">
        <v>408.5</v>
      </c>
      <c r="D490" s="3"/>
      <c r="E490" s="3">
        <v>259.60000000000002</v>
      </c>
      <c r="F490" s="3"/>
      <c r="G490" s="3">
        <v>252.1</v>
      </c>
      <c r="H490" s="3"/>
      <c r="I490" s="3">
        <v>248.5</v>
      </c>
      <c r="J490" s="3"/>
      <c r="K490" s="3">
        <v>278.7</v>
      </c>
      <c r="L490" s="3"/>
      <c r="M490" s="3">
        <v>298.3</v>
      </c>
      <c r="N490" s="3"/>
      <c r="O490" s="3">
        <v>276.39999999999998</v>
      </c>
      <c r="P490" s="3"/>
      <c r="Q490" s="3">
        <v>339.1</v>
      </c>
      <c r="R490" s="3"/>
      <c r="S490" s="3">
        <v>326.7</v>
      </c>
      <c r="T490" s="3" t="s">
        <v>334</v>
      </c>
      <c r="U490" s="3">
        <v>281.5</v>
      </c>
      <c r="V490" s="3"/>
      <c r="W490" s="3">
        <v>295.60000000000002</v>
      </c>
      <c r="X490" s="3"/>
      <c r="Y490" s="3" t="s">
        <v>43</v>
      </c>
      <c r="Z490" s="3"/>
      <c r="AA490" s="3" t="s">
        <v>43</v>
      </c>
      <c r="AB490" s="3"/>
      <c r="AC490" s="3"/>
      <c r="AD490" s="3"/>
      <c r="AE490" s="3"/>
      <c r="AF490" s="3"/>
      <c r="AG490" s="3"/>
      <c r="AH490" s="3"/>
    </row>
    <row r="491" spans="1:34">
      <c r="A491" t="s">
        <v>1062</v>
      </c>
      <c r="B491" t="s">
        <v>1063</v>
      </c>
      <c r="C491" s="3">
        <v>163.1</v>
      </c>
      <c r="D491" s="3"/>
      <c r="E491" s="3">
        <v>89.6</v>
      </c>
      <c r="F491" s="3"/>
      <c r="G491" s="3" t="s">
        <v>43</v>
      </c>
      <c r="H491" s="3" t="s">
        <v>44</v>
      </c>
      <c r="I491" s="3">
        <v>92.5</v>
      </c>
      <c r="J491" s="3"/>
      <c r="K491" s="3">
        <v>94.1</v>
      </c>
      <c r="L491" s="3"/>
      <c r="M491" s="3" t="s">
        <v>43</v>
      </c>
      <c r="N491" s="3" t="s">
        <v>44</v>
      </c>
      <c r="O491" s="3">
        <v>95.1</v>
      </c>
      <c r="P491" s="3"/>
      <c r="Q491" s="3">
        <v>81.900000000000006</v>
      </c>
      <c r="R491" s="3"/>
      <c r="S491" s="3" t="s">
        <v>43</v>
      </c>
      <c r="T491" s="3" t="s">
        <v>403</v>
      </c>
      <c r="U491" s="3" t="s">
        <v>43</v>
      </c>
      <c r="V491" s="3" t="s">
        <v>44</v>
      </c>
      <c r="W491" s="3">
        <v>89.7</v>
      </c>
      <c r="X491" s="3"/>
      <c r="Y491" s="3" t="s">
        <v>43</v>
      </c>
      <c r="Z491" s="3"/>
      <c r="AA491" s="3" t="s">
        <v>43</v>
      </c>
      <c r="AB491" s="3"/>
      <c r="AC491" s="3"/>
      <c r="AD491" s="3"/>
      <c r="AE491" s="3"/>
      <c r="AF491" s="3"/>
      <c r="AG491" s="3"/>
      <c r="AH491" s="3"/>
    </row>
    <row r="492" spans="1:34">
      <c r="A492" t="s">
        <v>1064</v>
      </c>
      <c r="B492" t="s">
        <v>1065</v>
      </c>
      <c r="C492" s="3">
        <v>30.9</v>
      </c>
      <c r="D492" s="3"/>
      <c r="E492" s="3">
        <v>24.4</v>
      </c>
      <c r="F492" s="3"/>
      <c r="G492" s="3" t="s">
        <v>43</v>
      </c>
      <c r="H492" s="3" t="s">
        <v>44</v>
      </c>
      <c r="I492" s="3">
        <v>21</v>
      </c>
      <c r="J492" s="3"/>
      <c r="K492" s="3">
        <v>31.4</v>
      </c>
      <c r="L492" s="3"/>
      <c r="M492" s="3" t="s">
        <v>43</v>
      </c>
      <c r="N492" s="3" t="s">
        <v>44</v>
      </c>
      <c r="O492" s="3">
        <v>40.200000000000003</v>
      </c>
      <c r="P492" s="3"/>
      <c r="Q492" s="3">
        <v>74.8</v>
      </c>
      <c r="R492" s="3"/>
      <c r="S492" s="3" t="s">
        <v>43</v>
      </c>
      <c r="T492" s="3" t="s">
        <v>403</v>
      </c>
      <c r="U492" s="3" t="s">
        <v>43</v>
      </c>
      <c r="V492" s="3" t="s">
        <v>44</v>
      </c>
      <c r="W492" s="3">
        <v>49.6</v>
      </c>
      <c r="X492" s="3"/>
      <c r="Y492" s="3" t="s">
        <v>43</v>
      </c>
      <c r="Z492" s="3"/>
      <c r="AA492" s="3" t="s">
        <v>43</v>
      </c>
      <c r="AB492" s="3"/>
      <c r="AC492" s="3"/>
      <c r="AD492" s="3"/>
      <c r="AE492" s="3"/>
      <c r="AF492" s="3"/>
      <c r="AG492" s="3"/>
      <c r="AH492" s="3"/>
    </row>
    <row r="493" spans="1:34">
      <c r="A493" t="s">
        <v>1066</v>
      </c>
      <c r="B493" t="s">
        <v>1067</v>
      </c>
      <c r="C493" s="3">
        <v>89.7</v>
      </c>
      <c r="D493" s="3"/>
      <c r="E493" s="3">
        <v>59.6</v>
      </c>
      <c r="F493" s="3"/>
      <c r="G493" s="3">
        <v>59.3</v>
      </c>
      <c r="H493" s="3"/>
      <c r="I493" s="3">
        <v>55.9</v>
      </c>
      <c r="J493" s="3"/>
      <c r="K493" s="3">
        <v>65.5</v>
      </c>
      <c r="L493" s="3"/>
      <c r="M493" s="3">
        <v>67.3</v>
      </c>
      <c r="N493" s="3"/>
      <c r="O493" s="3">
        <v>62.8</v>
      </c>
      <c r="P493" s="3"/>
      <c r="Q493" s="3">
        <v>96.3</v>
      </c>
      <c r="R493" s="3"/>
      <c r="S493" s="3">
        <v>87.5</v>
      </c>
      <c r="T493" s="3" t="s">
        <v>334</v>
      </c>
      <c r="U493" s="3">
        <v>80.400000000000006</v>
      </c>
      <c r="V493" s="3"/>
      <c r="W493" s="3">
        <v>81.3</v>
      </c>
      <c r="X493" s="3"/>
      <c r="Y493" s="3" t="s">
        <v>43</v>
      </c>
      <c r="Z493" s="3"/>
      <c r="AA493" s="3" t="s">
        <v>43</v>
      </c>
      <c r="AB493" s="3"/>
      <c r="AC493" s="3"/>
      <c r="AD493" s="3"/>
      <c r="AE493" s="3"/>
      <c r="AF493" s="3"/>
      <c r="AG493" s="3"/>
      <c r="AH493" s="3"/>
    </row>
    <row r="494" spans="1:34">
      <c r="A494" t="s">
        <v>1068</v>
      </c>
      <c r="B494" t="s">
        <v>1069</v>
      </c>
      <c r="C494" s="3">
        <v>124.8</v>
      </c>
      <c r="D494" s="3"/>
      <c r="E494" s="3">
        <v>86</v>
      </c>
      <c r="F494" s="3"/>
      <c r="G494" s="3">
        <v>76.900000000000006</v>
      </c>
      <c r="H494" s="3"/>
      <c r="I494" s="3">
        <v>79.099999999999994</v>
      </c>
      <c r="J494" s="3"/>
      <c r="K494" s="3">
        <v>87.7</v>
      </c>
      <c r="L494" s="3"/>
      <c r="M494" s="3">
        <v>88.8</v>
      </c>
      <c r="N494" s="3"/>
      <c r="O494" s="3">
        <v>78.3</v>
      </c>
      <c r="P494" s="3"/>
      <c r="Q494" s="3">
        <v>86.2</v>
      </c>
      <c r="R494" s="3"/>
      <c r="S494" s="3">
        <v>86.9</v>
      </c>
      <c r="T494" s="3" t="s">
        <v>334</v>
      </c>
      <c r="U494" s="3">
        <v>72.400000000000006</v>
      </c>
      <c r="V494" s="3"/>
      <c r="W494" s="3">
        <v>75</v>
      </c>
      <c r="X494" s="3"/>
      <c r="Y494" s="3" t="s">
        <v>43</v>
      </c>
      <c r="Z494" s="3"/>
      <c r="AA494" s="3" t="s">
        <v>43</v>
      </c>
      <c r="AB494" s="3"/>
      <c r="AC494" s="3"/>
      <c r="AD494" s="3"/>
      <c r="AE494" s="3"/>
      <c r="AF494" s="3"/>
      <c r="AG494" s="3"/>
      <c r="AH494" s="3"/>
    </row>
    <row r="495" spans="1:34">
      <c r="A495" t="s">
        <v>1070</v>
      </c>
      <c r="B495" t="s">
        <v>1071</v>
      </c>
      <c r="C495" s="3">
        <v>485.8</v>
      </c>
      <c r="D495" s="3"/>
      <c r="E495" s="3">
        <v>310.60000000000002</v>
      </c>
      <c r="F495" s="3"/>
      <c r="G495" s="3">
        <v>323.39999999999998</v>
      </c>
      <c r="H495" s="3"/>
      <c r="I495" s="3">
        <v>302.7</v>
      </c>
      <c r="J495" s="3"/>
      <c r="K495" s="3">
        <v>328.1</v>
      </c>
      <c r="L495" s="3"/>
      <c r="M495" s="3">
        <v>335.5</v>
      </c>
      <c r="N495" s="3"/>
      <c r="O495" s="3">
        <v>340.5</v>
      </c>
      <c r="P495" s="3"/>
      <c r="Q495" s="3">
        <v>378.2</v>
      </c>
      <c r="R495" s="3"/>
      <c r="S495" s="3">
        <v>371.2</v>
      </c>
      <c r="T495" s="3" t="s">
        <v>334</v>
      </c>
      <c r="U495" s="3">
        <v>323.89999999999998</v>
      </c>
      <c r="V495" s="3"/>
      <c r="W495" s="3">
        <v>313.8</v>
      </c>
      <c r="X495" s="3"/>
      <c r="Y495" s="3" t="s">
        <v>43</v>
      </c>
      <c r="Z495" s="3"/>
      <c r="AA495" s="3" t="s">
        <v>43</v>
      </c>
      <c r="AB495" s="3"/>
      <c r="AC495" s="3"/>
      <c r="AD495" s="3"/>
      <c r="AE495" s="3"/>
      <c r="AF495" s="3"/>
      <c r="AG495" s="3"/>
      <c r="AH495" s="3"/>
    </row>
    <row r="496" spans="1:34">
      <c r="A496" t="s">
        <v>1072</v>
      </c>
      <c r="B496" t="s">
        <v>1073</v>
      </c>
      <c r="C496" s="3">
        <v>260.3</v>
      </c>
      <c r="D496" s="3"/>
      <c r="E496" s="3">
        <v>166.9</v>
      </c>
      <c r="F496" s="3"/>
      <c r="G496" s="3">
        <v>175.8</v>
      </c>
      <c r="H496" s="3"/>
      <c r="I496" s="3">
        <v>158.5</v>
      </c>
      <c r="J496" s="3"/>
      <c r="K496" s="3">
        <v>179.4</v>
      </c>
      <c r="L496" s="3"/>
      <c r="M496" s="3" t="s">
        <v>43</v>
      </c>
      <c r="N496" s="3" t="s">
        <v>44</v>
      </c>
      <c r="O496" s="3">
        <v>172.6</v>
      </c>
      <c r="P496" s="3"/>
      <c r="Q496" s="3">
        <v>196.5</v>
      </c>
      <c r="R496" s="3"/>
      <c r="S496" s="3" t="s">
        <v>43</v>
      </c>
      <c r="T496" s="3" t="s">
        <v>403</v>
      </c>
      <c r="U496" s="3" t="s">
        <v>43</v>
      </c>
      <c r="V496" s="3" t="s">
        <v>44</v>
      </c>
      <c r="W496" s="3">
        <v>159</v>
      </c>
      <c r="X496" s="3"/>
      <c r="Y496" s="3" t="s">
        <v>43</v>
      </c>
      <c r="Z496" s="3"/>
      <c r="AA496" s="3" t="s">
        <v>43</v>
      </c>
      <c r="AB496" s="3"/>
      <c r="AC496" s="3"/>
      <c r="AD496" s="3"/>
      <c r="AE496" s="3"/>
      <c r="AF496" s="3"/>
      <c r="AG496" s="3"/>
      <c r="AH496" s="3"/>
    </row>
    <row r="497" spans="1:34">
      <c r="A497" t="s">
        <v>1074</v>
      </c>
      <c r="B497" t="s">
        <v>1075</v>
      </c>
      <c r="C497" s="3">
        <v>191.1</v>
      </c>
      <c r="D497" s="3"/>
      <c r="E497" s="3">
        <v>127.3</v>
      </c>
      <c r="F497" s="3"/>
      <c r="G497" s="3">
        <v>124.8</v>
      </c>
      <c r="H497" s="3"/>
      <c r="I497" s="3">
        <v>126.7</v>
      </c>
      <c r="J497" s="3"/>
      <c r="K497" s="3">
        <v>128.5</v>
      </c>
      <c r="L497" s="3"/>
      <c r="M497" s="3" t="s">
        <v>43</v>
      </c>
      <c r="N497" s="3" t="s">
        <v>44</v>
      </c>
      <c r="O497" s="3">
        <v>149.6</v>
      </c>
      <c r="P497" s="3"/>
      <c r="Q497" s="3">
        <v>154.69999999999999</v>
      </c>
      <c r="R497" s="3"/>
      <c r="S497" s="3">
        <v>166.8</v>
      </c>
      <c r="T497" s="3" t="s">
        <v>334</v>
      </c>
      <c r="U497" s="3">
        <v>117</v>
      </c>
      <c r="V497" s="3"/>
      <c r="W497" s="3">
        <v>117.5</v>
      </c>
      <c r="X497" s="3"/>
      <c r="Y497" s="3" t="s">
        <v>43</v>
      </c>
      <c r="Z497" s="3"/>
      <c r="AA497" s="3" t="s">
        <v>43</v>
      </c>
      <c r="AB497" s="3"/>
      <c r="AC497" s="3"/>
      <c r="AD497" s="3"/>
      <c r="AE497" s="3"/>
      <c r="AF497" s="3"/>
      <c r="AG497" s="3"/>
      <c r="AH497" s="3"/>
    </row>
    <row r="498" spans="1:34">
      <c r="A498" t="s">
        <v>1076</v>
      </c>
      <c r="B498" t="s">
        <v>1077</v>
      </c>
      <c r="C498" s="3">
        <v>34.4</v>
      </c>
      <c r="D498" s="3"/>
      <c r="E498" s="3">
        <v>16.3</v>
      </c>
      <c r="F498" s="3"/>
      <c r="G498" s="3">
        <v>22.8</v>
      </c>
      <c r="H498" s="3"/>
      <c r="I498" s="3">
        <v>17.399999999999999</v>
      </c>
      <c r="J498" s="3"/>
      <c r="K498" s="3">
        <v>20.2</v>
      </c>
      <c r="L498" s="3"/>
      <c r="M498" s="3">
        <v>24.1</v>
      </c>
      <c r="N498" s="3"/>
      <c r="O498" s="3">
        <v>18.3</v>
      </c>
      <c r="P498" s="3"/>
      <c r="Q498" s="3">
        <v>27</v>
      </c>
      <c r="R498" s="3"/>
      <c r="S498" s="3" t="s">
        <v>43</v>
      </c>
      <c r="T498" s="3" t="s">
        <v>403</v>
      </c>
      <c r="U498" s="3" t="s">
        <v>43</v>
      </c>
      <c r="V498" s="3" t="s">
        <v>44</v>
      </c>
      <c r="W498" s="3">
        <v>37.299999999999997</v>
      </c>
      <c r="X498" s="3"/>
      <c r="Y498" s="3" t="s">
        <v>43</v>
      </c>
      <c r="Z498" s="3"/>
      <c r="AA498" s="3" t="s">
        <v>43</v>
      </c>
      <c r="AB498" s="3"/>
      <c r="AC498" s="3"/>
      <c r="AD498" s="3"/>
      <c r="AE498" s="3"/>
      <c r="AF498" s="3"/>
      <c r="AG498" s="3"/>
      <c r="AH498" s="3"/>
    </row>
    <row r="499" spans="1:34">
      <c r="A499" t="s">
        <v>1078</v>
      </c>
      <c r="B499" t="s">
        <v>1079</v>
      </c>
      <c r="C499" s="3">
        <v>1332.2</v>
      </c>
      <c r="D499" s="3"/>
      <c r="E499" s="3">
        <v>1098.3</v>
      </c>
      <c r="F499" s="3"/>
      <c r="G499" s="3">
        <v>1162</v>
      </c>
      <c r="H499" s="3"/>
      <c r="I499" s="3">
        <v>1139.5</v>
      </c>
      <c r="J499" s="3"/>
      <c r="K499" s="3">
        <v>1533.3</v>
      </c>
      <c r="L499" s="3"/>
      <c r="M499" s="3">
        <v>1661.7</v>
      </c>
      <c r="N499" s="3"/>
      <c r="O499" s="3">
        <v>2187.6999999999998</v>
      </c>
      <c r="P499" s="3"/>
      <c r="Q499" s="3">
        <v>2779.5</v>
      </c>
      <c r="R499" s="3"/>
      <c r="S499" s="3">
        <v>2589</v>
      </c>
      <c r="T499" s="3" t="s">
        <v>334</v>
      </c>
      <c r="U499" s="3">
        <v>2567.1999999999998</v>
      </c>
      <c r="V499" s="3"/>
      <c r="W499" s="3">
        <v>2560.1</v>
      </c>
      <c r="X499" s="3"/>
      <c r="Y499" s="3" t="s">
        <v>43</v>
      </c>
      <c r="Z499" s="3"/>
      <c r="AA499" s="3" t="s">
        <v>43</v>
      </c>
      <c r="AB499" s="3"/>
      <c r="AC499" s="3"/>
      <c r="AD499" s="3"/>
      <c r="AE499" s="3"/>
      <c r="AF499" s="3"/>
      <c r="AG499" s="3"/>
      <c r="AH499" s="3"/>
    </row>
    <row r="500" spans="1:34">
      <c r="A500" t="s">
        <v>1080</v>
      </c>
      <c r="B500" t="s">
        <v>1081</v>
      </c>
      <c r="C500" s="3">
        <v>295</v>
      </c>
      <c r="D500" s="3"/>
      <c r="E500" s="3">
        <v>249.2</v>
      </c>
      <c r="F500" s="3"/>
      <c r="G500" s="3">
        <v>234.4</v>
      </c>
      <c r="H500" s="3"/>
      <c r="I500" s="3">
        <v>230.4</v>
      </c>
      <c r="J500" s="3"/>
      <c r="K500" s="3">
        <v>272.8</v>
      </c>
      <c r="L500" s="3"/>
      <c r="M500" s="3">
        <v>317.3</v>
      </c>
      <c r="N500" s="3"/>
      <c r="O500" s="3">
        <v>621.4</v>
      </c>
      <c r="P500" s="3"/>
      <c r="Q500" s="3">
        <v>797.1</v>
      </c>
      <c r="R500" s="3"/>
      <c r="S500" s="3">
        <v>730.4</v>
      </c>
      <c r="T500" s="3" t="s">
        <v>334</v>
      </c>
      <c r="U500" s="3">
        <v>763</v>
      </c>
      <c r="V500" s="3"/>
      <c r="W500" s="3">
        <v>851.5</v>
      </c>
      <c r="X500" s="3"/>
      <c r="Y500" s="3" t="s">
        <v>43</v>
      </c>
      <c r="Z500" s="3"/>
      <c r="AA500" s="3" t="s">
        <v>43</v>
      </c>
      <c r="AB500" s="3"/>
      <c r="AC500" s="3"/>
      <c r="AD500" s="3"/>
      <c r="AE500" s="3"/>
      <c r="AF500" s="3"/>
      <c r="AG500" s="3"/>
      <c r="AH500" s="3"/>
    </row>
    <row r="501" spans="1:34">
      <c r="A501" t="s">
        <v>1082</v>
      </c>
      <c r="B501" t="s">
        <v>1083</v>
      </c>
      <c r="C501" s="3">
        <v>205.5</v>
      </c>
      <c r="D501" s="3"/>
      <c r="E501" s="3">
        <v>154.69999999999999</v>
      </c>
      <c r="F501" s="3"/>
      <c r="G501" s="3">
        <v>188.6</v>
      </c>
      <c r="H501" s="3"/>
      <c r="I501" s="3">
        <v>187.3</v>
      </c>
      <c r="J501" s="3"/>
      <c r="K501" s="3">
        <v>177.3</v>
      </c>
      <c r="L501" s="3"/>
      <c r="M501" s="3">
        <v>213.4</v>
      </c>
      <c r="N501" s="3"/>
      <c r="O501" s="3">
        <v>245.7</v>
      </c>
      <c r="P501" s="3"/>
      <c r="Q501" s="3">
        <v>284.39999999999998</v>
      </c>
      <c r="R501" s="3"/>
      <c r="S501" s="3">
        <v>267.2</v>
      </c>
      <c r="T501" s="3" t="s">
        <v>334</v>
      </c>
      <c r="U501" s="3">
        <v>265.60000000000002</v>
      </c>
      <c r="V501" s="3"/>
      <c r="W501" s="3">
        <v>257.3</v>
      </c>
      <c r="X501" s="3"/>
      <c r="Y501" s="3" t="s">
        <v>43</v>
      </c>
      <c r="Z501" s="3"/>
      <c r="AA501" s="3" t="s">
        <v>43</v>
      </c>
      <c r="AB501" s="3"/>
      <c r="AC501" s="3"/>
      <c r="AD501" s="3"/>
      <c r="AE501" s="3"/>
      <c r="AF501" s="3"/>
      <c r="AG501" s="3"/>
      <c r="AH501" s="3"/>
    </row>
    <row r="502" spans="1:34">
      <c r="A502" t="s">
        <v>1084</v>
      </c>
      <c r="B502" t="s">
        <v>1085</v>
      </c>
      <c r="C502" s="3">
        <v>831.8</v>
      </c>
      <c r="D502" s="3"/>
      <c r="E502" s="3">
        <v>694.4</v>
      </c>
      <c r="F502" s="3"/>
      <c r="G502" s="3">
        <v>739</v>
      </c>
      <c r="H502" s="3"/>
      <c r="I502" s="3">
        <v>721.8</v>
      </c>
      <c r="J502" s="3"/>
      <c r="K502" s="3">
        <v>1083.2</v>
      </c>
      <c r="L502" s="3"/>
      <c r="M502" s="3">
        <v>1131</v>
      </c>
      <c r="N502" s="3"/>
      <c r="O502" s="3">
        <v>1320.6</v>
      </c>
      <c r="P502" s="3"/>
      <c r="Q502" s="3">
        <v>1698</v>
      </c>
      <c r="R502" s="3"/>
      <c r="S502" s="3">
        <v>1591.3</v>
      </c>
      <c r="T502" s="3" t="s">
        <v>334</v>
      </c>
      <c r="U502" s="3">
        <v>1538.6</v>
      </c>
      <c r="V502" s="3"/>
      <c r="W502" s="3">
        <v>1451.3</v>
      </c>
      <c r="X502" s="3"/>
      <c r="Y502" s="3" t="s">
        <v>43</v>
      </c>
      <c r="Z502" s="3"/>
      <c r="AA502" s="3" t="s">
        <v>43</v>
      </c>
      <c r="AB502" s="3"/>
      <c r="AC502" s="3"/>
      <c r="AD502" s="3"/>
      <c r="AE502" s="3"/>
      <c r="AF502" s="3"/>
      <c r="AG502" s="3"/>
      <c r="AH502" s="3"/>
    </row>
    <row r="503" spans="1:34">
      <c r="A503" t="s">
        <v>1086</v>
      </c>
      <c r="B503" t="s">
        <v>1087</v>
      </c>
      <c r="C503" s="3">
        <v>529</v>
      </c>
      <c r="D503" s="3"/>
      <c r="E503" s="3" t="s">
        <v>43</v>
      </c>
      <c r="F503" s="3" t="s">
        <v>44</v>
      </c>
      <c r="G503" s="3" t="s">
        <v>43</v>
      </c>
      <c r="H503" s="3" t="s">
        <v>44</v>
      </c>
      <c r="I503" s="3" t="s">
        <v>43</v>
      </c>
      <c r="J503" s="3" t="s">
        <v>44</v>
      </c>
      <c r="K503" s="3">
        <v>399.1</v>
      </c>
      <c r="L503" s="3"/>
      <c r="M503" s="3" t="s">
        <v>43</v>
      </c>
      <c r="N503" s="3" t="s">
        <v>44</v>
      </c>
      <c r="O503" s="3" t="s">
        <v>43</v>
      </c>
      <c r="P503" s="3" t="s">
        <v>44</v>
      </c>
      <c r="Q503" s="3" t="s">
        <v>43</v>
      </c>
      <c r="R503" s="3" t="s">
        <v>44</v>
      </c>
      <c r="S503" s="3" t="s">
        <v>43</v>
      </c>
      <c r="T503" s="3" t="s">
        <v>403</v>
      </c>
      <c r="U503" s="3">
        <v>194.7</v>
      </c>
      <c r="V503" s="3"/>
      <c r="W503" s="3">
        <v>192.9</v>
      </c>
      <c r="X503" s="3"/>
      <c r="Y503" s="3" t="s">
        <v>43</v>
      </c>
      <c r="Z503" s="3"/>
      <c r="AA503" s="3" t="s">
        <v>43</v>
      </c>
      <c r="AB503" s="3"/>
      <c r="AC503" s="3"/>
      <c r="AD503" s="3"/>
      <c r="AE503" s="3"/>
      <c r="AF503" s="3"/>
      <c r="AG503" s="3"/>
      <c r="AH503" s="3"/>
    </row>
    <row r="504" spans="1:34">
      <c r="A504" t="s">
        <v>1088</v>
      </c>
      <c r="B504" t="s">
        <v>1089</v>
      </c>
      <c r="C504" s="3">
        <v>137.4</v>
      </c>
      <c r="D504" s="3"/>
      <c r="E504" s="3">
        <v>102.5</v>
      </c>
      <c r="F504" s="3"/>
      <c r="G504" s="3">
        <v>112.5</v>
      </c>
      <c r="H504" s="3"/>
      <c r="I504" s="3">
        <v>111.9</v>
      </c>
      <c r="J504" s="3"/>
      <c r="K504" s="3">
        <v>98.2</v>
      </c>
      <c r="L504" s="3"/>
      <c r="M504" s="3">
        <v>87.3</v>
      </c>
      <c r="N504" s="3"/>
      <c r="O504" s="3" t="s">
        <v>43</v>
      </c>
      <c r="P504" s="3" t="s">
        <v>44</v>
      </c>
      <c r="Q504" s="3" t="s">
        <v>43</v>
      </c>
      <c r="R504" s="3" t="s">
        <v>44</v>
      </c>
      <c r="S504" s="3" t="s">
        <v>43</v>
      </c>
      <c r="T504" s="3" t="s">
        <v>403</v>
      </c>
      <c r="U504" s="3">
        <v>63</v>
      </c>
      <c r="V504" s="3"/>
      <c r="W504" s="3">
        <v>72.099999999999994</v>
      </c>
      <c r="X504" s="3"/>
      <c r="Y504" s="3" t="s">
        <v>43</v>
      </c>
      <c r="Z504" s="3"/>
      <c r="AA504" s="3" t="s">
        <v>43</v>
      </c>
      <c r="AB504" s="3"/>
      <c r="AC504" s="3"/>
      <c r="AD504" s="3"/>
      <c r="AE504" s="3"/>
      <c r="AF504" s="3"/>
      <c r="AG504" s="3"/>
      <c r="AH504" s="3"/>
    </row>
    <row r="505" spans="1:34">
      <c r="A505" t="s">
        <v>1090</v>
      </c>
      <c r="B505" t="s">
        <v>1091</v>
      </c>
      <c r="C505" s="3">
        <v>139.5</v>
      </c>
      <c r="D505" s="3"/>
      <c r="E505" s="3" t="s">
        <v>43</v>
      </c>
      <c r="F505" s="3" t="s">
        <v>44</v>
      </c>
      <c r="G505" s="3" t="s">
        <v>43</v>
      </c>
      <c r="H505" s="3" t="s">
        <v>44</v>
      </c>
      <c r="I505" s="3" t="s">
        <v>43</v>
      </c>
      <c r="J505" s="3" t="s">
        <v>44</v>
      </c>
      <c r="K505" s="3" t="s">
        <v>43</v>
      </c>
      <c r="L505" s="3" t="s">
        <v>44</v>
      </c>
      <c r="M505" s="3" t="s">
        <v>43</v>
      </c>
      <c r="N505" s="3" t="s">
        <v>44</v>
      </c>
      <c r="O505" s="3">
        <v>79.5</v>
      </c>
      <c r="P505" s="3"/>
      <c r="Q505" s="3">
        <v>79.5</v>
      </c>
      <c r="R505" s="3"/>
      <c r="S505" s="3">
        <v>71.3</v>
      </c>
      <c r="T505" s="3" t="s">
        <v>334</v>
      </c>
      <c r="U505" s="3">
        <v>71.7</v>
      </c>
      <c r="V505" s="3"/>
      <c r="W505" s="3">
        <v>58.6</v>
      </c>
      <c r="X505" s="3"/>
      <c r="Y505" s="3" t="s">
        <v>43</v>
      </c>
      <c r="Z505" s="3"/>
      <c r="AA505" s="3" t="s">
        <v>43</v>
      </c>
      <c r="AB505" s="3"/>
      <c r="AC505" s="3"/>
      <c r="AD505" s="3"/>
      <c r="AE505" s="3"/>
      <c r="AF505" s="3"/>
      <c r="AG505" s="3"/>
      <c r="AH505" s="3"/>
    </row>
    <row r="506" spans="1:34">
      <c r="A506" t="s">
        <v>1092</v>
      </c>
      <c r="B506" t="s">
        <v>1093</v>
      </c>
      <c r="C506" s="3">
        <v>252.2</v>
      </c>
      <c r="D506" s="3"/>
      <c r="E506" s="3" t="s">
        <v>43</v>
      </c>
      <c r="F506" s="3" t="s">
        <v>44</v>
      </c>
      <c r="G506" s="3" t="s">
        <v>43</v>
      </c>
      <c r="H506" s="3" t="s">
        <v>44</v>
      </c>
      <c r="I506" s="3" t="s">
        <v>43</v>
      </c>
      <c r="J506" s="3" t="s">
        <v>44</v>
      </c>
      <c r="K506" s="3" t="s">
        <v>43</v>
      </c>
      <c r="L506" s="3" t="s">
        <v>44</v>
      </c>
      <c r="M506" s="3" t="s">
        <v>43</v>
      </c>
      <c r="N506" s="3" t="s">
        <v>44</v>
      </c>
      <c r="O506" s="3">
        <v>70.400000000000006</v>
      </c>
      <c r="P506" s="3"/>
      <c r="Q506" s="3">
        <v>73.2</v>
      </c>
      <c r="R506" s="3"/>
      <c r="S506" s="3">
        <v>61.2</v>
      </c>
      <c r="T506" s="3" t="s">
        <v>334</v>
      </c>
      <c r="U506" s="3">
        <v>60</v>
      </c>
      <c r="V506" s="3"/>
      <c r="W506" s="3">
        <v>62.2</v>
      </c>
      <c r="X506" s="3"/>
      <c r="Y506" s="3" t="s">
        <v>43</v>
      </c>
      <c r="Z506" s="3"/>
      <c r="AA506" s="3" t="s">
        <v>43</v>
      </c>
      <c r="AB506" s="3"/>
      <c r="AC506" s="3"/>
      <c r="AD506" s="3"/>
      <c r="AE506" s="3"/>
      <c r="AF506" s="3"/>
      <c r="AG506" s="3"/>
      <c r="AH506" s="3"/>
    </row>
    <row r="507" spans="1:34">
      <c r="A507" t="s">
        <v>1094</v>
      </c>
      <c r="B507" t="s">
        <v>1095</v>
      </c>
      <c r="C507" s="3" t="s">
        <v>43</v>
      </c>
      <c r="D507" s="3" t="s">
        <v>44</v>
      </c>
      <c r="E507" s="3" t="s">
        <v>43</v>
      </c>
      <c r="F507" s="3" t="s">
        <v>44</v>
      </c>
      <c r="G507" s="3" t="s">
        <v>43</v>
      </c>
      <c r="H507" s="3" t="s">
        <v>44</v>
      </c>
      <c r="I507" s="3" t="s">
        <v>43</v>
      </c>
      <c r="J507" s="3" t="s">
        <v>44</v>
      </c>
      <c r="K507" s="3">
        <v>363.7</v>
      </c>
      <c r="L507" s="3"/>
      <c r="M507" s="3" t="s">
        <v>43</v>
      </c>
      <c r="N507" s="3" t="s">
        <v>44</v>
      </c>
      <c r="O507" s="3" t="s">
        <v>43</v>
      </c>
      <c r="P507" s="3" t="s">
        <v>44</v>
      </c>
      <c r="Q507" s="3" t="s">
        <v>43</v>
      </c>
      <c r="R507" s="3" t="s">
        <v>44</v>
      </c>
      <c r="S507" s="3" t="s">
        <v>43</v>
      </c>
      <c r="T507" s="3" t="s">
        <v>403</v>
      </c>
      <c r="U507" s="3" t="s">
        <v>43</v>
      </c>
      <c r="V507" s="3" t="s">
        <v>44</v>
      </c>
      <c r="W507" s="3" t="s">
        <v>43</v>
      </c>
      <c r="X507" s="3" t="s">
        <v>44</v>
      </c>
      <c r="Y507" s="3" t="s">
        <v>43</v>
      </c>
      <c r="Z507" s="3"/>
      <c r="AA507" s="3" t="s">
        <v>43</v>
      </c>
      <c r="AB507" s="3"/>
      <c r="AC507" s="3"/>
      <c r="AD507" s="3"/>
      <c r="AE507" s="3"/>
      <c r="AF507" s="3"/>
      <c r="AG507" s="3"/>
      <c r="AH507" s="3"/>
    </row>
    <row r="508" spans="1:34">
      <c r="A508" t="s">
        <v>1096</v>
      </c>
      <c r="B508" t="s">
        <v>1097</v>
      </c>
      <c r="C508" s="3" t="s">
        <v>43</v>
      </c>
      <c r="D508" s="3" t="s">
        <v>44</v>
      </c>
      <c r="E508" s="3">
        <v>2.2999999999999998</v>
      </c>
      <c r="F508" s="3"/>
      <c r="G508" s="3">
        <v>4.5</v>
      </c>
      <c r="H508" s="3"/>
      <c r="I508" s="3" t="s">
        <v>43</v>
      </c>
      <c r="J508" s="3" t="s">
        <v>44</v>
      </c>
      <c r="K508" s="3" t="s">
        <v>43</v>
      </c>
      <c r="L508" s="3" t="s">
        <v>44</v>
      </c>
      <c r="M508" s="3" t="s">
        <v>43</v>
      </c>
      <c r="N508" s="3"/>
      <c r="O508" s="3" t="s">
        <v>43</v>
      </c>
      <c r="P508" s="3"/>
      <c r="Q508" s="3" t="s">
        <v>43</v>
      </c>
      <c r="R508" s="3"/>
      <c r="S508" s="3" t="s">
        <v>43</v>
      </c>
      <c r="T508" s="3"/>
      <c r="U508" s="3" t="s">
        <v>43</v>
      </c>
      <c r="V508" s="3"/>
      <c r="W508" s="3" t="s">
        <v>43</v>
      </c>
      <c r="X508" s="3"/>
      <c r="Y508" s="3" t="s">
        <v>43</v>
      </c>
      <c r="Z508" s="3"/>
      <c r="AA508" s="3" t="s">
        <v>43</v>
      </c>
      <c r="AB508" s="3"/>
      <c r="AC508" s="3"/>
      <c r="AD508" s="3"/>
      <c r="AE508" s="3"/>
      <c r="AF508" s="3"/>
      <c r="AG508" s="3"/>
      <c r="AH508" s="3"/>
    </row>
    <row r="509" spans="1:34">
      <c r="A509" t="s">
        <v>1098</v>
      </c>
      <c r="B509" t="s">
        <v>1099</v>
      </c>
      <c r="C509" s="3" t="s">
        <v>43</v>
      </c>
      <c r="D509" s="3" t="s">
        <v>44</v>
      </c>
      <c r="E509" s="3" t="s">
        <v>43</v>
      </c>
      <c r="F509" s="3" t="s">
        <v>44</v>
      </c>
      <c r="G509" s="3" t="s">
        <v>43</v>
      </c>
      <c r="H509" s="3" t="s">
        <v>44</v>
      </c>
      <c r="I509" s="3" t="s">
        <v>43</v>
      </c>
      <c r="J509" s="3" t="s">
        <v>44</v>
      </c>
      <c r="K509" s="3" t="s">
        <v>43</v>
      </c>
      <c r="L509" s="3" t="s">
        <v>44</v>
      </c>
      <c r="M509" s="3" t="s">
        <v>43</v>
      </c>
      <c r="N509" s="3"/>
      <c r="O509" s="3" t="s">
        <v>43</v>
      </c>
      <c r="P509" s="3"/>
      <c r="Q509" s="3" t="s">
        <v>43</v>
      </c>
      <c r="R509" s="3"/>
      <c r="S509" s="3" t="s">
        <v>43</v>
      </c>
      <c r="T509" s="3"/>
      <c r="U509" s="3" t="s">
        <v>43</v>
      </c>
      <c r="V509" s="3"/>
      <c r="W509" s="3" t="s">
        <v>43</v>
      </c>
      <c r="X509" s="3"/>
      <c r="Y509" s="3" t="s">
        <v>43</v>
      </c>
      <c r="Z509" s="3"/>
      <c r="AA509" s="3" t="s">
        <v>43</v>
      </c>
      <c r="AB509" s="3"/>
      <c r="AC509" s="3"/>
      <c r="AD509" s="3"/>
      <c r="AE509" s="3"/>
      <c r="AF509" s="3"/>
      <c r="AG509" s="3"/>
      <c r="AH509" s="3"/>
    </row>
    <row r="510" spans="1:34">
      <c r="A510" t="s">
        <v>1100</v>
      </c>
      <c r="B510" t="s">
        <v>1101</v>
      </c>
      <c r="C510" s="3" t="s">
        <v>43</v>
      </c>
      <c r="D510" s="3"/>
      <c r="E510" s="3" t="s">
        <v>43</v>
      </c>
      <c r="F510" s="3"/>
      <c r="G510" s="3" t="s">
        <v>43</v>
      </c>
      <c r="H510" s="3"/>
      <c r="I510" s="3" t="s">
        <v>43</v>
      </c>
      <c r="J510" s="3"/>
      <c r="K510" s="3" t="s">
        <v>43</v>
      </c>
      <c r="L510" s="3"/>
      <c r="M510" s="3">
        <v>1.7</v>
      </c>
      <c r="N510" s="3"/>
      <c r="O510" s="3">
        <v>1.1000000000000001</v>
      </c>
      <c r="P510" s="3"/>
      <c r="Q510" s="3">
        <v>1.1000000000000001</v>
      </c>
      <c r="R510" s="3"/>
      <c r="S510" s="3" t="s">
        <v>43</v>
      </c>
      <c r="T510" s="3" t="s">
        <v>403</v>
      </c>
      <c r="U510" s="3" t="s">
        <v>43</v>
      </c>
      <c r="V510" s="3" t="s">
        <v>44</v>
      </c>
      <c r="W510" s="3">
        <v>3.8</v>
      </c>
      <c r="X510" s="3"/>
      <c r="Y510" s="3" t="s">
        <v>43</v>
      </c>
      <c r="Z510" s="3"/>
      <c r="AA510" s="3" t="s">
        <v>43</v>
      </c>
      <c r="AB510" s="3"/>
      <c r="AC510" s="3"/>
      <c r="AD510" s="3"/>
      <c r="AE510" s="3"/>
      <c r="AF510" s="3"/>
      <c r="AG510" s="3"/>
      <c r="AH510" s="3"/>
    </row>
    <row r="511" spans="1:34">
      <c r="A511" t="s">
        <v>1102</v>
      </c>
      <c r="B511" t="s">
        <v>1103</v>
      </c>
      <c r="C511" s="3" t="s">
        <v>43</v>
      </c>
      <c r="D511" s="3"/>
      <c r="E511" s="3" t="s">
        <v>43</v>
      </c>
      <c r="F511" s="3"/>
      <c r="G511" s="3" t="s">
        <v>43</v>
      </c>
      <c r="H511" s="3"/>
      <c r="I511" s="3" t="s">
        <v>43</v>
      </c>
      <c r="J511" s="3"/>
      <c r="K511" s="3" t="s">
        <v>43</v>
      </c>
      <c r="L511" s="3"/>
      <c r="M511" s="3">
        <v>2.9</v>
      </c>
      <c r="N511" s="3"/>
      <c r="O511" s="3">
        <v>2</v>
      </c>
      <c r="P511" s="3"/>
      <c r="Q511" s="3">
        <v>1</v>
      </c>
      <c r="R511" s="3"/>
      <c r="S511" s="3" t="s">
        <v>43</v>
      </c>
      <c r="T511" s="3" t="s">
        <v>403</v>
      </c>
      <c r="U511" s="3" t="s">
        <v>43</v>
      </c>
      <c r="V511" s="3" t="s">
        <v>44</v>
      </c>
      <c r="W511" s="3">
        <v>2.2999999999999998</v>
      </c>
      <c r="X511" s="3"/>
      <c r="Y511" s="3" t="s">
        <v>43</v>
      </c>
      <c r="Z511" s="3"/>
      <c r="AA511" s="3" t="s">
        <v>43</v>
      </c>
      <c r="AB511" s="3"/>
      <c r="AC511" s="3"/>
      <c r="AD511" s="3"/>
      <c r="AE511" s="3"/>
      <c r="AF511" s="3"/>
      <c r="AG511" s="3"/>
      <c r="AH511" s="3"/>
    </row>
    <row r="512" spans="1:34">
      <c r="A512" t="s">
        <v>1104</v>
      </c>
      <c r="B512" t="s">
        <v>1105</v>
      </c>
      <c r="C512" s="3" t="s">
        <v>43</v>
      </c>
      <c r="D512" s="3"/>
      <c r="E512" s="3" t="s">
        <v>43</v>
      </c>
      <c r="F512" s="3"/>
      <c r="G512" s="3" t="s">
        <v>43</v>
      </c>
      <c r="H512" s="3"/>
      <c r="I512" s="3" t="s">
        <v>43</v>
      </c>
      <c r="J512" s="3"/>
      <c r="K512" s="3" t="s">
        <v>43</v>
      </c>
      <c r="L512" s="3"/>
      <c r="M512" s="3" t="s">
        <v>43</v>
      </c>
      <c r="N512" s="3" t="s">
        <v>44</v>
      </c>
      <c r="O512" s="3" t="s">
        <v>43</v>
      </c>
      <c r="P512" s="3" t="s">
        <v>44</v>
      </c>
      <c r="Q512" s="3" t="s">
        <v>43</v>
      </c>
      <c r="R512" s="3" t="s">
        <v>44</v>
      </c>
      <c r="S512" s="3" t="s">
        <v>43</v>
      </c>
      <c r="T512" s="3" t="s">
        <v>403</v>
      </c>
      <c r="U512" s="3" t="s">
        <v>43</v>
      </c>
      <c r="V512" s="3" t="s">
        <v>44</v>
      </c>
      <c r="W512" s="3" t="s">
        <v>43</v>
      </c>
      <c r="X512" s="3" t="s">
        <v>44</v>
      </c>
      <c r="Y512" s="3" t="s">
        <v>43</v>
      </c>
      <c r="Z512" s="3"/>
      <c r="AA512" s="3" t="s">
        <v>43</v>
      </c>
      <c r="AB512" s="3"/>
      <c r="AC512" s="3"/>
      <c r="AD512" s="3"/>
      <c r="AE512" s="3"/>
      <c r="AF512" s="3"/>
      <c r="AG512" s="3"/>
      <c r="AH512" s="3"/>
    </row>
    <row r="513" spans="1:34">
      <c r="A513" t="s">
        <v>1106</v>
      </c>
      <c r="B513" t="s">
        <v>1107</v>
      </c>
      <c r="C513" s="3" t="s">
        <v>43</v>
      </c>
      <c r="D513" s="3"/>
      <c r="E513" s="3" t="s">
        <v>43</v>
      </c>
      <c r="F513" s="3"/>
      <c r="G513" s="3" t="s">
        <v>43</v>
      </c>
      <c r="H513" s="3"/>
      <c r="I513" s="3" t="s">
        <v>43</v>
      </c>
      <c r="J513" s="3"/>
      <c r="K513" s="3" t="s">
        <v>43</v>
      </c>
      <c r="L513" s="3"/>
      <c r="M513" s="3">
        <v>3.4</v>
      </c>
      <c r="N513" s="3"/>
      <c r="O513" s="3">
        <v>1.9</v>
      </c>
      <c r="P513" s="3"/>
      <c r="Q513" s="3">
        <v>2.4</v>
      </c>
      <c r="R513" s="3"/>
      <c r="S513" s="3">
        <v>0.2</v>
      </c>
      <c r="T513" s="3" t="s">
        <v>334</v>
      </c>
      <c r="U513" s="3">
        <v>0.5</v>
      </c>
      <c r="V513" s="3"/>
      <c r="W513" s="3">
        <v>3.9</v>
      </c>
      <c r="X513" s="3"/>
      <c r="Y513" s="3" t="s">
        <v>43</v>
      </c>
      <c r="Z513" s="3"/>
      <c r="AA513" s="3" t="s">
        <v>43</v>
      </c>
      <c r="AB513" s="3"/>
      <c r="AC513" s="3"/>
      <c r="AD513" s="3"/>
      <c r="AE513" s="3"/>
      <c r="AF513" s="3"/>
      <c r="AG513" s="3"/>
      <c r="AH513" s="3"/>
    </row>
    <row r="514" spans="1:34">
      <c r="A514" t="s">
        <v>1108</v>
      </c>
      <c r="B514" t="s">
        <v>1109</v>
      </c>
      <c r="C514" s="3" t="s">
        <v>43</v>
      </c>
      <c r="D514" s="3"/>
      <c r="E514" s="3" t="s">
        <v>43</v>
      </c>
      <c r="F514" s="3"/>
      <c r="G514" s="3" t="s">
        <v>43</v>
      </c>
      <c r="H514" s="3"/>
      <c r="I514" s="3" t="s">
        <v>43</v>
      </c>
      <c r="J514" s="3"/>
      <c r="K514" s="3" t="s">
        <v>43</v>
      </c>
      <c r="L514" s="3"/>
      <c r="M514" s="3">
        <v>10.4</v>
      </c>
      <c r="N514" s="3"/>
      <c r="O514" s="3">
        <v>9.6999999999999993</v>
      </c>
      <c r="P514" s="3"/>
      <c r="Q514" s="3">
        <v>34.4</v>
      </c>
      <c r="R514" s="3"/>
      <c r="S514" s="3">
        <v>21.4</v>
      </c>
      <c r="T514" s="3" t="s">
        <v>334</v>
      </c>
      <c r="U514" s="3">
        <v>20.399999999999999</v>
      </c>
      <c r="V514" s="3"/>
      <c r="W514" s="3">
        <v>20.100000000000001</v>
      </c>
      <c r="X514" s="3"/>
      <c r="Y514" s="3" t="s">
        <v>43</v>
      </c>
      <c r="Z514" s="3"/>
      <c r="AA514" s="3" t="s">
        <v>43</v>
      </c>
      <c r="AB514" s="3"/>
      <c r="AC514" s="3"/>
      <c r="AD514" s="3"/>
      <c r="AE514" s="3"/>
      <c r="AF514" s="3"/>
      <c r="AG514" s="3"/>
      <c r="AH514" s="3"/>
    </row>
    <row r="515" spans="1:34">
      <c r="A515" t="s">
        <v>1110</v>
      </c>
      <c r="B515" t="s">
        <v>1111</v>
      </c>
      <c r="C515" s="3">
        <v>591.29999999999995</v>
      </c>
      <c r="D515" s="3"/>
      <c r="E515" s="3">
        <v>468.5</v>
      </c>
      <c r="F515" s="3"/>
      <c r="G515" s="3">
        <v>406</v>
      </c>
      <c r="H515" s="3"/>
      <c r="I515" s="3">
        <v>438.1</v>
      </c>
      <c r="J515" s="3"/>
      <c r="K515" s="3">
        <v>467.6</v>
      </c>
      <c r="L515" s="3"/>
      <c r="M515" s="3">
        <v>467.8</v>
      </c>
      <c r="N515" s="3"/>
      <c r="O515" s="3">
        <v>521.20000000000005</v>
      </c>
      <c r="P515" s="3"/>
      <c r="Q515" s="3">
        <v>614.70000000000005</v>
      </c>
      <c r="R515" s="3"/>
      <c r="S515" s="3">
        <v>581.20000000000005</v>
      </c>
      <c r="T515" s="3" t="s">
        <v>334</v>
      </c>
      <c r="U515" s="3" t="s">
        <v>43</v>
      </c>
      <c r="V515" s="3" t="s">
        <v>44</v>
      </c>
      <c r="W515" s="3">
        <v>567.9</v>
      </c>
      <c r="X515" s="3"/>
      <c r="Y515" s="3" t="s">
        <v>43</v>
      </c>
      <c r="Z515" s="3"/>
      <c r="AA515" s="3" t="s">
        <v>43</v>
      </c>
      <c r="AB515" s="3"/>
      <c r="AC515" s="3"/>
      <c r="AD515" s="3"/>
      <c r="AE515" s="3"/>
      <c r="AF515" s="3"/>
      <c r="AG515" s="3"/>
      <c r="AH515" s="3"/>
    </row>
    <row r="516" spans="1:34">
      <c r="A516" t="s">
        <v>1112</v>
      </c>
      <c r="B516" t="s">
        <v>1113</v>
      </c>
      <c r="C516" s="3">
        <v>250.9</v>
      </c>
      <c r="D516" s="3"/>
      <c r="E516" s="3">
        <v>226</v>
      </c>
      <c r="F516" s="3"/>
      <c r="G516" s="3">
        <v>203.8</v>
      </c>
      <c r="H516" s="3"/>
      <c r="I516" s="3">
        <v>192.8</v>
      </c>
      <c r="J516" s="3"/>
      <c r="K516" s="3">
        <v>197.2</v>
      </c>
      <c r="L516" s="3"/>
      <c r="M516" s="3">
        <v>202.7</v>
      </c>
      <c r="N516" s="3"/>
      <c r="O516" s="3">
        <v>257.10000000000002</v>
      </c>
      <c r="P516" s="3"/>
      <c r="Q516" s="3">
        <v>279.89999999999998</v>
      </c>
      <c r="R516" s="3"/>
      <c r="S516" s="3">
        <v>297.2</v>
      </c>
      <c r="T516" s="3" t="s">
        <v>334</v>
      </c>
      <c r="U516" s="3" t="s">
        <v>43</v>
      </c>
      <c r="V516" s="3" t="s">
        <v>44</v>
      </c>
      <c r="W516" s="3">
        <v>263.10000000000002</v>
      </c>
      <c r="X516" s="3"/>
      <c r="Y516" s="3" t="s">
        <v>43</v>
      </c>
      <c r="Z516" s="3"/>
      <c r="AA516" s="3" t="s">
        <v>43</v>
      </c>
      <c r="AB516" s="3"/>
      <c r="AC516" s="3"/>
      <c r="AD516" s="3"/>
      <c r="AE516" s="3"/>
      <c r="AF516" s="3"/>
      <c r="AG516" s="3"/>
      <c r="AH516" s="3"/>
    </row>
    <row r="517" spans="1:34">
      <c r="A517" t="s">
        <v>1114</v>
      </c>
      <c r="B517" t="s">
        <v>1115</v>
      </c>
      <c r="C517" s="3">
        <v>118.7</v>
      </c>
      <c r="D517" s="3"/>
      <c r="E517" s="3">
        <v>97.9</v>
      </c>
      <c r="F517" s="3"/>
      <c r="G517" s="3">
        <v>98.1</v>
      </c>
      <c r="H517" s="3"/>
      <c r="I517" s="3">
        <v>123.5</v>
      </c>
      <c r="J517" s="3"/>
      <c r="K517" s="3">
        <v>137.80000000000001</v>
      </c>
      <c r="L517" s="3"/>
      <c r="M517" s="3">
        <v>140.69999999999999</v>
      </c>
      <c r="N517" s="3"/>
      <c r="O517" s="3">
        <v>163.30000000000001</v>
      </c>
      <c r="P517" s="3"/>
      <c r="Q517" s="3">
        <v>216.1</v>
      </c>
      <c r="R517" s="3"/>
      <c r="S517" s="3">
        <v>202.9</v>
      </c>
      <c r="T517" s="3" t="s">
        <v>334</v>
      </c>
      <c r="U517" s="3">
        <v>215.6</v>
      </c>
      <c r="V517" s="3"/>
      <c r="W517" s="3">
        <v>228.5</v>
      </c>
      <c r="X517" s="3"/>
      <c r="Y517" s="3" t="s">
        <v>43</v>
      </c>
      <c r="Z517" s="3"/>
      <c r="AA517" s="3" t="s">
        <v>43</v>
      </c>
      <c r="AB517" s="3"/>
      <c r="AC517" s="3"/>
      <c r="AD517" s="3"/>
      <c r="AE517" s="3"/>
      <c r="AF517" s="3"/>
      <c r="AG517" s="3"/>
      <c r="AH517" s="3"/>
    </row>
    <row r="518" spans="1:34">
      <c r="A518" t="s">
        <v>1116</v>
      </c>
      <c r="B518" t="s">
        <v>1117</v>
      </c>
      <c r="C518" s="3">
        <v>125</v>
      </c>
      <c r="D518" s="3"/>
      <c r="E518" s="3">
        <v>101.4</v>
      </c>
      <c r="F518" s="3"/>
      <c r="G518" s="3">
        <v>66.599999999999994</v>
      </c>
      <c r="H518" s="3"/>
      <c r="I518" s="3">
        <v>76.099999999999994</v>
      </c>
      <c r="J518" s="3"/>
      <c r="K518" s="3">
        <v>79.3</v>
      </c>
      <c r="L518" s="3"/>
      <c r="M518" s="3">
        <v>73.5</v>
      </c>
      <c r="N518" s="3"/>
      <c r="O518" s="3">
        <v>44.9</v>
      </c>
      <c r="P518" s="3"/>
      <c r="Q518" s="3">
        <v>47.8</v>
      </c>
      <c r="R518" s="3"/>
      <c r="S518" s="3">
        <v>38.5</v>
      </c>
      <c r="T518" s="3" t="s">
        <v>334</v>
      </c>
      <c r="U518" s="3">
        <v>40</v>
      </c>
      <c r="V518" s="3"/>
      <c r="W518" s="3">
        <v>36.700000000000003</v>
      </c>
      <c r="X518" s="3"/>
      <c r="Y518" s="3" t="s">
        <v>43</v>
      </c>
      <c r="Z518" s="3"/>
      <c r="AA518" s="3" t="s">
        <v>43</v>
      </c>
      <c r="AB518" s="3"/>
      <c r="AC518" s="3"/>
      <c r="AD518" s="3"/>
      <c r="AE518" s="3"/>
      <c r="AF518" s="3"/>
      <c r="AG518" s="3"/>
      <c r="AH518" s="3"/>
    </row>
    <row r="519" spans="1:34">
      <c r="A519" t="s">
        <v>1118</v>
      </c>
      <c r="B519" t="s">
        <v>1119</v>
      </c>
      <c r="C519" s="3">
        <v>96.8</v>
      </c>
      <c r="D519" s="3"/>
      <c r="E519" s="3">
        <v>43.3</v>
      </c>
      <c r="F519" s="3"/>
      <c r="G519" s="3">
        <v>37.5</v>
      </c>
      <c r="H519" s="3"/>
      <c r="I519" s="3">
        <v>45.7</v>
      </c>
      <c r="J519" s="3"/>
      <c r="K519" s="3">
        <v>53.4</v>
      </c>
      <c r="L519" s="3"/>
      <c r="M519" s="3">
        <v>50.8</v>
      </c>
      <c r="N519" s="3"/>
      <c r="O519" s="3">
        <v>55.9</v>
      </c>
      <c r="P519" s="3"/>
      <c r="Q519" s="3">
        <v>71</v>
      </c>
      <c r="R519" s="3"/>
      <c r="S519" s="3">
        <v>42.7</v>
      </c>
      <c r="T519" s="3" t="s">
        <v>334</v>
      </c>
      <c r="U519" s="3">
        <v>35.9</v>
      </c>
      <c r="V519" s="3"/>
      <c r="W519" s="3">
        <v>39.700000000000003</v>
      </c>
      <c r="X519" s="3"/>
      <c r="Y519" s="3" t="s">
        <v>43</v>
      </c>
      <c r="Z519" s="3"/>
      <c r="AA519" s="3" t="s">
        <v>43</v>
      </c>
      <c r="AB519" s="3"/>
      <c r="AC519" s="3"/>
      <c r="AD519" s="3"/>
      <c r="AE519" s="3"/>
      <c r="AF519" s="3"/>
      <c r="AG519" s="3"/>
      <c r="AH519" s="3"/>
    </row>
    <row r="520" spans="1:34">
      <c r="A520" t="s">
        <v>1120</v>
      </c>
      <c r="B520" t="s">
        <v>1121</v>
      </c>
      <c r="C520" s="3">
        <v>420.5</v>
      </c>
      <c r="D520" s="3"/>
      <c r="E520" s="3">
        <v>324</v>
      </c>
      <c r="F520" s="3"/>
      <c r="G520" s="3">
        <v>324.8</v>
      </c>
      <c r="H520" s="3"/>
      <c r="I520" s="3">
        <v>287.8</v>
      </c>
      <c r="J520" s="3"/>
      <c r="K520" s="3">
        <v>387.6</v>
      </c>
      <c r="L520" s="3"/>
      <c r="M520" s="3">
        <v>299.8</v>
      </c>
      <c r="N520" s="3"/>
      <c r="O520" s="3">
        <v>319.8</v>
      </c>
      <c r="P520" s="3"/>
      <c r="Q520" s="3">
        <v>382.1</v>
      </c>
      <c r="R520" s="3"/>
      <c r="S520" s="3">
        <v>358.4</v>
      </c>
      <c r="T520" s="3" t="s">
        <v>334</v>
      </c>
      <c r="U520" s="3">
        <v>371.3</v>
      </c>
      <c r="V520" s="3"/>
      <c r="W520" s="3" t="s">
        <v>43</v>
      </c>
      <c r="X520" s="3" t="s">
        <v>44</v>
      </c>
      <c r="Y520" s="3" t="s">
        <v>43</v>
      </c>
      <c r="Z520" s="3"/>
      <c r="AA520" s="3" t="s">
        <v>43</v>
      </c>
      <c r="AB520" s="3"/>
      <c r="AC520" s="3"/>
      <c r="AD520" s="3"/>
      <c r="AE520" s="3"/>
      <c r="AF520" s="3"/>
      <c r="AG520" s="3"/>
      <c r="AH520" s="3"/>
    </row>
    <row r="521" spans="1:34">
      <c r="A521" t="s">
        <v>1122</v>
      </c>
      <c r="B521" t="s">
        <v>1123</v>
      </c>
      <c r="C521" s="3">
        <v>375.9</v>
      </c>
      <c r="D521" s="3"/>
      <c r="E521" s="3">
        <v>272.10000000000002</v>
      </c>
      <c r="F521" s="3"/>
      <c r="G521" s="3">
        <v>281.39999999999998</v>
      </c>
      <c r="H521" s="3"/>
      <c r="I521" s="3">
        <v>252.3</v>
      </c>
      <c r="J521" s="3"/>
      <c r="K521" s="3">
        <v>349.8</v>
      </c>
      <c r="L521" s="3"/>
      <c r="M521" s="3">
        <v>269.39999999999998</v>
      </c>
      <c r="N521" s="3"/>
      <c r="O521" s="3">
        <v>285</v>
      </c>
      <c r="P521" s="3"/>
      <c r="Q521" s="3">
        <v>341.3</v>
      </c>
      <c r="R521" s="3"/>
      <c r="S521" s="3">
        <v>319.2</v>
      </c>
      <c r="T521" s="3" t="s">
        <v>334</v>
      </c>
      <c r="U521" s="3">
        <v>333</v>
      </c>
      <c r="V521" s="3"/>
      <c r="W521" s="3" t="s">
        <v>43</v>
      </c>
      <c r="X521" s="3" t="s">
        <v>44</v>
      </c>
      <c r="Y521" s="3" t="s">
        <v>43</v>
      </c>
      <c r="Z521" s="3"/>
      <c r="AA521" s="3" t="s">
        <v>43</v>
      </c>
      <c r="AB521" s="3"/>
      <c r="AC521" s="3"/>
      <c r="AD521" s="3"/>
      <c r="AE521" s="3"/>
      <c r="AF521" s="3"/>
      <c r="AG521" s="3"/>
      <c r="AH521" s="3"/>
    </row>
    <row r="522" spans="1:34">
      <c r="A522" t="s">
        <v>1124</v>
      </c>
      <c r="B522" t="s">
        <v>1125</v>
      </c>
      <c r="C522" s="3">
        <v>24.4</v>
      </c>
      <c r="D522" s="3"/>
      <c r="E522" s="3">
        <v>28.1</v>
      </c>
      <c r="F522" s="3"/>
      <c r="G522" s="3">
        <v>24.3</v>
      </c>
      <c r="H522" s="3"/>
      <c r="I522" s="3">
        <v>18.7</v>
      </c>
      <c r="J522" s="3"/>
      <c r="K522" s="3">
        <v>19</v>
      </c>
      <c r="L522" s="3"/>
      <c r="M522" s="3">
        <v>14.9</v>
      </c>
      <c r="N522" s="3"/>
      <c r="O522" s="3">
        <v>15.7</v>
      </c>
      <c r="P522" s="3"/>
      <c r="Q522" s="3">
        <v>16.600000000000001</v>
      </c>
      <c r="R522" s="3"/>
      <c r="S522" s="3">
        <v>19.5</v>
      </c>
      <c r="T522" s="3" t="s">
        <v>334</v>
      </c>
      <c r="U522" s="3">
        <v>22.3</v>
      </c>
      <c r="V522" s="3"/>
      <c r="W522" s="3">
        <v>22.9</v>
      </c>
      <c r="X522" s="3"/>
      <c r="Y522" s="3" t="s">
        <v>43</v>
      </c>
      <c r="Z522" s="3"/>
      <c r="AA522" s="3" t="s">
        <v>43</v>
      </c>
      <c r="AB522" s="3"/>
      <c r="AC522" s="3"/>
      <c r="AD522" s="3"/>
      <c r="AE522" s="3"/>
      <c r="AF522" s="3"/>
      <c r="AG522" s="3"/>
      <c r="AH522" s="3"/>
    </row>
    <row r="523" spans="1:34">
      <c r="A523" t="s">
        <v>1126</v>
      </c>
      <c r="B523" t="s">
        <v>1127</v>
      </c>
      <c r="C523" s="3">
        <v>7.2</v>
      </c>
      <c r="D523" s="3"/>
      <c r="E523" s="3">
        <v>4.2</v>
      </c>
      <c r="F523" s="3"/>
      <c r="G523" s="3" t="s">
        <v>43</v>
      </c>
      <c r="H523" s="3" t="s">
        <v>44</v>
      </c>
      <c r="I523" s="3">
        <v>2.2999999999999998</v>
      </c>
      <c r="J523" s="3"/>
      <c r="K523" s="3">
        <v>2.5</v>
      </c>
      <c r="L523" s="3"/>
      <c r="M523" s="3">
        <v>2.2999999999999998</v>
      </c>
      <c r="N523" s="3"/>
      <c r="O523" s="3">
        <v>2.1</v>
      </c>
      <c r="P523" s="3"/>
      <c r="Q523" s="3">
        <v>2.7</v>
      </c>
      <c r="R523" s="3"/>
      <c r="S523" s="3">
        <v>1.8</v>
      </c>
      <c r="T523" s="3" t="s">
        <v>334</v>
      </c>
      <c r="U523" s="3">
        <v>2.1</v>
      </c>
      <c r="V523" s="3"/>
      <c r="W523" s="3">
        <v>1.9</v>
      </c>
      <c r="X523" s="3"/>
      <c r="Y523" s="3" t="s">
        <v>43</v>
      </c>
      <c r="Z523" s="3"/>
      <c r="AA523" s="3" t="s">
        <v>43</v>
      </c>
      <c r="AB523" s="3"/>
      <c r="AC523" s="3"/>
      <c r="AD523" s="3"/>
      <c r="AE523" s="3"/>
      <c r="AF523" s="3"/>
      <c r="AG523" s="3"/>
      <c r="AH523" s="3"/>
    </row>
    <row r="524" spans="1:34">
      <c r="A524" t="s">
        <v>1128</v>
      </c>
      <c r="B524" t="s">
        <v>1129</v>
      </c>
      <c r="C524" s="3">
        <v>12.9</v>
      </c>
      <c r="D524" s="3"/>
      <c r="E524" s="3">
        <v>19.600000000000001</v>
      </c>
      <c r="F524" s="3"/>
      <c r="G524" s="3" t="s">
        <v>43</v>
      </c>
      <c r="H524" s="3" t="s">
        <v>44</v>
      </c>
      <c r="I524" s="3">
        <v>14.5</v>
      </c>
      <c r="J524" s="3"/>
      <c r="K524" s="3">
        <v>16.399999999999999</v>
      </c>
      <c r="L524" s="3"/>
      <c r="M524" s="3">
        <v>13.1</v>
      </c>
      <c r="N524" s="3"/>
      <c r="O524" s="3">
        <v>16.899999999999999</v>
      </c>
      <c r="P524" s="3"/>
      <c r="Q524" s="3">
        <v>21.5</v>
      </c>
      <c r="R524" s="3"/>
      <c r="S524" s="3">
        <v>18</v>
      </c>
      <c r="T524" s="3" t="s">
        <v>334</v>
      </c>
      <c r="U524" s="3">
        <v>13.9</v>
      </c>
      <c r="V524" s="3"/>
      <c r="W524" s="3">
        <v>11.5</v>
      </c>
      <c r="X524" s="3"/>
      <c r="Y524" s="3" t="s">
        <v>43</v>
      </c>
      <c r="Z524" s="3"/>
      <c r="AA524" s="3" t="s">
        <v>43</v>
      </c>
      <c r="AB524" s="3"/>
      <c r="AC524" s="3"/>
      <c r="AD524" s="3"/>
      <c r="AE524" s="3"/>
      <c r="AF524" s="3"/>
      <c r="AG524" s="3"/>
      <c r="AH524" s="3"/>
    </row>
    <row r="525" spans="1:34">
      <c r="A525" t="s">
        <v>1130</v>
      </c>
      <c r="B525" t="s">
        <v>1131</v>
      </c>
      <c r="C525" s="3">
        <v>509.4</v>
      </c>
      <c r="D525" s="3"/>
      <c r="E525" s="3">
        <v>407</v>
      </c>
      <c r="F525" s="3"/>
      <c r="G525" s="3">
        <v>346.1</v>
      </c>
      <c r="H525" s="3"/>
      <c r="I525" s="3">
        <v>289.2</v>
      </c>
      <c r="J525" s="3"/>
      <c r="K525" s="3">
        <v>297.89999999999998</v>
      </c>
      <c r="L525" s="3"/>
      <c r="M525" s="3">
        <v>293.39999999999998</v>
      </c>
      <c r="N525" s="3"/>
      <c r="O525" s="3">
        <v>393.5</v>
      </c>
      <c r="P525" s="3"/>
      <c r="Q525" s="3">
        <v>462.5</v>
      </c>
      <c r="R525" s="3"/>
      <c r="S525" s="3">
        <v>371</v>
      </c>
      <c r="T525" s="3" t="s">
        <v>334</v>
      </c>
      <c r="U525" s="3">
        <v>349.2</v>
      </c>
      <c r="V525" s="3"/>
      <c r="W525" s="3">
        <v>381.3</v>
      </c>
      <c r="X525" s="3"/>
      <c r="Y525" s="3" t="s">
        <v>43</v>
      </c>
      <c r="Z525" s="3"/>
      <c r="AA525" s="3" t="s">
        <v>43</v>
      </c>
      <c r="AB525" s="3"/>
      <c r="AC525" s="3"/>
      <c r="AD525" s="3"/>
      <c r="AE525" s="3"/>
      <c r="AF525" s="3"/>
      <c r="AG525" s="3"/>
      <c r="AH525" s="3"/>
    </row>
    <row r="526" spans="1:34">
      <c r="A526" t="s">
        <v>1132</v>
      </c>
      <c r="B526" t="s">
        <v>1133</v>
      </c>
      <c r="C526" s="3">
        <v>412.4</v>
      </c>
      <c r="D526" s="3"/>
      <c r="E526" s="3">
        <v>321</v>
      </c>
      <c r="F526" s="3"/>
      <c r="G526" s="3" t="s">
        <v>43</v>
      </c>
      <c r="H526" s="3" t="s">
        <v>44</v>
      </c>
      <c r="I526" s="3">
        <v>221</v>
      </c>
      <c r="J526" s="3"/>
      <c r="K526" s="3">
        <v>220.1</v>
      </c>
      <c r="L526" s="3"/>
      <c r="M526" s="3">
        <v>220.1</v>
      </c>
      <c r="N526" s="3"/>
      <c r="O526" s="3">
        <v>307.5</v>
      </c>
      <c r="P526" s="3"/>
      <c r="Q526" s="3">
        <v>368.6</v>
      </c>
      <c r="R526" s="3"/>
      <c r="S526" s="3" t="s">
        <v>43</v>
      </c>
      <c r="T526" s="3" t="s">
        <v>403</v>
      </c>
      <c r="U526" s="3" t="s">
        <v>43</v>
      </c>
      <c r="V526" s="3" t="s">
        <v>44</v>
      </c>
      <c r="W526" s="3">
        <v>293.7</v>
      </c>
      <c r="X526" s="3"/>
      <c r="Y526" s="3" t="s">
        <v>43</v>
      </c>
      <c r="Z526" s="3"/>
      <c r="AA526" s="3" t="s">
        <v>43</v>
      </c>
      <c r="AB526" s="3"/>
      <c r="AC526" s="3"/>
      <c r="AD526" s="3"/>
      <c r="AE526" s="3"/>
      <c r="AF526" s="3"/>
      <c r="AG526" s="3"/>
      <c r="AH526" s="3"/>
    </row>
    <row r="527" spans="1:34">
      <c r="A527" t="s">
        <v>1134</v>
      </c>
      <c r="B527" t="s">
        <v>1135</v>
      </c>
      <c r="C527" s="3">
        <v>97</v>
      </c>
      <c r="D527" s="3"/>
      <c r="E527" s="3">
        <v>86</v>
      </c>
      <c r="F527" s="3"/>
      <c r="G527" s="3" t="s">
        <v>43</v>
      </c>
      <c r="H527" s="3" t="s">
        <v>44</v>
      </c>
      <c r="I527" s="3">
        <v>68.2</v>
      </c>
      <c r="J527" s="3"/>
      <c r="K527" s="3">
        <v>77.8</v>
      </c>
      <c r="L527" s="3"/>
      <c r="M527" s="3">
        <v>73.2</v>
      </c>
      <c r="N527" s="3"/>
      <c r="O527" s="3">
        <v>86</v>
      </c>
      <c r="P527" s="3"/>
      <c r="Q527" s="3">
        <v>93.9</v>
      </c>
      <c r="R527" s="3"/>
      <c r="S527" s="3" t="s">
        <v>43</v>
      </c>
      <c r="T527" s="3" t="s">
        <v>403</v>
      </c>
      <c r="U527" s="3" t="s">
        <v>43</v>
      </c>
      <c r="V527" s="3" t="s">
        <v>44</v>
      </c>
      <c r="W527" s="3">
        <v>87.6</v>
      </c>
      <c r="X527" s="3"/>
      <c r="Y527" s="3" t="s">
        <v>43</v>
      </c>
      <c r="Z527" s="3"/>
      <c r="AA527" s="3" t="s">
        <v>43</v>
      </c>
      <c r="AB527" s="3"/>
      <c r="AC527" s="3"/>
      <c r="AD527" s="3"/>
      <c r="AE527" s="3"/>
      <c r="AF527" s="3"/>
      <c r="AG527" s="3"/>
      <c r="AH527" s="3"/>
    </row>
    <row r="528" spans="1:34">
      <c r="A528" t="s">
        <v>1136</v>
      </c>
      <c r="B528" t="s">
        <v>1137</v>
      </c>
      <c r="C528" s="3">
        <v>132.9</v>
      </c>
      <c r="D528" s="3"/>
      <c r="E528" s="3">
        <v>91.7</v>
      </c>
      <c r="F528" s="3"/>
      <c r="G528" s="3">
        <v>96.3</v>
      </c>
      <c r="H528" s="3"/>
      <c r="I528" s="3">
        <v>97.3</v>
      </c>
      <c r="J528" s="3"/>
      <c r="K528" s="3">
        <v>95.3</v>
      </c>
      <c r="L528" s="3"/>
      <c r="M528" s="3">
        <v>106.5</v>
      </c>
      <c r="N528" s="3"/>
      <c r="O528" s="3">
        <v>169.8</v>
      </c>
      <c r="P528" s="3"/>
      <c r="Q528" s="3">
        <v>138.5</v>
      </c>
      <c r="R528" s="3"/>
      <c r="S528" s="3">
        <v>121</v>
      </c>
      <c r="T528" s="3" t="s">
        <v>334</v>
      </c>
      <c r="U528" s="3">
        <v>123.6</v>
      </c>
      <c r="V528" s="3"/>
      <c r="W528" s="3">
        <v>101.9</v>
      </c>
      <c r="X528" s="3"/>
      <c r="Y528" s="3" t="s">
        <v>43</v>
      </c>
      <c r="Z528" s="3"/>
      <c r="AA528" s="3" t="s">
        <v>43</v>
      </c>
      <c r="AB528" s="3"/>
      <c r="AC528" s="3"/>
      <c r="AD528" s="3"/>
      <c r="AE528" s="3"/>
      <c r="AF528" s="3"/>
      <c r="AG528" s="3"/>
      <c r="AH528" s="3"/>
    </row>
    <row r="529" spans="1:34">
      <c r="A529" t="s">
        <v>1138</v>
      </c>
      <c r="B529" t="s">
        <v>1139</v>
      </c>
      <c r="C529" s="3" t="s">
        <v>43</v>
      </c>
      <c r="D529" s="3" t="s">
        <v>44</v>
      </c>
      <c r="E529" s="3">
        <v>47.2</v>
      </c>
      <c r="F529" s="3"/>
      <c r="G529" s="3" t="s">
        <v>43</v>
      </c>
      <c r="H529" s="3" t="s">
        <v>44</v>
      </c>
      <c r="I529" s="3" t="s">
        <v>43</v>
      </c>
      <c r="J529" s="3" t="s">
        <v>44</v>
      </c>
      <c r="K529" s="3">
        <v>47.9</v>
      </c>
      <c r="L529" s="3"/>
      <c r="M529" s="3">
        <v>53.7</v>
      </c>
      <c r="N529" s="3"/>
      <c r="O529" s="3">
        <v>110</v>
      </c>
      <c r="P529" s="3"/>
      <c r="Q529" s="3">
        <v>75.8</v>
      </c>
      <c r="R529" s="3"/>
      <c r="S529" s="3" t="s">
        <v>43</v>
      </c>
      <c r="T529" s="3"/>
      <c r="U529" s="3" t="s">
        <v>43</v>
      </c>
      <c r="V529" s="3"/>
      <c r="W529" s="3" t="s">
        <v>43</v>
      </c>
      <c r="X529" s="3"/>
      <c r="Y529" s="3" t="s">
        <v>43</v>
      </c>
      <c r="Z529" s="3"/>
      <c r="AA529" s="3" t="s">
        <v>43</v>
      </c>
      <c r="AB529" s="3"/>
      <c r="AC529" s="3"/>
      <c r="AD529" s="3"/>
      <c r="AE529" s="3"/>
      <c r="AF529" s="3"/>
      <c r="AG529" s="3"/>
      <c r="AH529" s="3"/>
    </row>
    <row r="530" spans="1:34">
      <c r="A530" t="s">
        <v>1140</v>
      </c>
      <c r="B530" t="s">
        <v>1141</v>
      </c>
      <c r="C530" s="3">
        <v>59.3</v>
      </c>
      <c r="D530" s="3"/>
      <c r="E530" s="3">
        <v>25</v>
      </c>
      <c r="F530" s="3"/>
      <c r="G530" s="3">
        <v>25.9</v>
      </c>
      <c r="H530" s="3"/>
      <c r="I530" s="3">
        <v>31.4</v>
      </c>
      <c r="J530" s="3"/>
      <c r="K530" s="3" t="s">
        <v>43</v>
      </c>
      <c r="L530" s="3" t="s">
        <v>44</v>
      </c>
      <c r="M530" s="3" t="s">
        <v>43</v>
      </c>
      <c r="N530" s="3" t="s">
        <v>44</v>
      </c>
      <c r="O530" s="3" t="s">
        <v>43</v>
      </c>
      <c r="P530" s="3" t="s">
        <v>44</v>
      </c>
      <c r="Q530" s="3" t="s">
        <v>43</v>
      </c>
      <c r="R530" s="3" t="s">
        <v>44</v>
      </c>
      <c r="S530" s="3" t="s">
        <v>43</v>
      </c>
      <c r="T530" s="3"/>
      <c r="U530" s="3" t="s">
        <v>43</v>
      </c>
      <c r="V530" s="3"/>
      <c r="W530" s="3" t="s">
        <v>43</v>
      </c>
      <c r="X530" s="3"/>
      <c r="Y530" s="3" t="s">
        <v>43</v>
      </c>
      <c r="Z530" s="3"/>
      <c r="AA530" s="3" t="s">
        <v>43</v>
      </c>
      <c r="AB530" s="3"/>
      <c r="AC530" s="3"/>
      <c r="AD530" s="3"/>
      <c r="AE530" s="3"/>
      <c r="AF530" s="3"/>
      <c r="AG530" s="3"/>
      <c r="AH530" s="3"/>
    </row>
    <row r="531" spans="1:34">
      <c r="A531" t="s">
        <v>1142</v>
      </c>
      <c r="B531" t="s">
        <v>1143</v>
      </c>
      <c r="C531" s="3" t="s">
        <v>43</v>
      </c>
      <c r="D531" s="3" t="s">
        <v>44</v>
      </c>
      <c r="E531" s="3" t="s">
        <v>43</v>
      </c>
      <c r="F531" s="3" t="s">
        <v>44</v>
      </c>
      <c r="G531" s="3" t="s">
        <v>43</v>
      </c>
      <c r="H531" s="3" t="s">
        <v>44</v>
      </c>
      <c r="I531" s="3" t="s">
        <v>43</v>
      </c>
      <c r="J531" s="3" t="s">
        <v>44</v>
      </c>
      <c r="K531" s="3" t="s">
        <v>43</v>
      </c>
      <c r="L531" s="3" t="s">
        <v>44</v>
      </c>
      <c r="M531" s="3" t="s">
        <v>43</v>
      </c>
      <c r="N531" s="3" t="s">
        <v>44</v>
      </c>
      <c r="O531" s="3" t="s">
        <v>43</v>
      </c>
      <c r="P531" s="3" t="s">
        <v>44</v>
      </c>
      <c r="Q531" s="3" t="s">
        <v>43</v>
      </c>
      <c r="R531" s="3" t="s">
        <v>44</v>
      </c>
      <c r="S531" s="3" t="s">
        <v>43</v>
      </c>
      <c r="T531" s="3" t="s">
        <v>403</v>
      </c>
      <c r="U531" s="3" t="s">
        <v>43</v>
      </c>
      <c r="V531" s="3" t="s">
        <v>44</v>
      </c>
      <c r="W531" s="3" t="s">
        <v>43</v>
      </c>
      <c r="X531" s="3" t="s">
        <v>44</v>
      </c>
      <c r="Y531" s="3" t="s">
        <v>43</v>
      </c>
      <c r="Z531" s="3"/>
      <c r="AA531" s="3" t="s">
        <v>43</v>
      </c>
      <c r="AB531" s="3"/>
      <c r="AC531" s="3"/>
      <c r="AD531" s="3"/>
      <c r="AE531" s="3"/>
      <c r="AF531" s="3"/>
      <c r="AG531" s="3"/>
      <c r="AH531" s="3"/>
    </row>
    <row r="532" spans="1:34">
      <c r="A532" t="s">
        <v>1144</v>
      </c>
      <c r="B532" t="s">
        <v>1145</v>
      </c>
      <c r="C532" s="3">
        <v>1</v>
      </c>
      <c r="D532" s="3"/>
      <c r="E532" s="3" t="s">
        <v>43</v>
      </c>
      <c r="F532" s="3" t="s">
        <v>44</v>
      </c>
      <c r="G532" s="3">
        <v>0.6</v>
      </c>
      <c r="H532" s="3"/>
      <c r="I532" s="3">
        <v>0.6</v>
      </c>
      <c r="J532" s="3"/>
      <c r="K532" s="3">
        <v>0.5</v>
      </c>
      <c r="L532" s="3"/>
      <c r="M532" s="3">
        <v>0.5</v>
      </c>
      <c r="N532" s="3"/>
      <c r="O532" s="3">
        <v>0.5</v>
      </c>
      <c r="P532" s="3"/>
      <c r="Q532" s="3">
        <v>0.3</v>
      </c>
      <c r="R532" s="3"/>
      <c r="S532" s="3">
        <v>0.3</v>
      </c>
      <c r="T532" s="3" t="s">
        <v>334</v>
      </c>
      <c r="U532" s="3" t="s">
        <v>43</v>
      </c>
      <c r="V532" s="3" t="s">
        <v>44</v>
      </c>
      <c r="W532" s="3">
        <v>0.3</v>
      </c>
      <c r="X532" s="3"/>
      <c r="Y532" s="3" t="s">
        <v>43</v>
      </c>
      <c r="Z532" s="3"/>
      <c r="AA532" s="3" t="s">
        <v>43</v>
      </c>
      <c r="AB532" s="3"/>
      <c r="AC532" s="3"/>
      <c r="AD532" s="3"/>
      <c r="AE532" s="3"/>
      <c r="AF532" s="3"/>
      <c r="AG532" s="3"/>
      <c r="AH532" s="3"/>
    </row>
    <row r="533" spans="1:34">
      <c r="A533" t="s">
        <v>1146</v>
      </c>
      <c r="B533" t="s">
        <v>1147</v>
      </c>
      <c r="C533" s="3" t="s">
        <v>43</v>
      </c>
      <c r="D533" s="3"/>
      <c r="E533" s="3" t="s">
        <v>43</v>
      </c>
      <c r="F533" s="3"/>
      <c r="G533" s="3" t="s">
        <v>43</v>
      </c>
      <c r="H533" s="3"/>
      <c r="I533" s="3" t="s">
        <v>43</v>
      </c>
      <c r="J533" s="3"/>
      <c r="K533" s="3" t="s">
        <v>43</v>
      </c>
      <c r="L533" s="3"/>
      <c r="M533" s="3" t="s">
        <v>43</v>
      </c>
      <c r="N533" s="3"/>
      <c r="O533" s="3" t="s">
        <v>43</v>
      </c>
      <c r="P533" s="3"/>
      <c r="Q533" s="3" t="s">
        <v>43</v>
      </c>
      <c r="R533" s="3"/>
      <c r="S533" s="3" t="s">
        <v>43</v>
      </c>
      <c r="T533" s="3" t="s">
        <v>403</v>
      </c>
      <c r="U533" s="3">
        <v>65.099999999999994</v>
      </c>
      <c r="V533" s="3"/>
      <c r="W533" s="3" t="s">
        <v>43</v>
      </c>
      <c r="X533" s="3" t="s">
        <v>44</v>
      </c>
      <c r="Y533" s="3" t="s">
        <v>43</v>
      </c>
      <c r="Z533" s="3"/>
      <c r="AA533" s="3" t="s">
        <v>43</v>
      </c>
      <c r="AB533" s="3"/>
      <c r="AC533" s="3"/>
      <c r="AD533" s="3"/>
      <c r="AE533" s="3"/>
      <c r="AF533" s="3"/>
      <c r="AG533" s="3"/>
      <c r="AH533" s="3"/>
    </row>
    <row r="534" spans="1:34">
      <c r="A534" t="s">
        <v>1148</v>
      </c>
      <c r="B534" t="s">
        <v>1149</v>
      </c>
      <c r="C534" s="3" t="s">
        <v>43</v>
      </c>
      <c r="D534" s="3"/>
      <c r="E534" s="3" t="s">
        <v>43</v>
      </c>
      <c r="F534" s="3"/>
      <c r="G534" s="3" t="s">
        <v>43</v>
      </c>
      <c r="H534" s="3"/>
      <c r="I534" s="3" t="s">
        <v>43</v>
      </c>
      <c r="J534" s="3"/>
      <c r="K534" s="3" t="s">
        <v>43</v>
      </c>
      <c r="L534" s="3"/>
      <c r="M534" s="3" t="s">
        <v>43</v>
      </c>
      <c r="N534" s="3"/>
      <c r="O534" s="3" t="s">
        <v>43</v>
      </c>
      <c r="P534" s="3"/>
      <c r="Q534" s="3" t="s">
        <v>43</v>
      </c>
      <c r="R534" s="3"/>
      <c r="S534" s="3" t="s">
        <v>43</v>
      </c>
      <c r="T534" s="3" t="s">
        <v>403</v>
      </c>
      <c r="U534" s="3">
        <v>27.2</v>
      </c>
      <c r="V534" s="3"/>
      <c r="W534" s="3">
        <v>28.6</v>
      </c>
      <c r="X534" s="3"/>
      <c r="Y534" s="3" t="s">
        <v>43</v>
      </c>
      <c r="Z534" s="3"/>
      <c r="AA534" s="3" t="s">
        <v>43</v>
      </c>
      <c r="AB534" s="3"/>
      <c r="AC534" s="3"/>
      <c r="AD534" s="3"/>
      <c r="AE534" s="3"/>
      <c r="AF534" s="3"/>
      <c r="AG534" s="3"/>
      <c r="AH534" s="3"/>
    </row>
    <row r="535" spans="1:34">
      <c r="A535" t="s">
        <v>1150</v>
      </c>
      <c r="B535" t="s">
        <v>1151</v>
      </c>
      <c r="C535" s="3" t="s">
        <v>43</v>
      </c>
      <c r="D535" s="3"/>
      <c r="E535" s="3" t="s">
        <v>43</v>
      </c>
      <c r="F535" s="3"/>
      <c r="G535" s="3" t="s">
        <v>43</v>
      </c>
      <c r="H535" s="3"/>
      <c r="I535" s="3" t="s">
        <v>43</v>
      </c>
      <c r="J535" s="3"/>
      <c r="K535" s="3" t="s">
        <v>43</v>
      </c>
      <c r="L535" s="3"/>
      <c r="M535" s="3" t="s">
        <v>43</v>
      </c>
      <c r="N535" s="3"/>
      <c r="O535" s="3" t="s">
        <v>43</v>
      </c>
      <c r="P535" s="3"/>
      <c r="Q535" s="3" t="s">
        <v>43</v>
      </c>
      <c r="R535" s="3"/>
      <c r="S535" s="3">
        <v>11</v>
      </c>
      <c r="T535" s="3" t="s">
        <v>334</v>
      </c>
      <c r="U535" s="3">
        <v>10.5</v>
      </c>
      <c r="V535" s="3"/>
      <c r="W535" s="3">
        <v>8.5</v>
      </c>
      <c r="X535" s="3"/>
      <c r="Y535" s="3" t="s">
        <v>43</v>
      </c>
      <c r="Z535" s="3"/>
      <c r="AA535" s="3" t="s">
        <v>43</v>
      </c>
      <c r="AB535" s="3"/>
      <c r="AC535" s="3"/>
      <c r="AD535" s="3"/>
      <c r="AE535" s="3"/>
      <c r="AF535" s="3"/>
      <c r="AG535" s="3"/>
      <c r="AH535" s="3"/>
    </row>
    <row r="536" spans="1:34">
      <c r="A536" t="s">
        <v>1152</v>
      </c>
      <c r="B536" t="s">
        <v>1153</v>
      </c>
      <c r="C536" s="3">
        <v>90.5</v>
      </c>
      <c r="D536" s="3"/>
      <c r="E536" s="3">
        <v>64.400000000000006</v>
      </c>
      <c r="F536" s="3"/>
      <c r="G536" s="3" t="s">
        <v>43</v>
      </c>
      <c r="H536" s="3" t="s">
        <v>44</v>
      </c>
      <c r="I536" s="3">
        <v>68.3</v>
      </c>
      <c r="J536" s="3"/>
      <c r="K536" s="3">
        <v>80.8</v>
      </c>
      <c r="L536" s="3"/>
      <c r="M536" s="3">
        <v>77.599999999999994</v>
      </c>
      <c r="N536" s="3"/>
      <c r="O536" s="3">
        <v>102.9</v>
      </c>
      <c r="P536" s="3"/>
      <c r="Q536" s="3">
        <v>153.5</v>
      </c>
      <c r="R536" s="3"/>
      <c r="S536" s="3">
        <v>119.4</v>
      </c>
      <c r="T536" s="3" t="s">
        <v>334</v>
      </c>
      <c r="U536" s="3">
        <v>108.6</v>
      </c>
      <c r="V536" s="3"/>
      <c r="W536" s="3">
        <v>122.2</v>
      </c>
      <c r="X536" s="3"/>
      <c r="Y536" s="3" t="s">
        <v>43</v>
      </c>
      <c r="Z536" s="3"/>
      <c r="AA536" s="3" t="s">
        <v>43</v>
      </c>
      <c r="AB536" s="3"/>
      <c r="AC536" s="3"/>
      <c r="AD536" s="3"/>
      <c r="AE536" s="3"/>
      <c r="AF536" s="3"/>
      <c r="AG536" s="3"/>
      <c r="AH536" s="3"/>
    </row>
    <row r="537" spans="1:34">
      <c r="A537" t="s">
        <v>1154</v>
      </c>
      <c r="B537" t="s">
        <v>1153</v>
      </c>
      <c r="C537" s="3">
        <v>90.5</v>
      </c>
      <c r="D537" s="3"/>
      <c r="E537" s="3">
        <v>64.400000000000006</v>
      </c>
      <c r="F537" s="3"/>
      <c r="G537" s="3" t="s">
        <v>43</v>
      </c>
      <c r="H537" s="3" t="s">
        <v>44</v>
      </c>
      <c r="I537" s="3">
        <v>68.3</v>
      </c>
      <c r="J537" s="3"/>
      <c r="K537" s="3">
        <v>80.8</v>
      </c>
      <c r="L537" s="3"/>
      <c r="M537" s="3">
        <v>77.599999999999994</v>
      </c>
      <c r="N537" s="3"/>
      <c r="O537" s="3">
        <v>102.9</v>
      </c>
      <c r="P537" s="3"/>
      <c r="Q537" s="3">
        <v>153.5</v>
      </c>
      <c r="R537" s="3"/>
      <c r="S537" s="3">
        <v>119.4</v>
      </c>
      <c r="T537" s="3" t="s">
        <v>334</v>
      </c>
      <c r="U537" s="3">
        <v>108.6</v>
      </c>
      <c r="V537" s="3"/>
      <c r="W537" s="3">
        <v>122.2</v>
      </c>
      <c r="X537" s="3"/>
      <c r="Y537" s="3" t="s">
        <v>43</v>
      </c>
      <c r="Z537" s="3"/>
      <c r="AA537" s="3" t="s">
        <v>43</v>
      </c>
      <c r="AB537" s="3"/>
      <c r="AC537" s="3"/>
      <c r="AD537" s="3"/>
      <c r="AE537" s="3"/>
      <c r="AF537" s="3"/>
      <c r="AG537" s="3"/>
      <c r="AH537" s="3"/>
    </row>
    <row r="538" spans="1:34">
      <c r="A538" t="s">
        <v>808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>
      <c r="A539" t="s">
        <v>43</v>
      </c>
      <c r="B539" t="s">
        <v>809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>
      <c r="A540" t="s">
        <v>810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>
      <c r="A541" t="s">
        <v>334</v>
      </c>
      <c r="B541" t="s">
        <v>811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>
      <c r="A542" t="s">
        <v>847</v>
      </c>
      <c r="B542" t="s">
        <v>1155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>
      <c r="A543" t="s">
        <v>846</v>
      </c>
      <c r="B543" t="s">
        <v>1156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>
      <c r="A544" t="s">
        <v>812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>
      <c r="A545" t="s">
        <v>44</v>
      </c>
      <c r="B545" t="s">
        <v>813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>
      <c r="A546" t="s">
        <v>886</v>
      </c>
      <c r="B546" t="s">
        <v>1157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>
      <c r="A547" t="s">
        <v>887</v>
      </c>
      <c r="B547" t="s">
        <v>1158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>
      <c r="A548" t="s">
        <v>888</v>
      </c>
      <c r="B548" t="s">
        <v>1159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>
      <c r="A549" t="s">
        <v>67</v>
      </c>
      <c r="B549" t="s">
        <v>68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 t="s">
        <v>43</v>
      </c>
      <c r="AD549" s="3" t="s">
        <v>44</v>
      </c>
      <c r="AE549" s="3">
        <v>0.35</v>
      </c>
      <c r="AF549" s="3"/>
      <c r="AG549" s="3">
        <v>0.84</v>
      </c>
      <c r="AH549" s="3"/>
    </row>
    <row r="550" spans="1:34">
      <c r="A550" t="s">
        <v>69</v>
      </c>
      <c r="B550" t="s">
        <v>70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 t="s">
        <v>43</v>
      </c>
      <c r="AD550" s="3" t="s">
        <v>44</v>
      </c>
      <c r="AE550" s="3">
        <v>0.35</v>
      </c>
      <c r="AF550" s="3"/>
      <c r="AG550" s="3">
        <v>0.84</v>
      </c>
      <c r="AH550" s="3"/>
    </row>
    <row r="551" spans="1:34">
      <c r="A551" t="s">
        <v>125</v>
      </c>
      <c r="B551" t="s">
        <v>68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0</v>
      </c>
      <c r="AD551" s="3"/>
      <c r="AE551" s="3">
        <v>0</v>
      </c>
      <c r="AF551" s="3"/>
      <c r="AG551" s="3">
        <v>0</v>
      </c>
      <c r="AH551" s="3"/>
    </row>
    <row r="552" spans="1:34">
      <c r="A552" t="s">
        <v>126</v>
      </c>
      <c r="B552" t="s">
        <v>70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0</v>
      </c>
      <c r="AD552" s="3"/>
      <c r="AE552" s="3">
        <v>0</v>
      </c>
      <c r="AF552" s="3"/>
      <c r="AG552" s="3">
        <v>0</v>
      </c>
      <c r="AH552" s="3"/>
    </row>
    <row r="553" spans="1:34">
      <c r="A553" t="s">
        <v>233</v>
      </c>
      <c r="B553" t="s">
        <v>68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0</v>
      </c>
      <c r="AD553" s="3"/>
      <c r="AE553" s="3">
        <v>0</v>
      </c>
      <c r="AF553" s="3"/>
      <c r="AG553" s="3">
        <v>0</v>
      </c>
      <c r="AH553" s="3"/>
    </row>
    <row r="554" spans="1:34">
      <c r="A554" t="s">
        <v>234</v>
      </c>
      <c r="B554" t="s">
        <v>70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0</v>
      </c>
      <c r="AD554" s="3"/>
      <c r="AE554" s="3">
        <v>0</v>
      </c>
      <c r="AF554" s="3"/>
      <c r="AG554" s="3">
        <v>0</v>
      </c>
      <c r="AH554" s="3"/>
    </row>
    <row r="555" spans="1:34">
      <c r="A555" t="s">
        <v>558</v>
      </c>
      <c r="B555" t="s">
        <v>559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 t="s">
        <v>43</v>
      </c>
      <c r="AD555" s="3"/>
      <c r="AE555" s="3">
        <v>26.2</v>
      </c>
      <c r="AF555" s="3"/>
      <c r="AG555" s="3">
        <v>25.34</v>
      </c>
      <c r="AH555" s="3"/>
    </row>
    <row r="556" spans="1:34">
      <c r="A556" t="s">
        <v>560</v>
      </c>
      <c r="B556" t="s">
        <v>561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 t="s">
        <v>43</v>
      </c>
      <c r="AD556" s="3"/>
      <c r="AE556" s="3">
        <v>87.64</v>
      </c>
      <c r="AF556" s="3"/>
      <c r="AG556" s="3">
        <v>90.63</v>
      </c>
      <c r="AH556" s="3"/>
    </row>
    <row r="557" spans="1:34">
      <c r="A557" t="s">
        <v>568</v>
      </c>
      <c r="B557" t="s">
        <v>68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 t="s">
        <v>43</v>
      </c>
      <c r="AD557" s="3"/>
      <c r="AE557" s="3" t="s">
        <v>43</v>
      </c>
      <c r="AF557" s="3"/>
      <c r="AG557" s="3" t="s">
        <v>43</v>
      </c>
      <c r="AH557" s="3"/>
    </row>
    <row r="558" spans="1:34">
      <c r="A558" t="s">
        <v>569</v>
      </c>
      <c r="B558" t="s">
        <v>70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 t="s">
        <v>43</v>
      </c>
      <c r="AD558" s="3"/>
      <c r="AE558" s="3" t="s">
        <v>43</v>
      </c>
      <c r="AF558" s="3"/>
      <c r="AG558" s="3" t="s">
        <v>43</v>
      </c>
      <c r="AH558" s="3"/>
    </row>
    <row r="559" spans="1:34">
      <c r="A559" t="s">
        <v>596</v>
      </c>
      <c r="B559" t="s">
        <v>68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0</v>
      </c>
      <c r="AD559" s="3"/>
      <c r="AE559" s="3">
        <v>0</v>
      </c>
      <c r="AF559" s="3"/>
      <c r="AG559" s="3">
        <v>0</v>
      </c>
      <c r="AH559" s="3"/>
    </row>
    <row r="560" spans="1:34">
      <c r="A560" t="s">
        <v>597</v>
      </c>
      <c r="B560" t="s">
        <v>70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0</v>
      </c>
      <c r="AD560" s="3"/>
      <c r="AE560" s="3">
        <v>0</v>
      </c>
      <c r="AF560" s="3"/>
      <c r="AG560" s="3">
        <v>0</v>
      </c>
      <c r="AH560" s="3"/>
    </row>
    <row r="561" spans="1:34">
      <c r="A561" t="s">
        <v>662</v>
      </c>
      <c r="B561" t="s">
        <v>663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 t="s">
        <v>43</v>
      </c>
      <c r="AD561" s="3"/>
      <c r="AE561" s="3">
        <v>130.16999999999999</v>
      </c>
      <c r="AF561" s="3"/>
      <c r="AG561" s="3">
        <v>138.61000000000001</v>
      </c>
      <c r="AH561" s="3"/>
    </row>
    <row r="562" spans="1:34">
      <c r="A562" t="s">
        <v>664</v>
      </c>
      <c r="B562" t="s">
        <v>665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 t="s">
        <v>43</v>
      </c>
      <c r="AD562" s="3"/>
      <c r="AE562" s="3">
        <v>17.98</v>
      </c>
      <c r="AF562" s="3"/>
      <c r="AG562" s="3">
        <v>21.59</v>
      </c>
      <c r="AH562" s="3"/>
    </row>
    <row r="563" spans="1:34">
      <c r="A563" t="s">
        <v>666</v>
      </c>
      <c r="B563" t="s">
        <v>667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 t="s">
        <v>43</v>
      </c>
      <c r="AD563" s="3"/>
      <c r="AE563" s="3">
        <v>211.4</v>
      </c>
      <c r="AF563" s="3"/>
      <c r="AG563" s="3">
        <v>230.87</v>
      </c>
      <c r="AH563" s="3"/>
    </row>
    <row r="564" spans="1:34">
      <c r="A564" t="s">
        <v>668</v>
      </c>
      <c r="B564" t="s">
        <v>669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 t="s">
        <v>43</v>
      </c>
      <c r="AD564" s="3"/>
      <c r="AE564" s="3">
        <v>7.43</v>
      </c>
      <c r="AF564" s="3"/>
      <c r="AG564" s="3">
        <v>8.07</v>
      </c>
      <c r="AH564" s="3"/>
    </row>
    <row r="565" spans="1:34">
      <c r="A565" t="s">
        <v>670</v>
      </c>
      <c r="B565" t="s">
        <v>671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 t="s">
        <v>43</v>
      </c>
      <c r="AD565" s="3"/>
      <c r="AE565" s="3">
        <v>49.87</v>
      </c>
      <c r="AF565" s="3"/>
      <c r="AG565" s="3">
        <v>56.13</v>
      </c>
      <c r="AH565" s="3"/>
    </row>
    <row r="566" spans="1:34">
      <c r="A566" t="s">
        <v>678</v>
      </c>
      <c r="B566" t="s">
        <v>68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0</v>
      </c>
      <c r="AD566" s="3" t="s">
        <v>334</v>
      </c>
      <c r="AE566" s="3">
        <v>0</v>
      </c>
      <c r="AF566" s="3"/>
      <c r="AG566" s="3">
        <v>0</v>
      </c>
      <c r="AH566" s="3"/>
    </row>
    <row r="567" spans="1:34">
      <c r="A567" t="s">
        <v>679</v>
      </c>
      <c r="B567" t="s">
        <v>70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0</v>
      </c>
      <c r="AD567" s="3" t="s">
        <v>334</v>
      </c>
      <c r="AE567" s="3">
        <v>0</v>
      </c>
      <c r="AF567" s="3"/>
      <c r="AG567" s="3">
        <v>0</v>
      </c>
      <c r="AH567" s="3"/>
    </row>
    <row r="568" spans="1:34">
      <c r="A568" t="s">
        <v>705</v>
      </c>
      <c r="B568" t="s">
        <v>68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0</v>
      </c>
      <c r="AD568" s="3"/>
      <c r="AE568" s="3">
        <v>0</v>
      </c>
      <c r="AF568" s="3"/>
      <c r="AG568" s="3">
        <v>0</v>
      </c>
      <c r="AH568" s="3"/>
    </row>
    <row r="569" spans="1:34">
      <c r="A569" t="s">
        <v>706</v>
      </c>
      <c r="B569" t="s">
        <v>70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0</v>
      </c>
      <c r="AD569" s="3"/>
      <c r="AE569" s="3">
        <v>0</v>
      </c>
      <c r="AF569" s="3"/>
      <c r="AG569" s="3">
        <v>0</v>
      </c>
      <c r="AH569" s="3"/>
    </row>
    <row r="570" spans="1:34">
      <c r="A570" t="s">
        <v>789</v>
      </c>
      <c r="B570" t="s">
        <v>790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0</v>
      </c>
      <c r="AD570" s="3"/>
      <c r="AE570" s="3">
        <v>0</v>
      </c>
      <c r="AF570" s="3"/>
      <c r="AG570" s="3">
        <v>0</v>
      </c>
      <c r="AH570" s="3"/>
    </row>
    <row r="571" spans="1:34">
      <c r="A571" t="s">
        <v>791</v>
      </c>
      <c r="B571" t="s">
        <v>792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0</v>
      </c>
      <c r="AD571" s="3"/>
      <c r="AE571" s="3">
        <v>0</v>
      </c>
      <c r="AF571" s="3"/>
      <c r="AG571" s="3">
        <v>0</v>
      </c>
      <c r="AH571" s="3"/>
    </row>
    <row r="572" spans="1:34">
      <c r="A572" t="s">
        <v>793</v>
      </c>
      <c r="B572" t="s">
        <v>792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0</v>
      </c>
      <c r="AD572" s="3"/>
      <c r="AE572" s="3">
        <v>0</v>
      </c>
      <c r="AF572" s="3"/>
      <c r="AG572" s="3">
        <v>0</v>
      </c>
      <c r="AH572" s="3"/>
    </row>
    <row r="573" spans="1:34">
      <c r="A573" t="s">
        <v>794</v>
      </c>
      <c r="B573" t="s">
        <v>795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 t="s">
        <v>43</v>
      </c>
      <c r="AD573" s="3"/>
      <c r="AE573" s="3" t="s">
        <v>43</v>
      </c>
      <c r="AF573" s="3"/>
      <c r="AG573" s="3">
        <v>774.36</v>
      </c>
      <c r="AH573" s="3"/>
    </row>
    <row r="574" spans="1:34">
      <c r="A574" t="s">
        <v>796</v>
      </c>
      <c r="B574" t="s">
        <v>797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 t="s">
        <v>43</v>
      </c>
      <c r="AD574" s="3"/>
      <c r="AE574" s="3" t="s">
        <v>43</v>
      </c>
      <c r="AF574" s="3"/>
      <c r="AG574" s="3">
        <v>307.57</v>
      </c>
      <c r="AH574" s="3"/>
    </row>
    <row r="575" spans="1:34">
      <c r="A575" t="s">
        <v>798</v>
      </c>
      <c r="B575" t="s">
        <v>799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 t="s">
        <v>43</v>
      </c>
      <c r="AD575" s="3"/>
      <c r="AE575" s="3" t="s">
        <v>43</v>
      </c>
      <c r="AF575" s="3"/>
      <c r="AG575" s="3">
        <v>93.05</v>
      </c>
      <c r="AH575" s="3"/>
    </row>
    <row r="576" spans="1:34">
      <c r="A576" t="s">
        <v>800</v>
      </c>
      <c r="B576" t="s">
        <v>801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 t="s">
        <v>43</v>
      </c>
      <c r="AD576" s="3"/>
      <c r="AE576" s="3" t="s">
        <v>43</v>
      </c>
      <c r="AF576" s="3"/>
      <c r="AG576" s="3">
        <v>214.52</v>
      </c>
      <c r="AH576" s="3"/>
    </row>
    <row r="577" spans="1:34">
      <c r="A577" t="s">
        <v>802</v>
      </c>
      <c r="B577" t="s">
        <v>803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 t="s">
        <v>43</v>
      </c>
      <c r="AD577" s="3"/>
      <c r="AE577" s="3" t="s">
        <v>43</v>
      </c>
      <c r="AF577" s="3"/>
      <c r="AG577" s="3">
        <v>466.79</v>
      </c>
      <c r="AH577" s="3"/>
    </row>
    <row r="578" spans="1:34">
      <c r="A578" t="s">
        <v>804</v>
      </c>
      <c r="B578" t="s">
        <v>805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 t="s">
        <v>43</v>
      </c>
      <c r="AD578" s="3"/>
      <c r="AE578" s="3" t="s">
        <v>43</v>
      </c>
      <c r="AF578" s="3"/>
      <c r="AG578" s="3">
        <v>221.65</v>
      </c>
      <c r="AH578" s="3"/>
    </row>
    <row r="579" spans="1:34">
      <c r="A579" t="s">
        <v>806</v>
      </c>
      <c r="B579" t="s">
        <v>807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 t="s">
        <v>43</v>
      </c>
      <c r="AD579" s="3"/>
      <c r="AE579" s="3" t="s">
        <v>43</v>
      </c>
      <c r="AF579" s="3"/>
      <c r="AG579" s="3">
        <v>245.14</v>
      </c>
      <c r="AH5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Post2020_Derivation</vt:lpstr>
      <vt:lpstr>Employment_Merged</vt:lpstr>
      <vt:lpstr>LocalUnits_Merged</vt:lpstr>
      <vt:lpstr>Wages_Merged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 Shamashan</cp:lastModifiedBy>
  <dcterms:modified xsi:type="dcterms:W3CDTF">2026-05-04T14:56:28Z</dcterms:modified>
</cp:coreProperties>
</file>